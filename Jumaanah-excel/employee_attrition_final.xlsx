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3d7e1d48db8c69/Documents/"/>
    </mc:Choice>
  </mc:AlternateContent>
  <xr:revisionPtr revIDLastSave="159" documentId="8_{689064B2-21EA-4AC6-A1F2-00AECB63CC13}" xr6:coauthVersionLast="47" xr6:coauthVersionMax="47" xr10:uidLastSave="{60ED333D-9C98-45FD-A956-DF6C25820898}"/>
  <bookViews>
    <workbookView xWindow="-110" yWindow="-110" windowWidth="19420" windowHeight="12220" tabRatio="1000" xr2:uid="{14FF3DFD-523E-4EF0-AA54-B7D07E262ADA}"/>
  </bookViews>
  <sheets>
    <sheet name="Dept_Attrition" sheetId="2" r:id="rId1"/>
    <sheet name="Tenure_Analysis" sheetId="3" r:id="rId2"/>
    <sheet name="OverTime_Analysis" sheetId="4" r:id="rId3"/>
    <sheet name="Engagement_Analysis" sheetId="5" r:id="rId4"/>
    <sheet name="Promotion_Analysis" sheetId="7" r:id="rId5"/>
    <sheet name="Role_Attrition" sheetId="8" r:id="rId6"/>
    <sheet name="employee_attrition_final" sheetId="1" r:id="rId7"/>
  </sheets>
  <calcPr calcId="0"/>
  <pivotCaches>
    <pivotCache cacheId="3" r:id="rId8"/>
    <pivotCache cacheId="17" r:id="rId9"/>
  </pivotCaches>
</workbook>
</file>

<file path=xl/calcChain.xml><?xml version="1.0" encoding="utf-8"?>
<calcChain xmlns="http://schemas.openxmlformats.org/spreadsheetml/2006/main"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4" i="8"/>
  <c r="C5" i="7"/>
  <c r="C4" i="7"/>
  <c r="D5" i="2"/>
  <c r="D6" i="2"/>
  <c r="D7" i="2"/>
  <c r="D8" i="2"/>
  <c r="D9" i="2"/>
  <c r="D4" i="2"/>
</calcChain>
</file>

<file path=xl/sharedStrings.xml><?xml version="1.0" encoding="utf-8"?>
<sst xmlns="http://schemas.openxmlformats.org/spreadsheetml/2006/main" count="13467" uniqueCount="1230">
  <si>
    <t>employee_id</t>
  </si>
  <si>
    <t>department</t>
  </si>
  <si>
    <t>role</t>
  </si>
  <si>
    <t>tenure_years</t>
  </si>
  <si>
    <t>grade</t>
  </si>
  <si>
    <t>age</t>
  </si>
  <si>
    <t>education_level</t>
  </si>
  <si>
    <t>work_location</t>
  </si>
  <si>
    <t>absence_days</t>
  </si>
  <si>
    <t>overtime_hours</t>
  </si>
  <si>
    <t>leave_days</t>
  </si>
  <si>
    <t>late_arrivals</t>
  </si>
  <si>
    <t>attendance_months</t>
  </si>
  <si>
    <t>overtime_outlier_flag</t>
  </si>
  <si>
    <t>salary_band</t>
  </si>
  <si>
    <t>monthly_salary</t>
  </si>
  <si>
    <t>increment_pct</t>
  </si>
  <si>
    <t>benefits_score</t>
  </si>
  <si>
    <t>last_increment_years</t>
  </si>
  <si>
    <t>compensation_issue_flag</t>
  </si>
  <si>
    <t>satisfaction_score</t>
  </si>
  <si>
    <t>work_life_balance_score</t>
  </si>
  <si>
    <t>manager_support_score</t>
  </si>
  <si>
    <t>survey_participation</t>
  </si>
  <si>
    <t>missing_survey_score_flag</t>
  </si>
  <si>
    <t>promotion_count</t>
  </si>
  <si>
    <t>last_promotion_years</t>
  </si>
  <si>
    <t>transfer_count</t>
  </si>
  <si>
    <t>exit_status</t>
  </si>
  <si>
    <t>exit_date</t>
  </si>
  <si>
    <t>promotion_history_missing</t>
  </si>
  <si>
    <t>movement_issue_flag</t>
  </si>
  <si>
    <t>promotion_status</t>
  </si>
  <si>
    <t>tenure_group</t>
  </si>
  <si>
    <t>overtime_category</t>
  </si>
  <si>
    <t>average_engagement_score</t>
  </si>
  <si>
    <t>absence_per_month</t>
  </si>
  <si>
    <t>attrition</t>
  </si>
  <si>
    <t>EMP0001</t>
  </si>
  <si>
    <t>Operations</t>
  </si>
  <si>
    <t>Operations Manager</t>
  </si>
  <si>
    <t>G4</t>
  </si>
  <si>
    <t>Bachelor</t>
  </si>
  <si>
    <t>Coimbatore</t>
  </si>
  <si>
    <t>Band C</t>
  </si>
  <si>
    <t>Yes</t>
  </si>
  <si>
    <t>Stayed</t>
  </si>
  <si>
    <t>Promoted</t>
  </si>
  <si>
    <t>1â€“3 years</t>
  </si>
  <si>
    <t>Moderate</t>
  </si>
  <si>
    <t>3.1333333333333333</t>
  </si>
  <si>
    <t>EMP0002</t>
  </si>
  <si>
    <t>Hr</t>
  </si>
  <si>
    <t>HR Executive</t>
  </si>
  <si>
    <t>Diploma</t>
  </si>
  <si>
    <t>Chennai</t>
  </si>
  <si>
    <t>Band D</t>
  </si>
  <si>
    <t>High</t>
  </si>
  <si>
    <t>3.6999999999999997</t>
  </si>
  <si>
    <t>EMP0003</t>
  </si>
  <si>
    <t>Customer Support</t>
  </si>
  <si>
    <t>Support Specialist</t>
  </si>
  <si>
    <t>G5</t>
  </si>
  <si>
    <t>Remote</t>
  </si>
  <si>
    <t>Low</t>
  </si>
  <si>
    <t>EMP0004</t>
  </si>
  <si>
    <t>Team Lead</t>
  </si>
  <si>
    <t>G2</t>
  </si>
  <si>
    <t>Master</t>
  </si>
  <si>
    <t>Bengaluru</t>
  </si>
  <si>
    <t>Band B</t>
  </si>
  <si>
    <t>3.3000000000000003</t>
  </si>
  <si>
    <t>EMP0005</t>
  </si>
  <si>
    <t>Engineering</t>
  </si>
  <si>
    <t>Data Analyst</t>
  </si>
  <si>
    <t>No Recorded Promotions</t>
  </si>
  <si>
    <t>3â€“5 years</t>
  </si>
  <si>
    <t>3.466666666666667</t>
  </si>
  <si>
    <t>0.6666666666666666</t>
  </si>
  <si>
    <t>EMP0006</t>
  </si>
  <si>
    <t>Support Associate</t>
  </si>
  <si>
    <t>G1</t>
  </si>
  <si>
    <t>Band A</t>
  </si>
  <si>
    <t>5+ years</t>
  </si>
  <si>
    <t>0.16666666666666666</t>
  </si>
  <si>
    <t>EMP0007</t>
  </si>
  <si>
    <t>3.3666666666666667</t>
  </si>
  <si>
    <t>EMP0008</t>
  </si>
  <si>
    <t>Operations Associate</t>
  </si>
  <si>
    <t>No</t>
  </si>
  <si>
    <t>3.3333333333333335</t>
  </si>
  <si>
    <t>EMP0009</t>
  </si>
  <si>
    <t>EMP0010</t>
  </si>
  <si>
    <t>Recruiter</t>
  </si>
  <si>
    <t>Hyderabad</t>
  </si>
  <si>
    <t>0â€“1 years</t>
  </si>
  <si>
    <t>2.6999999999999997</t>
  </si>
  <si>
    <t>EMP0011</t>
  </si>
  <si>
    <t>Sales</t>
  </si>
  <si>
    <t>Account Manager</t>
  </si>
  <si>
    <t>3.1666666666666665</t>
  </si>
  <si>
    <t>EMP0012</t>
  </si>
  <si>
    <t>2.7999999999999994</t>
  </si>
  <si>
    <t>EMP0013</t>
  </si>
  <si>
    <t>3.0333333333333337</t>
  </si>
  <si>
    <t>0.5833333333333334</t>
  </si>
  <si>
    <t>EMP0014</t>
  </si>
  <si>
    <t>Support Team Lead</t>
  </si>
  <si>
    <t>3.2999999999999994</t>
  </si>
  <si>
    <t>EMP0015</t>
  </si>
  <si>
    <t>G3</t>
  </si>
  <si>
    <t>2.533333333333333</t>
  </si>
  <si>
    <t>EMP0016</t>
  </si>
  <si>
    <t>Senior Software Engineer</t>
  </si>
  <si>
    <t>3.733333333333333</t>
  </si>
  <si>
    <t>0.3333333333333333</t>
  </si>
  <si>
    <t>EMP0017</t>
  </si>
  <si>
    <t>Finance</t>
  </si>
  <si>
    <t>Financial Analyst</t>
  </si>
  <si>
    <t>2.566666666666667</t>
  </si>
  <si>
    <t>EMP0018</t>
  </si>
  <si>
    <t>QA Engineer</t>
  </si>
  <si>
    <t>3.533333333333333</t>
  </si>
  <si>
    <t>EMP0019</t>
  </si>
  <si>
    <t>Left</t>
  </si>
  <si>
    <t>EMP0020</t>
  </si>
  <si>
    <t>3.5666666666666664</t>
  </si>
  <si>
    <t>0.4166666666666667</t>
  </si>
  <si>
    <t>EMP0021</t>
  </si>
  <si>
    <t>EMP0022</t>
  </si>
  <si>
    <t>EMP0023</t>
  </si>
  <si>
    <t>3.8666666666666667</t>
  </si>
  <si>
    <t>EMP0024</t>
  </si>
  <si>
    <t>2.466666666666667</t>
  </si>
  <si>
    <t>EMP0025</t>
  </si>
  <si>
    <t>2.5333333333333337</t>
  </si>
  <si>
    <t>EMP0026</t>
  </si>
  <si>
    <t>3.4666666666666663</t>
  </si>
  <si>
    <t>EMP0027</t>
  </si>
  <si>
    <t>EMP0028</t>
  </si>
  <si>
    <t>EMP0029</t>
  </si>
  <si>
    <t>2.9333333333333336</t>
  </si>
  <si>
    <t>EMP0030</t>
  </si>
  <si>
    <t>EMP0031</t>
  </si>
  <si>
    <t>2.8000000000000003</t>
  </si>
  <si>
    <t>EMP0032</t>
  </si>
  <si>
    <t>2.9666666666666663</t>
  </si>
  <si>
    <t>EMP0033</t>
  </si>
  <si>
    <t>Sales Executive</t>
  </si>
  <si>
    <t>3.5333333333333337</t>
  </si>
  <si>
    <t>EMP0034</t>
  </si>
  <si>
    <t>Sales Manager</t>
  </si>
  <si>
    <t>EMP0035</t>
  </si>
  <si>
    <t>HR Manager</t>
  </si>
  <si>
    <t>EMP0036</t>
  </si>
  <si>
    <t>EMP0037</t>
  </si>
  <si>
    <t>4.033333333333334</t>
  </si>
  <si>
    <t>EMP0038</t>
  </si>
  <si>
    <t>EMP0039</t>
  </si>
  <si>
    <t>3.0666666666666664</t>
  </si>
  <si>
    <t>EMP0040</t>
  </si>
  <si>
    <t>EMP0041</t>
  </si>
  <si>
    <t>3.1999999999999997</t>
  </si>
  <si>
    <t>EMP0042</t>
  </si>
  <si>
    <t>EMP0043</t>
  </si>
  <si>
    <t>2.4666666666666663</t>
  </si>
  <si>
    <t>EMP0044</t>
  </si>
  <si>
    <t>EMP0045</t>
  </si>
  <si>
    <t>2.733333333333333</t>
  </si>
  <si>
    <t>EMP0046</t>
  </si>
  <si>
    <t>2.766666666666667</t>
  </si>
  <si>
    <t>EMP0047</t>
  </si>
  <si>
    <t>EMP0048</t>
  </si>
  <si>
    <t>EMP0049</t>
  </si>
  <si>
    <t>3.4333333333333336</t>
  </si>
  <si>
    <t>EMP0050</t>
  </si>
  <si>
    <t>EMP0051</t>
  </si>
  <si>
    <t>Software Engineer</t>
  </si>
  <si>
    <t>EMP0052</t>
  </si>
  <si>
    <t>EMP0053</t>
  </si>
  <si>
    <t>3.8333333333333335</t>
  </si>
  <si>
    <t>EMP0054</t>
  </si>
  <si>
    <t>2.8666666666666667</t>
  </si>
  <si>
    <t>EMP0055</t>
  </si>
  <si>
    <t>EMP0056</t>
  </si>
  <si>
    <t>4.300000000000001</t>
  </si>
  <si>
    <t>EMP0057</t>
  </si>
  <si>
    <t>3.633333333333333</t>
  </si>
  <si>
    <t>EMP0058</t>
  </si>
  <si>
    <t>Finance Manager</t>
  </si>
  <si>
    <t>3.6333333333333333</t>
  </si>
  <si>
    <t>EMP0059</t>
  </si>
  <si>
    <t>EMP0060</t>
  </si>
  <si>
    <t>4.266666666666667</t>
  </si>
  <si>
    <t>EMP0061</t>
  </si>
  <si>
    <t>EMP0062</t>
  </si>
  <si>
    <t>EMP0063</t>
  </si>
  <si>
    <t>Accountant</t>
  </si>
  <si>
    <t>3.233333333333333</t>
  </si>
  <si>
    <t>EMP0064</t>
  </si>
  <si>
    <t>EMP0065</t>
  </si>
  <si>
    <t>4.133333333333334</t>
  </si>
  <si>
    <t>EMP0066</t>
  </si>
  <si>
    <t>EMP0067</t>
  </si>
  <si>
    <t>EMP0068</t>
  </si>
  <si>
    <t>EMP0069</t>
  </si>
  <si>
    <t>EMP0070</t>
  </si>
  <si>
    <t>Extreme</t>
  </si>
  <si>
    <t>EMP0071</t>
  </si>
  <si>
    <t>EMP0072</t>
  </si>
  <si>
    <t>EMP0073</t>
  </si>
  <si>
    <t>EMP0074</t>
  </si>
  <si>
    <t>2.8333333333333335</t>
  </si>
  <si>
    <t>EMP0075</t>
  </si>
  <si>
    <t>3.0999999999999996</t>
  </si>
  <si>
    <t>EMP0076</t>
  </si>
  <si>
    <t>EMP0077</t>
  </si>
  <si>
    <t>EMP0078</t>
  </si>
  <si>
    <t>EMP0079</t>
  </si>
  <si>
    <t>3.9333333333333336</t>
  </si>
  <si>
    <t>EMP0080</t>
  </si>
  <si>
    <t>EMP0081</t>
  </si>
  <si>
    <t>4.066666666666666</t>
  </si>
  <si>
    <t>EMP0082</t>
  </si>
  <si>
    <t>EMP0083</t>
  </si>
  <si>
    <t>EMP0084</t>
  </si>
  <si>
    <t>EMP0085</t>
  </si>
  <si>
    <t>3.233333333333334</t>
  </si>
  <si>
    <t>EMP0086</t>
  </si>
  <si>
    <t>EMP0087</t>
  </si>
  <si>
    <t>2.6666666666666665</t>
  </si>
  <si>
    <t>EMP0088</t>
  </si>
  <si>
    <t>EMP0089</t>
  </si>
  <si>
    <t>EMP0090</t>
  </si>
  <si>
    <t>Doctorate</t>
  </si>
  <si>
    <t>3.266666666666667</t>
  </si>
  <si>
    <t>EMP0091</t>
  </si>
  <si>
    <t>3.5999999999999996</t>
  </si>
  <si>
    <t>EMP0092</t>
  </si>
  <si>
    <t>EMP0093</t>
  </si>
  <si>
    <t>EMP0094</t>
  </si>
  <si>
    <t>EMP0095</t>
  </si>
  <si>
    <t>EMP0096</t>
  </si>
  <si>
    <t>3.966666666666667</t>
  </si>
  <si>
    <t>EMP0097</t>
  </si>
  <si>
    <t>EMP0098</t>
  </si>
  <si>
    <t>EMP0099</t>
  </si>
  <si>
    <t>EMP0100</t>
  </si>
  <si>
    <t>EMP0101</t>
  </si>
  <si>
    <t>3.2000000000000006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</si>
  <si>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</si>
  <si>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</si>
  <si>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</si>
  <si>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</si>
  <si>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</si>
  <si>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</si>
  <si>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</si>
  <si>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</si>
  <si>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</si>
  <si>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2.6333333333333333</t>
  </si>
  <si>
    <t>EMP0111</t>
  </si>
  <si>
    <t>EMP0112</t>
  </si>
  <si>
    <t>EMP0113</t>
  </si>
  <si>
    <t>2.3666666666666667</t>
  </si>
  <si>
    <t>EMP0114</t>
  </si>
  <si>
    <t>EMP0115</t>
  </si>
  <si>
    <t>3.6666666666666665</t>
  </si>
  <si>
    <t>EMP0116</t>
  </si>
  <si>
    <t>2.966666666666667</t>
  </si>
  <si>
    <t>EMP0117</t>
  </si>
  <si>
    <t>4.366666666666666</t>
  </si>
  <si>
    <t>EMP0118</t>
  </si>
  <si>
    <t>EMP0119</t>
  </si>
  <si>
    <t>EMP0120</t>
  </si>
  <si>
    <t>EMP0121</t>
  </si>
  <si>
    <t>3.9000000000000004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</si>
  <si>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</si>
  <si>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</si>
  <si>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</si>
  <si>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</si>
  <si>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</si>
  <si>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</si>
  <si>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</si>
  <si>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</si>
  <si>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4.166666666666667</t>
  </si>
  <si>
    <t>EMP0130</t>
  </si>
  <si>
    <t>EMP0131</t>
  </si>
  <si>
    <t>EMP0132</t>
  </si>
  <si>
    <t>4.033333333333333</t>
  </si>
  <si>
    <t>EMP0133</t>
  </si>
  <si>
    <t>EMP0134</t>
  </si>
  <si>
    <t>2.2666666666666666</t>
  </si>
  <si>
    <t>EMP0135</t>
  </si>
  <si>
    <t>Band E</t>
  </si>
  <si>
    <t>EMP0136</t>
  </si>
  <si>
    <t>EMP0137</t>
  </si>
  <si>
    <t>EMP0138</t>
  </si>
  <si>
    <t>EMP0139</t>
  </si>
  <si>
    <t>2.4333333333333336</t>
  </si>
  <si>
    <t>EMP0140</t>
  </si>
  <si>
    <t>EMP0141</t>
  </si>
  <si>
    <t>EMP0142</t>
  </si>
  <si>
    <t>EMP0143</t>
  </si>
  <si>
    <t>EMP0144</t>
  </si>
  <si>
    <t>4.1000000000000005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</si>
  <si>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</si>
  <si>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</si>
  <si>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</si>
  <si>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</si>
  <si>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</si>
  <si>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</si>
  <si>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</si>
  <si>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</si>
  <si>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2.7000000000000006</t>
  </si>
  <si>
    <t>EMP0153</t>
  </si>
  <si>
    <t>EMP0154</t>
  </si>
  <si>
    <t>EMP0155</t>
  </si>
  <si>
    <t>EMP0156</t>
  </si>
  <si>
    <t>EMP0157</t>
  </si>
  <si>
    <t>2.3000000000000003</t>
  </si>
  <si>
    <t>EMP0158</t>
  </si>
  <si>
    <t>EMP0159</t>
  </si>
  <si>
    <t>EMP0160</t>
  </si>
  <si>
    <t>EMP0161</t>
  </si>
  <si>
    <t>EMP0162</t>
  </si>
  <si>
    <t>EMP0163</t>
  </si>
  <si>
    <t>2.1333333333333333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</si>
  <si>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</si>
  <si>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</si>
  <si>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</si>
  <si>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</si>
  <si>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</si>
  <si>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</si>
  <si>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</si>
  <si>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</si>
  <si>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</si>
  <si>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</si>
  <si>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</si>
  <si>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</si>
  <si>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</si>
  <si>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</si>
  <si>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</si>
  <si>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</si>
  <si>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</si>
  <si>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</si>
  <si>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</si>
  <si>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</si>
  <si>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3.8000000000000003</t>
  </si>
  <si>
    <t>EMP0184</t>
  </si>
  <si>
    <t>EMP0185</t>
  </si>
  <si>
    <t>EMP0186</t>
  </si>
  <si>
    <t>4.666666666666667</t>
  </si>
  <si>
    <t>EMP0187</t>
  </si>
  <si>
    <t>EMP0188</t>
  </si>
  <si>
    <t>EMP0189</t>
  </si>
  <si>
    <t>EMP0190</t>
  </si>
  <si>
    <t>4.466666666666667</t>
  </si>
  <si>
    <t>EMP0191</t>
  </si>
  <si>
    <t>EMP0192</t>
  </si>
  <si>
    <t>2.433333333333333</t>
  </si>
  <si>
    <t>EMP0193</t>
  </si>
  <si>
    <t>EMP0194</t>
  </si>
  <si>
    <t>EMP0195</t>
  </si>
  <si>
    <t>EMP0196</t>
  </si>
  <si>
    <t>EMP0197</t>
  </si>
  <si>
    <t>3.766666666666666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</si>
  <si>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</si>
  <si>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</si>
  <si>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</si>
  <si>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</si>
  <si>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</si>
  <si>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</si>
  <si>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</si>
  <si>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</si>
  <si>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</si>
  <si>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</si>
  <si>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</si>
  <si>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</si>
  <si>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</si>
  <si>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</si>
  <si>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</si>
  <si>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</si>
  <si>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</si>
  <si>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</si>
  <si>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</si>
  <si>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TEAM LEAD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</si>
  <si>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</si>
  <si>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</si>
  <si>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</si>
  <si>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</si>
  <si>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</si>
  <si>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</si>
  <si>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</si>
  <si>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</si>
  <si>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</si>
  <si>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</si>
  <si>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</si>
  <si>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3.7999999999999994</t>
  </si>
  <si>
    <t>EMP0228</t>
  </si>
  <si>
    <t>EMP0229</t>
  </si>
  <si>
    <t>EMP0230</t>
  </si>
  <si>
    <t>EMP0231</t>
  </si>
  <si>
    <t>3.9666666666666663</t>
  </si>
  <si>
    <t>EMP0232</t>
  </si>
  <si>
    <t>EMP0233</t>
  </si>
  <si>
    <t>EMP0234</t>
  </si>
  <si>
    <t>EMP0235</t>
  </si>
  <si>
    <t>2.866666666666667</t>
  </si>
  <si>
    <t>EMP0236</t>
  </si>
  <si>
    <t>EMP0237</t>
  </si>
  <si>
    <t>EMP0238</t>
  </si>
  <si>
    <t>EMP0239</t>
  </si>
  <si>
    <t>3.4000000000000004</t>
  </si>
  <si>
    <t>EMP0240</t>
  </si>
  <si>
    <t>EMP0241</t>
  </si>
  <si>
    <t>EMP0242</t>
  </si>
  <si>
    <t>EMP0243</t>
  </si>
  <si>
    <t>EMP0244</t>
  </si>
  <si>
    <t>EMP0245</t>
  </si>
  <si>
    <t>2.3333333333333335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</si>
  <si>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</si>
  <si>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</si>
  <si>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</si>
  <si>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</si>
  <si>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</si>
  <si>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</si>
  <si>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</si>
  <si>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</si>
  <si>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</si>
  <si>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</si>
  <si>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</si>
  <si>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</si>
  <si>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</si>
  <si>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</si>
  <si>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</si>
  <si>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</si>
  <si>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</si>
  <si>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</si>
  <si>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</si>
  <si>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</si>
  <si>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</si>
  <si>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</si>
  <si>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</si>
  <si>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</si>
  <si>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</si>
  <si>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</si>
  <si>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3.066666666666667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</si>
  <si>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</si>
  <si>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</si>
  <si>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</si>
  <si>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</si>
  <si>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</si>
  <si>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</si>
  <si>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</si>
  <si>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</si>
  <si>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</si>
  <si>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</si>
  <si>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</si>
  <si>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</si>
  <si>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3.766666666666667</t>
  </si>
  <si>
    <t>EMP0284</t>
  </si>
  <si>
    <t>EMP0285</t>
  </si>
  <si>
    <t>EMP0286</t>
  </si>
  <si>
    <t>4.6000000000000005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</si>
  <si>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</si>
  <si>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</si>
  <si>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</si>
  <si>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</si>
  <si>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</si>
  <si>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</si>
  <si>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</si>
  <si>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</si>
  <si>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</si>
  <si>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</si>
  <si>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</si>
  <si>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3.866666666666667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</si>
  <si>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</si>
  <si>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</si>
  <si>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</si>
  <si>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</si>
  <si>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</si>
  <si>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</si>
  <si>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</si>
  <si>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</si>
  <si>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</si>
  <si>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</si>
  <si>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</si>
  <si>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3.133333333333333</t>
  </si>
  <si>
    <t>EMP0309</t>
  </si>
  <si>
    <t>EMP0310</t>
  </si>
  <si>
    <t>EMP0311</t>
  </si>
  <si>
    <t>EMP0312</t>
  </si>
  <si>
    <t>EMP0313</t>
  </si>
  <si>
    <t>3.933333333333333</t>
  </si>
  <si>
    <t>EMP0314</t>
  </si>
  <si>
    <t>EMP0315</t>
  </si>
  <si>
    <t>EMP0316</t>
  </si>
  <si>
    <t>EMP0317</t>
  </si>
  <si>
    <t>4.366666666666667</t>
  </si>
  <si>
    <t>EMP0318</t>
  </si>
  <si>
    <t>EMP0319</t>
  </si>
  <si>
    <t>EMP0320</t>
  </si>
  <si>
    <t>EMP0321</t>
  </si>
  <si>
    <t>EMP0322</t>
  </si>
  <si>
    <t>EMP0323</t>
  </si>
  <si>
    <t>EMP0324</t>
  </si>
  <si>
    <t>4.633333333333334</t>
  </si>
  <si>
    <t>EMP0325</t>
  </si>
  <si>
    <t>EMP0326</t>
  </si>
  <si>
    <t>EMP0327</t>
  </si>
  <si>
    <t>3.366666666666667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</si>
  <si>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</si>
  <si>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</si>
  <si>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</si>
  <si>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</si>
  <si>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</si>
  <si>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</si>
  <si>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</si>
  <si>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</si>
  <si>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</si>
  <si>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</si>
  <si>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</si>
  <si>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</si>
  <si>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</si>
  <si>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</si>
  <si>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</si>
  <si>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</si>
  <si>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</si>
  <si>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</si>
  <si>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</si>
  <si>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</si>
  <si>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</si>
  <si>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</si>
  <si>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2.5666666666666664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</si>
  <si>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</si>
  <si>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</si>
  <si>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</si>
  <si>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</si>
  <si>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</si>
  <si>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</si>
  <si>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</si>
  <si>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</si>
  <si>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</si>
  <si>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</si>
  <si>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</si>
  <si>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</si>
  <si>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4.466666666666666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</si>
  <si>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</si>
  <si>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</si>
  <si>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</si>
  <si>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</si>
  <si>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</si>
  <si>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</si>
  <si>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</si>
  <si>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</si>
  <si>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</si>
  <si>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</si>
  <si>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</si>
  <si>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</si>
  <si>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</si>
  <si>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</si>
  <si>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3.7000000000000006</t>
  </si>
  <si>
    <t>EMP0376</t>
  </si>
  <si>
    <t>EMP0377</t>
  </si>
  <si>
    <t>2.766666666666666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</si>
  <si>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</si>
  <si>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</si>
  <si>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</si>
  <si>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</si>
  <si>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</si>
  <si>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</si>
  <si>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</si>
  <si>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</si>
  <si>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</si>
  <si>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</si>
  <si>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</si>
  <si>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</si>
  <si>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</si>
  <si>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</si>
  <si>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</si>
  <si>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</si>
  <si>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</si>
  <si>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</si>
  <si>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</si>
  <si>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</si>
  <si>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</si>
  <si>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</si>
  <si>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</si>
  <si>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0.8333333333333334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</si>
  <si>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</si>
  <si>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</si>
  <si>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</si>
  <si>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</si>
  <si>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</si>
  <si>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</si>
  <si>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</si>
  <si>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</si>
  <si>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</si>
  <si>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</si>
  <si>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</si>
  <si>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</si>
  <si>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</si>
  <si>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</si>
  <si>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</si>
  <si>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</si>
  <si>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</si>
  <si>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</si>
  <si>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</si>
  <si>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</si>
  <si>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</si>
  <si>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</si>
  <si>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</si>
  <si>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</si>
  <si>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</si>
  <si>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</si>
  <si>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</si>
  <si>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</si>
  <si>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</si>
  <si>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</si>
  <si>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</si>
  <si>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</si>
  <si>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</si>
  <si>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</si>
  <si>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</si>
  <si>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</si>
  <si>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</si>
  <si>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</si>
  <si>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3.033333333333333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</si>
  <si>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</si>
  <si>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</si>
  <si>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</si>
  <si>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</si>
  <si>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</si>
  <si>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</si>
  <si>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</si>
  <si>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</si>
  <si>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</si>
  <si>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</si>
  <si>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</si>
  <si>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</si>
  <si>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</si>
  <si>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</si>
  <si>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</si>
  <si>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</si>
  <si>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</si>
  <si>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</si>
  <si>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</si>
  <si>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</si>
  <si>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</si>
  <si>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</si>
  <si>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</si>
  <si>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</si>
  <si>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</si>
  <si>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</si>
  <si>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</si>
  <si>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</si>
  <si>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</si>
  <si>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</si>
  <si>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</si>
  <si>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</si>
  <si>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</si>
  <si>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</si>
  <si>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</si>
  <si>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</si>
  <si>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</si>
  <si>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</si>
  <si>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</si>
  <si>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</si>
  <si>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</si>
  <si>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</si>
  <si>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</si>
  <si>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</si>
  <si>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</si>
  <si>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</si>
  <si>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</si>
  <si>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</si>
  <si>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</si>
  <si>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4.066666666666667</t>
  </si>
  <si>
    <t>EMP0488</t>
  </si>
  <si>
    <t>2.933333333333333</t>
  </si>
  <si>
    <t>EMP0489</t>
  </si>
  <si>
    <t>FINANCIAL ANALYST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</si>
  <si>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</si>
  <si>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</si>
  <si>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</si>
  <si>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</si>
  <si>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</si>
  <si>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</si>
  <si>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</si>
  <si>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</si>
  <si>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</si>
  <si>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</si>
  <si>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</si>
  <si>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</si>
  <si>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</si>
  <si>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</si>
  <si>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</si>
  <si>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</si>
  <si>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</si>
  <si>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</si>
  <si>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</si>
  <si>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</si>
  <si>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</si>
  <si>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</si>
  <si>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</si>
  <si>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</si>
  <si>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</si>
  <si>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</si>
  <si>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</si>
  <si>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2.1999999999999997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</si>
  <si>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</si>
  <si>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</si>
  <si>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</si>
  <si>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</si>
  <si>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</si>
  <si>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</si>
  <si>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</si>
  <si>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</si>
  <si>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</si>
  <si>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</si>
  <si>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</si>
  <si>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</si>
  <si>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</si>
  <si>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</si>
  <si>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</si>
  <si>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</si>
  <si>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OPERATIONS MANAGER</t>
  </si>
  <si>
    <t>EMP0533</t>
  </si>
  <si>
    <t>EMP0534</t>
  </si>
  <si>
    <t>EMP0535</t>
  </si>
  <si>
    <t>4.233333333333333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</si>
  <si>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</si>
  <si>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</si>
  <si>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</si>
  <si>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</si>
  <si>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</si>
  <si>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</si>
  <si>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</si>
  <si>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</si>
  <si>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</si>
  <si>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</si>
  <si>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</si>
  <si>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</si>
  <si>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</si>
  <si>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</si>
  <si>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</si>
  <si>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</si>
  <si>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</si>
  <si>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</si>
  <si>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</si>
  <si>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</si>
  <si>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</si>
  <si>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</si>
  <si>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</si>
  <si>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</si>
  <si>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</si>
  <si>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4.433333333333334</t>
  </si>
  <si>
    <t>EMP0561</t>
  </si>
  <si>
    <t>EMP0562</t>
  </si>
  <si>
    <t>2.733333333333334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</si>
  <si>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</si>
  <si>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</si>
  <si>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</si>
  <si>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</si>
  <si>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</si>
  <si>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</si>
  <si>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</si>
  <si>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</si>
  <si>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</si>
  <si>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</si>
  <si>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</si>
  <si>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</si>
  <si>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</si>
  <si>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</si>
  <si>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</si>
  <si>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</si>
  <si>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</si>
  <si>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</si>
  <si>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</si>
  <si>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</si>
  <si>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</si>
  <si>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</si>
  <si>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</si>
  <si>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</si>
  <si>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</si>
  <si>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</si>
  <si>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</si>
  <si>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</si>
  <si>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</si>
  <si>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</si>
  <si>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</si>
  <si>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ACCOUNT MANAGER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</si>
  <si>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</si>
  <si>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</si>
  <si>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</si>
  <si>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</si>
  <si>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</si>
  <si>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</si>
  <si>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</si>
  <si>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</si>
  <si>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</si>
  <si>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</si>
  <si>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</si>
  <si>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</si>
  <si>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</si>
  <si>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</si>
  <si>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</si>
  <si>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</si>
  <si>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</si>
  <si>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</si>
  <si>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</si>
  <si>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</si>
  <si>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</si>
  <si>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</si>
  <si>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3.866666666666666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</si>
  <si>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</si>
  <si>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</si>
  <si>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</si>
  <si>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</si>
  <si>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</si>
  <si>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</si>
  <si>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</si>
  <si>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</si>
  <si>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</si>
  <si>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</si>
  <si>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</si>
  <si>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</si>
  <si>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</si>
  <si>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</si>
  <si>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</si>
  <si>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</si>
  <si>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</si>
  <si>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</si>
  <si>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</si>
  <si>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</si>
  <si>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</si>
  <si>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</si>
  <si>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</si>
  <si>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</si>
  <si>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</si>
  <si>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</si>
  <si>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</si>
  <si>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</si>
  <si>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</si>
  <si>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</si>
  <si>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</si>
  <si>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</si>
  <si>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</si>
  <si>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</si>
  <si>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</si>
  <si>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</si>
  <si>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</si>
  <si>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</si>
  <si>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</si>
  <si>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3.433333333333333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</si>
  <si>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</si>
  <si>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</si>
  <si>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</si>
  <si>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</si>
  <si>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</si>
  <si>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</si>
  <si>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</si>
  <si>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</si>
  <si>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SUPPORT TEAM LEAD</t>
  </si>
  <si>
    <t>EMP0663</t>
  </si>
  <si>
    <t>EMP0664</t>
  </si>
  <si>
    <t>EMP0665</t>
  </si>
  <si>
    <t>2.1666666666666665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</si>
  <si>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</si>
  <si>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</si>
  <si>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</si>
  <si>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</si>
  <si>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</si>
  <si>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</si>
  <si>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</si>
  <si>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</si>
  <si>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</si>
  <si>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</si>
  <si>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</si>
  <si>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</si>
  <si>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</si>
  <si>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</si>
  <si>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</si>
  <si>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</si>
  <si>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</si>
  <si>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</si>
  <si>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</si>
  <si>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</si>
  <si>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</si>
  <si>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</si>
  <si>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</si>
  <si>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</si>
  <si>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</si>
  <si>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</si>
  <si>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</si>
  <si>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</si>
  <si>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</si>
  <si>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</si>
  <si>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</si>
  <si>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</si>
  <si>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</si>
  <si>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</si>
  <si>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</si>
  <si>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</si>
  <si>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</si>
  <si>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</si>
  <si>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3.733333333333334</t>
  </si>
  <si>
    <t>EMP0704</t>
  </si>
  <si>
    <t>EMP0705</t>
  </si>
  <si>
    <t>EMP0706</t>
  </si>
  <si>
    <t>4.133333333333333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</si>
  <si>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</si>
  <si>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</si>
  <si>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</si>
  <si>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</si>
  <si>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</si>
  <si>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</si>
  <si>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</si>
  <si>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</si>
  <si>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</si>
  <si>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</si>
  <si>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</si>
  <si>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</si>
  <si>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</si>
  <si>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</si>
  <si>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</si>
  <si>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</si>
  <si>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</si>
  <si>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</si>
  <si>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</si>
  <si>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</si>
  <si>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</si>
  <si>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</si>
  <si>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</si>
  <si>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</si>
  <si>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</si>
  <si>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</si>
  <si>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</si>
  <si>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</si>
  <si>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Sales Exec.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</si>
  <si>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</si>
  <si>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</si>
  <si>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</si>
  <si>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</si>
  <si>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</si>
  <si>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</si>
  <si>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</si>
  <si>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</si>
  <si>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</si>
  <si>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</si>
  <si>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</si>
  <si>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</si>
  <si>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</si>
  <si>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</si>
  <si>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</si>
  <si>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</si>
  <si>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</si>
  <si>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</si>
  <si>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</si>
  <si>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</si>
  <si>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</si>
  <si>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</si>
  <si>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</si>
  <si>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</si>
  <si>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</si>
  <si>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</si>
  <si>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</si>
  <si>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</si>
  <si>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</si>
  <si>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</si>
  <si>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</si>
  <si>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SUPPORT ASSOCIATE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</si>
  <si>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</si>
  <si>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</si>
  <si>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</si>
  <si>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</si>
  <si>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</si>
  <si>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</si>
  <si>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</si>
  <si>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</si>
  <si>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</si>
  <si>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</si>
  <si>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</si>
  <si>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</si>
  <si>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</si>
  <si>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</si>
  <si>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</si>
  <si>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</si>
  <si>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</si>
  <si>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</si>
  <si>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</si>
  <si>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</si>
  <si>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</si>
  <si>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</si>
  <si>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</si>
  <si>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</si>
  <si>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</si>
  <si>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</si>
  <si>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</si>
  <si>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</si>
  <si>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</si>
  <si>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</si>
  <si>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</si>
  <si>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</si>
  <si>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</si>
  <si>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</si>
  <si>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</si>
  <si>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</si>
  <si>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</si>
  <si>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</si>
  <si>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</si>
  <si>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</si>
  <si>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</si>
  <si>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</si>
  <si>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</si>
  <si>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</si>
  <si>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</si>
  <si>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</si>
  <si>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</si>
  <si>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</si>
  <si>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</si>
  <si>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</si>
  <si>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</si>
  <si>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</si>
  <si>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</si>
  <si>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</si>
  <si>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1.8333333333333333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</si>
  <si>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</si>
  <si>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</si>
  <si>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</si>
  <si>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</si>
  <si>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</si>
  <si>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</si>
  <si>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</si>
  <si>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</si>
  <si>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</si>
  <si>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</si>
  <si>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</si>
  <si>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</si>
  <si>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</si>
  <si>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</si>
  <si>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</si>
  <si>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</si>
  <si>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</si>
  <si>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</si>
  <si>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</si>
  <si>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</si>
  <si>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</si>
  <si>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</si>
  <si>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</si>
  <si>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</si>
  <si>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</si>
  <si>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</si>
  <si>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</si>
  <si>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</si>
  <si>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</si>
  <si>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</si>
  <si>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</si>
  <si>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2.266666666666667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</si>
  <si>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</si>
  <si>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</si>
  <si>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</si>
  <si>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</si>
  <si>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</si>
  <si>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</si>
  <si>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</si>
  <si>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</si>
  <si>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</si>
  <si>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</si>
  <si>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</si>
  <si>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</si>
  <si>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</si>
  <si>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</si>
  <si>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1.6333333333333335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</si>
  <si>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</si>
  <si>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</si>
  <si>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</si>
  <si>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</si>
  <si>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</si>
  <si>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</si>
  <si>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</si>
  <si>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</si>
  <si>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</si>
  <si>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</si>
  <si>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</si>
  <si>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</si>
  <si>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</si>
  <si>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</si>
  <si>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</si>
  <si>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</si>
  <si>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</si>
  <si>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</si>
  <si>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</si>
  <si>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</si>
  <si>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</si>
  <si>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</si>
  <si>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</si>
  <si>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</si>
  <si>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</si>
  <si>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</si>
  <si>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</si>
  <si>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</si>
  <si>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</si>
  <si>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</si>
  <si>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</si>
  <si>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</si>
  <si>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</si>
  <si>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</si>
  <si>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</si>
  <si>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</si>
  <si>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</si>
  <si>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</si>
  <si>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</si>
  <si>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</si>
  <si>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</si>
  <si>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</si>
  <si>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</si>
  <si>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</si>
  <si>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</si>
  <si>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</si>
  <si>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</si>
  <si>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</si>
  <si>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</si>
  <si>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</si>
  <si>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</si>
  <si>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</si>
  <si>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SUPPORT SPECIALIST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</si>
  <si>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</si>
  <si>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</si>
  <si>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</si>
  <si>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</si>
  <si>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</si>
  <si>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</si>
  <si>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</si>
  <si>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</si>
  <si>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</si>
  <si>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</si>
  <si>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</si>
  <si>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</si>
  <si>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</si>
  <si>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</si>
  <si>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</si>
  <si>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</si>
  <si>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</si>
  <si>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</si>
  <si>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</si>
  <si>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</si>
  <si>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</si>
  <si>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</si>
  <si>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</si>
  <si>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</si>
  <si>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</si>
  <si>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</si>
  <si>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</si>
  <si>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</si>
  <si>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</si>
  <si>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</si>
  <si>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</si>
  <si>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</si>
  <si>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</si>
  <si>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</si>
  <si>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</si>
  <si>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</si>
  <si>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</si>
  <si>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</si>
  <si>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4.333333333333333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</si>
  <si>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</si>
  <si>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</si>
  <si>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</si>
  <si>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</si>
  <si>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</si>
  <si>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</si>
  <si>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</si>
  <si>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</si>
  <si>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</si>
  <si>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</si>
  <si>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</si>
  <si>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</si>
  <si>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</si>
  <si>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</si>
  <si>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</si>
  <si>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</si>
  <si>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</si>
  <si>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</si>
  <si>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</si>
  <si>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</si>
  <si>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</si>
  <si>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</si>
  <si>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</si>
  <si>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</si>
  <si>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</si>
  <si>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</si>
  <si>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</si>
  <si>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</si>
  <si>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</si>
  <si>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</si>
  <si>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</si>
  <si>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</si>
  <si>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4.533333333333334</t>
  </si>
  <si>
    <t>EMP0987</t>
  </si>
  <si>
    <t>EMP0988</t>
  </si>
  <si>
    <t>EMP0989</t>
  </si>
  <si>
    <t>EMP0990</t>
  </si>
  <si>
    <t>EMP0991</t>
  </si>
  <si>
    <t>EMP0992</t>
  </si>
  <si>
    <t>EMP0993</t>
  </si>
  <si>
    <t>OPERATIONS ASSOCIATE</t>
  </si>
  <si>
    <t>EMP0994</t>
  </si>
  <si>
    <t>EMP0995</t>
  </si>
  <si>
    <t>EMP0996</t>
  </si>
  <si>
    <t>EMP0997</t>
  </si>
  <si>
    <t>EMP0998</t>
  </si>
  <si>
    <t>EMP0999</t>
  </si>
  <si>
    <t>EMP1000</t>
  </si>
  <si>
    <t>Row Labels</t>
  </si>
  <si>
    <t>Grand Total</t>
  </si>
  <si>
    <t>Count of employee_id</t>
  </si>
  <si>
    <t>Sum of attrition</t>
  </si>
  <si>
    <t>Attrition Rate</t>
  </si>
  <si>
    <t>Department</t>
  </si>
  <si>
    <t>HR</t>
  </si>
  <si>
    <t>Average of tenure_years</t>
  </si>
  <si>
    <t>Average of overtime_hours</t>
  </si>
  <si>
    <t>Average of satisfaction_score</t>
  </si>
  <si>
    <t>Average of work_life_balance_score</t>
  </si>
  <si>
    <t>Average of manager_support_score</t>
  </si>
  <si>
    <t>Exit Status</t>
  </si>
  <si>
    <t>Exit_Status</t>
  </si>
  <si>
    <t>Promotion_status</t>
  </si>
  <si>
    <t>Attrition_Rate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</si>
</sst>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16" fillId="33" borderId="0" xfId="0" applyFont="1" applyFill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Dept_Attrition!$G$3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Dept_Attrition!$F$4:$F$9</c:f>
              <c:strCache>
                <c:ptCount val="6"/>
                <c:pt idx="0">
                  <c:v>Customer Support</c:v>
                </c:pt>
                <c:pt idx="1">
                  <c:v>Engineering</c:v>
                </c:pt>
                <c:pt idx="2">
                  <c:v>Finance</c:v>
                </c:pt>
                <c:pt idx="3">
                  <c:v>HR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Dept_Attrition!$G$4:$G$9</c:f>
              <c:numCache>
                <c:formatCode>0.00%</c:formatCode>
                <c:ptCount val="6"/>
                <c:pt idx="0">
                  <c:v>5.5599999999999997E-2</c:v>
                </c:pt>
                <c:pt idx="1">
                  <c:v>7.1999999999999995E-2</c:v>
                </c:pt>
                <c:pt idx="2">
                  <c:v>0.04</c:v>
                </c:pt>
                <c:pt idx="3">
                  <c:v>2.5600000000000001E-2</c:v>
                </c:pt>
                <c:pt idx="4">
                  <c:v>6.4500000000000002E-2</c:v>
                </c:pt>
                <c:pt idx="5">
                  <c:v>6.2899999999999998E-2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E-441F-B4E7-2F2BC7E8E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021648"/>
        <c:axId val="202240304"/>
      </c:barChart>
      <c:catAx>
        <c:axId val="5750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0304"/>
        <c:crosses val="autoZero"/>
        <c:auto val="1"/>
        <c:lblAlgn val="ctr"/>
        <c:lblOffset val="100"/>
        <c:noMultiLvlLbl val="0"/>
      </c:catAx>
      <c:valAx>
        <c:axId val="20224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2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[employee_attrition_final.xlsx]Tenure_Analysis!PivotTable4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Tenure: Left vs Stayed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Tenure_Analysis!$A$4:$A$6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Tenure_Analysis!$B$4:$B$6</c:f>
              <c:numCache>
                <c:formatCode>0.00</c:formatCode>
                <c:ptCount val="2"/>
                <c:pt idx="0">
                  <c:v>3.8864406779661014</c:v>
                </c:pt>
                <c:pt idx="1">
                  <c:v>4.4976620616365581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D-4F17-9B06-339375160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011904"/>
        <c:axId val="202176944"/>
      </c:barChart>
      <c:catAx>
        <c:axId val="575011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6944"/>
        <c:crosses val="autoZero"/>
        <c:auto val="1"/>
        <c:lblAlgn val="ctr"/>
        <c:lblOffset val="100"/>
        <c:noMultiLvlLbl val="0"/>
      </c:catAx>
      <c:valAx>
        <c:axId val="2021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1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[employee_attrition_final.xlsx]OverTime_Analysis!PivotTable5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Overtime: Left vs Stayed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OverTime_Analysis!$B$3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OverTime_Analysis!$A$4:$A$6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OverTime_Analysis!$B$4:$B$6</c:f>
              <c:numCache>
                <c:formatCode>General</c:formatCode>
                <c:ptCount val="2"/>
                <c:pt idx="0">
                  <c:v>17.006779661016953</c:v>
                </c:pt>
                <c:pt idx="1">
                  <c:v>12.296811902231674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8-458D-87F5-00C617DAA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8521440"/>
        <c:axId val="202263344"/>
      </c:barChart>
      <c:catAx>
        <c:axId val="63852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63344"/>
        <c:crosses val="autoZero"/>
        <c:auto val="1"/>
        <c:lblAlgn val="ctr"/>
        <c:lblOffset val="100"/>
        <c:noMultiLvlLbl val="0"/>
      </c:catAx>
      <c:valAx>
        <c:axId val="2022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52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[employee_attrition_final.xlsx]Engagement_Analysis!PivotTable6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Engagement Scores: Left vs Stayed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Engagement_Analysis!$B$3</c:f>
              <c:strCache>
                <c:ptCount val="1"/>
                <c:pt idx="0">
                  <c:v>Average of satisfaction_score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Engagement_Analysis!$A$4:$A$6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Engagement_Analysis!$B$4:$B$6</c:f>
              <c:numCache>
                <c:formatCode>0.00</c:formatCode>
                <c:ptCount val="2"/>
                <c:pt idx="0">
                  <c:v>3.0050847457627117</c:v>
                </c:pt>
                <c:pt idx="1">
                  <c:v>3.3515409139213626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1-4D97-91AE-A7CF01F126C9}"/>
            </c:ext>
          </c:extLst>
        </c:ser>
        <c:ser>
          <c:idx val="1"/>
          <c:order val="1"/>
          <c:tx>
            <c:strRef>
              <c:f>Engagement_Analysis!$C$3</c:f>
              <c:strCache>
                <c:ptCount val="1"/>
                <c:pt idx="0">
                  <c:v>Average of work_life_balance_score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Engagement_Analysis!$A$4:$A$6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Engagement_Analysis!$C$4:$C$6</c:f>
              <c:numCache>
                <c:formatCode>0.00</c:formatCode>
                <c:ptCount val="2"/>
                <c:pt idx="0">
                  <c:v>3.035593220338983</c:v>
                </c:pt>
                <c:pt idx="1">
                  <c:v>3.2350690754516505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81-4D97-91AE-A7CF01F126C9}"/>
            </c:ext>
          </c:extLst>
        </c:ser>
        <c:ser>
          <c:idx val="2"/>
          <c:order val="2"/>
          <c:tx>
            <c:strRef>
              <c:f>Engagement_Analysis!$D$3</c:f>
              <c:strCache>
                <c:ptCount val="1"/>
                <c:pt idx="0">
                  <c:v>Average of manager_support_score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Engagement_Analysis!$A$4:$A$6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Engagement_Analysis!$D$4:$D$6</c:f>
              <c:numCache>
                <c:formatCode>0.00</c:formatCode>
                <c:ptCount val="2"/>
                <c:pt idx="0">
                  <c:v>3.4474576271186437</c:v>
                </c:pt>
                <c:pt idx="1">
                  <c:v>3.4171094580233845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81-4D97-91AE-A7CF01F12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905760"/>
        <c:axId val="202184624"/>
      </c:barChart>
      <c:catAx>
        <c:axId val="68990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4624"/>
        <c:crosses val="autoZero"/>
        <c:auto val="1"/>
        <c:lblAlgn val="ctr"/>
        <c:lblOffset val="100"/>
        <c:noMultiLvlLbl val="0"/>
      </c:catAx>
      <c:valAx>
        <c:axId val="20218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90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[employee_attrition_final.xlsx]Promotion_Analysis!PivotTable7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Employee Exits by Promotion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Promotion_Analysis!$B$3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Promotion_Analysis!$A$4:$A$6</c:f>
              <c:strCache>
                <c:ptCount val="2"/>
                <c:pt idx="0">
                  <c:v>No Recorded Promotions</c:v>
                </c:pt>
                <c:pt idx="1">
                  <c:v>Promoted</c:v>
                </c:pt>
              </c:strCache>
            </c:strRef>
          </c:cat>
          <c:val>
            <c:numRef>
              <c:f>Promotion_Analysis!$B$4:$B$6</c:f>
              <c:numCache>
                <c:formatCode>General</c:formatCode>
                <c:ptCount val="2"/>
                <c:pt idx="0">
                  <c:v>30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C-4A02-9804-9E1A4D3D116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8276848"/>
        <c:axId val="202220144"/>
      </c:barChart>
      <c:catAx>
        <c:axId val="213827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20144"/>
        <c:crosses val="autoZero"/>
        <c:auto val="1"/>
        <c:lblAlgn val="ctr"/>
        <c:lblOffset val="100"/>
        <c:noMultiLvlLbl val="0"/>
      </c:catAx>
      <c:valAx>
        <c:axId val="20222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27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[employee_attrition_final.xlsx]Role_Attrition!PivotTable8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Role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Role_Attrition!$B$3</c:f>
              <c:strCache>
                <c:ptCount val="1"/>
                <c:pt idx="0">
                  <c:v>Count of employee_id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Role_Attrition!$A$4:$A$24</c:f>
              <c:strCache>
                <c:ptCount val="20"/>
                <c:pt idx="0">
                  <c:v>Account Manager</c:v>
                </c:pt>
                <c:pt idx="1">
                  <c:v>Accountant</c:v>
                </c:pt>
                <c:pt idx="2">
                  <c:v>Data Analyst</c:v>
                </c:pt>
                <c:pt idx="3">
                  <c:v>Finance Manager</c:v>
                </c:pt>
                <c:pt idx="4">
                  <c:v>Financial Analyst</c:v>
                </c:pt>
                <c:pt idx="5">
                  <c:v>HR Executive</c:v>
                </c:pt>
                <c:pt idx="6">
                  <c:v>HR Manager</c:v>
                </c:pt>
                <c:pt idx="7">
                  <c:v>Operations Associate</c:v>
                </c:pt>
                <c:pt idx="8">
                  <c:v>Operations Manager</c:v>
                </c:pt>
                <c:pt idx="9">
                  <c:v>QA Engineer</c:v>
                </c:pt>
                <c:pt idx="10">
                  <c:v>Recruiter</c:v>
                </c:pt>
                <c:pt idx="11">
                  <c:v>Sales Exec.</c:v>
                </c:pt>
                <c:pt idx="12">
                  <c:v>Sales Executive</c:v>
                </c:pt>
                <c:pt idx="13">
                  <c:v>Sales Manager</c:v>
                </c:pt>
                <c:pt idx="14">
                  <c:v>Senior Software Engineer</c:v>
                </c:pt>
                <c:pt idx="15">
                  <c:v>Software Engineer</c:v>
                </c:pt>
                <c:pt idx="16">
                  <c:v>Support Associate</c:v>
                </c:pt>
                <c:pt idx="17">
                  <c:v>Support Specialist</c:v>
                </c:pt>
                <c:pt idx="18">
                  <c:v>Support Team Lead</c:v>
                </c:pt>
                <c:pt idx="19">
                  <c:v>Team Lead</c:v>
                </c:pt>
              </c:strCache>
            </c:strRef>
          </c:cat>
          <c:val>
            <c:numRef>
              <c:f>Role_Attrition!$B$4:$B$24</c:f>
              <c:numCache>
                <c:formatCode>General</c:formatCode>
                <c:ptCount val="20"/>
                <c:pt idx="0">
                  <c:v>56</c:v>
                </c:pt>
                <c:pt idx="1">
                  <c:v>32</c:v>
                </c:pt>
                <c:pt idx="2">
                  <c:v>69</c:v>
                </c:pt>
                <c:pt idx="3">
                  <c:v>35</c:v>
                </c:pt>
                <c:pt idx="4">
                  <c:v>33</c:v>
                </c:pt>
                <c:pt idx="5">
                  <c:v>22</c:v>
                </c:pt>
                <c:pt idx="6">
                  <c:v>24</c:v>
                </c:pt>
                <c:pt idx="7">
                  <c:v>72</c:v>
                </c:pt>
                <c:pt idx="8">
                  <c:v>67</c:v>
                </c:pt>
                <c:pt idx="9">
                  <c:v>57</c:v>
                </c:pt>
                <c:pt idx="10">
                  <c:v>32</c:v>
                </c:pt>
                <c:pt idx="11">
                  <c:v>1</c:v>
                </c:pt>
                <c:pt idx="12">
                  <c:v>72</c:v>
                </c:pt>
                <c:pt idx="13">
                  <c:v>46</c:v>
                </c:pt>
                <c:pt idx="14">
                  <c:v>68</c:v>
                </c:pt>
                <c:pt idx="15">
                  <c:v>56</c:v>
                </c:pt>
                <c:pt idx="16">
                  <c:v>52</c:v>
                </c:pt>
                <c:pt idx="17">
                  <c:v>55</c:v>
                </c:pt>
                <c:pt idx="18">
                  <c:v>73</c:v>
                </c:pt>
                <c:pt idx="1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4-4216-84D7-A061D8383534}"/>
            </c:ext>
          </c:extLst>
        </c:ser>
        <c:ser>
          <c:idx val="1"/>
          <c:order val="1"/>
          <c:tx>
            <c:strRef>
              <c:f>Role_Attrition!$C$3</c:f>
              <c:strCache>
                <c:ptCount val="1"/>
                <c:pt idx="0">
                  <c:v>Sum of attrition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Role_Attrition!$A$4:$A$24</c:f>
              <c:strCache>
                <c:ptCount val="20"/>
                <c:pt idx="0">
                  <c:v>Account Manager</c:v>
                </c:pt>
                <c:pt idx="1">
                  <c:v>Accountant</c:v>
                </c:pt>
                <c:pt idx="2">
                  <c:v>Data Analyst</c:v>
                </c:pt>
                <c:pt idx="3">
                  <c:v>Finance Manager</c:v>
                </c:pt>
                <c:pt idx="4">
                  <c:v>Financial Analyst</c:v>
                </c:pt>
                <c:pt idx="5">
                  <c:v>HR Executive</c:v>
                </c:pt>
                <c:pt idx="6">
                  <c:v>HR Manager</c:v>
                </c:pt>
                <c:pt idx="7">
                  <c:v>Operations Associate</c:v>
                </c:pt>
                <c:pt idx="8">
                  <c:v>Operations Manager</c:v>
                </c:pt>
                <c:pt idx="9">
                  <c:v>QA Engineer</c:v>
                </c:pt>
                <c:pt idx="10">
                  <c:v>Recruiter</c:v>
                </c:pt>
                <c:pt idx="11">
                  <c:v>Sales Exec.</c:v>
                </c:pt>
                <c:pt idx="12">
                  <c:v>Sales Executive</c:v>
                </c:pt>
                <c:pt idx="13">
                  <c:v>Sales Manager</c:v>
                </c:pt>
                <c:pt idx="14">
                  <c:v>Senior Software Engineer</c:v>
                </c:pt>
                <c:pt idx="15">
                  <c:v>Software Engineer</c:v>
                </c:pt>
                <c:pt idx="16">
                  <c:v>Support Associate</c:v>
                </c:pt>
                <c:pt idx="17">
                  <c:v>Support Specialist</c:v>
                </c:pt>
                <c:pt idx="18">
                  <c:v>Support Team Lead</c:v>
                </c:pt>
                <c:pt idx="19">
                  <c:v>Team Lead</c:v>
                </c:pt>
              </c:strCache>
            </c:strRef>
          </c:cat>
          <c:val>
            <c:numRef>
              <c:f>Role_Attrition!$C$4:$C$24</c:f>
              <c:numCache>
                <c:formatCode>General</c:formatCode>
                <c:ptCount val="20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1</c:v>
                </c:pt>
                <c:pt idx="11">
                  <c:v>0</c:v>
                </c:pt>
                <c:pt idx="12">
                  <c:v>5</c:v>
                </c:pt>
                <c:pt idx="13">
                  <c:v>3</c:v>
                </c:pt>
                <c:pt idx="14">
                  <c:v>5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6</c:v>
                </c:pt>
                <c:pt idx="1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94-4216-84D7-A061D8383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572608"/>
        <c:axId val="202241744"/>
      </c:barChart>
      <c:catAx>
        <c:axId val="71057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241744"/>
        <c:crosses val="autoZero"/>
        <c:auto val="1"/>
        <c:lblAlgn val="ctr"/>
        <c:lblOffset val="100"/>
        <c:noMultiLvlLbl val="0"/>
      </c:catAx>
      <c:valAx>
        <c:axId val="20224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7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250825</xdr:colOff>
      <xdr:row>11</xdr:row>
      <xdr:rowOff>6350</xdr:rowOff>
    </xdr:from>
    <xdr:to>
      <xdr:col>5</xdr:col>
      <xdr:colOff>34925</xdr:colOff>
      <xdr:row>25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F5437C-C088-FA51-283A-E6AB6006C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330206</xdr:colOff>
      <xdr:row>7</xdr:row>
      <xdr:rowOff>57150</xdr:rowOff>
    </xdr:from>
    <xdr:to>
      <xdr:col>4</xdr:col>
      <xdr:colOff>57150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F0AEFA-9121-4909-9A0D-1B67A78527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292106</xdr:colOff>
      <xdr:row>7</xdr:row>
      <xdr:rowOff>114300</xdr:rowOff>
    </xdr:from>
    <xdr:to>
      <xdr:col>2</xdr:col>
      <xdr:colOff>914400</xdr:colOff>
      <xdr:row>19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1FAD1-7FB0-4AD2-71DE-E400C036B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177806</xdr:colOff>
      <xdr:row>7</xdr:row>
      <xdr:rowOff>88900</xdr:rowOff>
    </xdr:from>
    <xdr:to>
      <xdr:col>3</xdr:col>
      <xdr:colOff>1917700</xdr:colOff>
      <xdr:row>22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34CEA6-7AE9-86FE-5929-EE1AA0C9B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908050</xdr:colOff>
      <xdr:row>7</xdr:row>
      <xdr:rowOff>66675</xdr:rowOff>
    </xdr:from>
    <xdr:to>
      <xdr:col>5</xdr:col>
      <xdr:colOff>247650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151434-EA76-AFA3-6616-7C73C41D8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384175</xdr:colOff>
      <xdr:row>5</xdr:row>
      <xdr:rowOff>168275</xdr:rowOff>
    </xdr:from>
    <xdr:to>
      <xdr:col>12</xdr:col>
      <xdr:colOff>79375</xdr:colOff>
      <xdr:row>20</xdr:row>
      <xdr:rowOff>149225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1E9577-0756-6158-0F73-2AB88A46E0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8.522033564812" createdVersion="8" refreshedVersion="8" minRefreshableVersion="3" recordCount="1000" xr:uid="{B112AE22-A57C-4471-AF74-67A1AB657B84}">
  <cacheSource type="worksheet">
    <worksheetSource ref="A1:AL1001" sheet="employee_attrition_final"/>
  </cacheSource>
  <cacheFields count="38">
    <cacheField name="employee_id" numFmtId="0">
      <sharedItems/>
    </cacheField>
    <cacheField name="department" numFmtId="0">
      <sharedItems count="6">
        <s v="Operations"/>
        <s v="Hr"/>
        <s v="Customer Support"/>
        <s v="Engineering"/>
        <s v="Sales"/>
        <s v="Finance"/>
      </sharedItems>
    </cacheField>
    <cacheField name="role" numFmtId="0">
      <sharedItems/>
    </cacheField>
    <cacheField name="tenure_years" numFmtId="0">
      <sharedItems containsSemiMixedTypes="0" containsString="0" containsNumber="1" minValue="0.1" maxValue="19.899999999999999"/>
    </cacheField>
    <cacheField name="grade" numFmtId="0">
      <sharedItems/>
    </cacheField>
    <cacheField name="age" numFmtId="0">
      <sharedItems containsSemiMixedTypes="0" containsString="0" containsNumber="1" containsInteger="1" minValue="21" maxValue="50"/>
    </cacheField>
    <cacheField name="education_level" numFmtId="0">
      <sharedItems/>
    </cacheField>
    <cacheField name="work_location" numFmtId="0">
      <sharedItems/>
    </cacheField>
    <cacheField name="absence_days" numFmtId="0">
      <sharedItems containsSemiMixedTypes="0" containsString="0" containsNumber="1" containsInteger="1" minValue="0" maxValue="10"/>
    </cacheField>
    <cacheField name="overtime_hours" numFmtId="0">
      <sharedItems containsSemiMixedTypes="0" containsString="0" containsNumber="1" minValue="0.3" maxValue="120"/>
    </cacheField>
    <cacheField name="leave_days" numFmtId="0">
      <sharedItems containsSemiMixedTypes="0" containsString="0" containsNumber="1" containsInteger="1" minValue="1" maxValue="18"/>
    </cacheField>
    <cacheField name="late_arrivals" numFmtId="0">
      <sharedItems containsSemiMixedTypes="0" containsString="0" containsNumber="1" containsInteger="1" minValue="0" maxValue="7"/>
    </cacheField>
    <cacheField name="attendance_months" numFmtId="0">
      <sharedItems containsSemiMixedTypes="0" containsString="0" containsNumber="1" containsInteger="1" minValue="12" maxValue="12"/>
    </cacheField>
    <cacheField name="overtime_outlier_flag" numFmtId="0">
      <sharedItems containsSemiMixedTypes="0" containsString="0" containsNumber="1" containsInteger="1" minValue="0" maxValue="1"/>
    </cacheField>
    <cacheField name="salary_band" numFmtId="0">
      <sharedItems/>
    </cacheField>
    <cacheField name="monthly_salary" numFmtId="0">
      <sharedItems containsSemiMixedTypes="0" containsString="0" containsNumber="1" containsInteger="1" minValue="18300" maxValue="126200"/>
    </cacheField>
    <cacheField name="increment_pct" numFmtId="0">
      <sharedItems containsSemiMixedTypes="0" containsString="0" containsNumber="1" minValue="0" maxValue="20.399999999999999"/>
    </cacheField>
    <cacheField name="benefits_score" numFmtId="0">
      <sharedItems containsSemiMixedTypes="0" containsString="0" containsNumber="1" minValue="1" maxValue="5"/>
    </cacheField>
    <cacheField name="last_increment_years" numFmtId="0">
      <sharedItems containsSemiMixedTypes="0" containsString="0" containsNumber="1" minValue="0" maxValue="8"/>
    </cacheField>
    <cacheField name="compensation_issue_flag" numFmtId="0">
      <sharedItems containsSemiMixedTypes="0" containsString="0" containsNumber="1" containsInteger="1" minValue="0" maxValue="0"/>
    </cacheField>
    <cacheField name="satisfaction_score" numFmtId="0">
      <sharedItems containsSemiMixedTypes="0" containsString="0" containsNumber="1" minValue="1" maxValue="5"/>
    </cacheField>
    <cacheField name="work_life_balance_score" numFmtId="0">
      <sharedItems containsSemiMixedTypes="0" containsString="0" containsNumber="1" minValue="1" maxValue="5"/>
    </cacheField>
    <cacheField name="manager_support_score" numFmtId="0">
      <sharedItems containsSemiMixedTypes="0" containsString="0" containsNumber="1" minValue="1" maxValue="5"/>
    </cacheField>
    <cacheField name="survey_participation" numFmtId="0">
      <sharedItems/>
    </cacheField>
    <cacheField name="missing_survey_score_flag" numFmtId="0">
      <sharedItems containsSemiMixedTypes="0" containsString="0" containsNumber="1" containsInteger="1" minValue="0" maxValue="1"/>
    </cacheField>
    <cacheField name="promotion_count" numFmtId="0">
      <sharedItems containsSemiMixedTypes="0" containsString="0" containsNumber="1" containsInteger="1" minValue="0" maxValue="5"/>
    </cacheField>
    <cacheField name="last_promotion_years" numFmtId="0">
      <sharedItems containsString="0" containsBlank="1" containsNumber="1" minValue="0" maxValue="15"/>
    </cacheField>
    <cacheField name="transfer_count" numFmtId="0">
      <sharedItems containsSemiMixedTypes="0" containsString="0" containsNumber="1" containsInteger="1" minValue="0" maxValue="3"/>
    </cacheField>
    <cacheField name="exit_status" numFmtId="0">
      <sharedItems/>
    </cacheField>
    <cacheField name="exit_date" numFmtId="0">
      <sharedItems containsNonDate="0" containsDate="1" containsString="0" containsBlank="1" minDate="2024-02-06T00:00:00" maxDate="2026-09-27T00:00:00"/>
    </cacheField>
    <cacheField name="promotion_history_missing" numFmtId="0">
      <sharedItems containsSemiMixedTypes="0" containsString="0" containsNumber="1" containsInteger="1" minValue="0" maxValue="1"/>
    </cacheField>
    <cacheField name="movement_issue_flag" numFmtId="0">
      <sharedItems containsSemiMixedTypes="0" containsString="0" containsNumber="1" containsInteger="1" minValue="0" maxValue="0"/>
    </cacheField>
    <cacheField name="promotion_status" numFmtId="0">
      <sharedItems/>
    </cacheField>
    <cacheField name="tenure_group" numFmtId="0">
      <sharedItems/>
    </cacheField>
    <cacheField name="overtime_category" numFmtId="0">
      <sharedItems/>
    </cacheField>
    <cacheField name="average_engagement_score" numFmtId="0">
      <sharedItems containsMixedTypes="1" containsNumber="1" minValue="2.4" maxValue="4.9000000000000004"/>
    </cacheField>
    <cacheField name="absence_per_month" numFmtId="0">
      <sharedItems containsMixedTypes="1" containsNumber="1" minValue="0" maxValue="0.75"/>
    </cacheField>
    <cacheField name="attrit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8.531611689818" createdVersion="8" refreshedVersion="8" minRefreshableVersion="3" recordCount="1000" xr:uid="{E79DEAA0-7E4A-4E59-BB2E-E272B5F8C3C8}">
  <cacheSource type="worksheet">
    <worksheetSource name="Table1"/>
  </cacheSource>
  <cacheFields count="38">
    <cacheField name="employee_id" numFmtId="0">
      <sharedItems/>
    </cacheField>
    <cacheField name="department" numFmtId="0">
      <sharedItems/>
    </cacheField>
    <cacheField name="role" numFmtId="0">
      <sharedItems count="20">
        <s v="Operations Manager"/>
        <s v="HR Executive"/>
        <s v="Support Specialist"/>
        <s v="Team Lead"/>
        <s v="Data Analyst"/>
        <s v="Support Associate"/>
        <s v="Operations Associate"/>
        <s v="Recruiter"/>
        <s v="Account Manager"/>
        <s v="Support Team Lead"/>
        <s v="Senior Software Engineer"/>
        <s v="Financial Analyst"/>
        <s v="QA Engineer"/>
        <s v="Sales Executive"/>
        <s v="Sales Manager"/>
        <s v="HR Manager"/>
        <s v="Software Engineer"/>
        <s v="Finance Manager"/>
        <s v="Accountant"/>
        <s v="Sales Exec."/>
      </sharedItems>
    </cacheField>
    <cacheField name="tenure_years" numFmtId="0">
      <sharedItems containsSemiMixedTypes="0" containsString="0" containsNumber="1" minValue="0.1" maxValue="19.899999999999999"/>
    </cacheField>
    <cacheField name="grade" numFmtId="0">
      <sharedItems/>
    </cacheField>
    <cacheField name="age" numFmtId="0">
      <sharedItems containsSemiMixedTypes="0" containsString="0" containsNumber="1" containsInteger="1" minValue="21" maxValue="50"/>
    </cacheField>
    <cacheField name="education_level" numFmtId="0">
      <sharedItems/>
    </cacheField>
    <cacheField name="work_location" numFmtId="0">
      <sharedItems/>
    </cacheField>
    <cacheField name="absence_days" numFmtId="0">
      <sharedItems containsSemiMixedTypes="0" containsString="0" containsNumber="1" containsInteger="1" minValue="0" maxValue="10"/>
    </cacheField>
    <cacheField name="overtime_hours" numFmtId="0">
      <sharedItems containsSemiMixedTypes="0" containsString="0" containsNumber="1" minValue="0.3" maxValue="120"/>
    </cacheField>
    <cacheField name="leave_days" numFmtId="0">
      <sharedItems containsSemiMixedTypes="0" containsString="0" containsNumber="1" containsInteger="1" minValue="1" maxValue="18"/>
    </cacheField>
    <cacheField name="late_arrivals" numFmtId="0">
      <sharedItems containsSemiMixedTypes="0" containsString="0" containsNumber="1" containsInteger="1" minValue="0" maxValue="7"/>
    </cacheField>
    <cacheField name="attendance_months" numFmtId="0">
      <sharedItems containsSemiMixedTypes="0" containsString="0" containsNumber="1" containsInteger="1" minValue="12" maxValue="12"/>
    </cacheField>
    <cacheField name="overtime_outlier_flag" numFmtId="0">
      <sharedItems containsSemiMixedTypes="0" containsString="0" containsNumber="1" containsInteger="1" minValue="0" maxValue="1"/>
    </cacheField>
    <cacheField name="salary_band" numFmtId="0">
      <sharedItems/>
    </cacheField>
    <cacheField name="monthly_salary" numFmtId="0">
      <sharedItems containsSemiMixedTypes="0" containsString="0" containsNumber="1" containsInteger="1" minValue="18300" maxValue="126200"/>
    </cacheField>
    <cacheField name="increment_pct" numFmtId="0">
      <sharedItems containsSemiMixedTypes="0" containsString="0" containsNumber="1" minValue="0" maxValue="20.399999999999999"/>
    </cacheField>
    <cacheField name="benefits_score" numFmtId="0">
      <sharedItems containsSemiMixedTypes="0" containsString="0" containsNumber="1" minValue="1" maxValue="5"/>
    </cacheField>
    <cacheField name="last_increment_years" numFmtId="0">
      <sharedItems containsSemiMixedTypes="0" containsString="0" containsNumber="1" minValue="0" maxValue="8"/>
    </cacheField>
    <cacheField name="compensation_issue_flag" numFmtId="0">
      <sharedItems containsSemiMixedTypes="0" containsString="0" containsNumber="1" containsInteger="1" minValue="0" maxValue="0"/>
    </cacheField>
    <cacheField name="satisfaction_score" numFmtId="0">
      <sharedItems containsSemiMixedTypes="0" containsString="0" containsNumber="1" minValue="1" maxValue="5"/>
    </cacheField>
    <cacheField name="work_life_balance_score" numFmtId="0">
      <sharedItems containsSemiMixedTypes="0" containsString="0" containsNumber="1" minValue="1" maxValue="5"/>
    </cacheField>
    <cacheField name="manager_support_score" numFmtId="0">
      <sharedItems containsSemiMixedTypes="0" containsString="0" containsNumber="1" minValue="1" maxValue="5"/>
    </cacheField>
    <cacheField name="survey_participation" numFmtId="0">
      <sharedItems/>
    </cacheField>
    <cacheField name="missing_survey_score_flag" numFmtId="0">
      <sharedItems containsSemiMixedTypes="0" containsString="0" containsNumber="1" containsInteger="1" minValue="0" maxValue="1"/>
    </cacheField>
    <cacheField name="promotion_count" numFmtId="0">
      <sharedItems containsSemiMixedTypes="0" containsString="0" containsNumber="1" containsInteger="1" minValue="0" maxValue="5"/>
    </cacheField>
    <cacheField name="last_promotion_years" numFmtId="0">
      <sharedItems containsString="0" containsBlank="1" containsNumber="1" minValue="0" maxValue="15"/>
    </cacheField>
    <cacheField name="transfer_count" numFmtId="0">
      <sharedItems containsSemiMixedTypes="0" containsString="0" containsNumber="1" containsInteger="1" minValue="0" maxValue="3"/>
    </cacheField>
    <cacheField name="exit_status" numFmtId="0">
      <sharedItems count="2">
        <s v="Stayed"/>
        <s v="Left"/>
      </sharedItems>
    </cacheField>
    <cacheField name="exit_date" numFmtId="0">
      <sharedItems containsNonDate="0" containsDate="1" containsString="0" containsBlank="1" minDate="2024-02-06T00:00:00" maxDate="2026-09-27T00:00:00"/>
    </cacheField>
    <cacheField name="promotion_history_missing" numFmtId="0">
      <sharedItems containsSemiMixedTypes="0" containsString="0" containsNumber="1" containsInteger="1" minValue="0" maxValue="1"/>
    </cacheField>
    <cacheField name="movement_issue_flag" numFmtId="0">
      <sharedItems containsSemiMixedTypes="0" containsString="0" containsNumber="1" containsInteger="1" minValue="0" maxValue="0"/>
    </cacheField>
    <cacheField name="promotion_status" numFmtId="0">
      <sharedItems count="2">
        <s v="Promoted"/>
        <s v="No Recorded Promotions"/>
      </sharedItems>
    </cacheField>
    <cacheField name="tenure_group" numFmtId="0">
      <sharedItems/>
    </cacheField>
    <cacheField name="overtime_category" numFmtId="0">
      <sharedItems/>
    </cacheField>
    <cacheField name="average_engagement_score" numFmtId="0">
      <sharedItems containsMixedTypes="1" containsNumber="1" minValue="2.4" maxValue="4.9000000000000004"/>
    </cacheField>
    <cacheField name="absence_per_month" numFmtId="0">
      <sharedItems containsMixedTypes="1" containsNumber="1" minValue="0" maxValue="0.75"/>
    </cacheField>
    <cacheField name="attrition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x v="0"/>
    <s v="Operations Manager"/>
    <n v="1.5"/>
    <s v="G4"/>
    <n v="24"/>
    <s v="Bachelor"/>
    <s v="Coimbatore"/>
    <n v="3"/>
    <n v="11.2"/>
    <n v="7"/>
    <n v="2"/>
    <n v="12"/>
    <n v="0"/>
    <s v="Band C"/>
    <n v="56600"/>
    <n v="7.3"/>
    <n v="1.5"/>
    <n v="4.2"/>
    <n v="0"/>
    <n v="3.2"/>
    <n v="3.1"/>
    <n v="3.1"/>
    <s v="Yes"/>
    <n v="0"/>
    <n v="1"/>
    <n v="0.3"/>
    <n v="0"/>
    <s v="Stayed"/>
    <m/>
    <n v="0"/>
    <n v="0"/>
    <s v="Promoted"/>
    <s v="1â€“3 years"/>
    <s v="Moderate"/>
    <s v="3.1333333333333333"/>
    <n v="0.25"/>
    <n v="0"/>
  </r>
  <r>
    <s v="EMP0002"/>
    <x v="1"/>
    <s v="HR Executive"/>
    <n v="1.4"/>
    <s v="G4"/>
    <n v="24"/>
    <s v="Diploma"/>
    <s v="Chennai"/>
    <n v="1"/>
    <n v="23.8"/>
    <n v="5"/>
    <n v="2"/>
    <n v="12"/>
    <n v="0"/>
    <s v="Band D"/>
    <n v="75600"/>
    <n v="4.7"/>
    <n v="3"/>
    <n v="0.8"/>
    <n v="0"/>
    <n v="2.7"/>
    <n v="3.4"/>
    <n v="5"/>
    <s v="Yes"/>
    <n v="0"/>
    <n v="1"/>
    <n v="0"/>
    <n v="0"/>
    <s v="Stayed"/>
    <m/>
    <n v="0"/>
    <n v="0"/>
    <s v="Promoted"/>
    <s v="1â€“3 years"/>
    <s v="High"/>
    <s v="3.6999999999999997"/>
    <n v="8.3333333333333301E-2"/>
    <n v="0"/>
  </r>
  <r>
    <s v="EMP0003"/>
    <x v="2"/>
    <s v="Support Specialist"/>
    <n v="1.3"/>
    <s v="G5"/>
    <n v="23"/>
    <s v="Bachelor"/>
    <s v="Remote"/>
    <n v="1"/>
    <n v="7.1"/>
    <n v="4"/>
    <n v="0"/>
    <n v="12"/>
    <n v="0"/>
    <s v="Band D"/>
    <n v="97500"/>
    <n v="4.3"/>
    <n v="3.1"/>
    <n v="3.5"/>
    <n v="0"/>
    <n v="3.3"/>
    <n v="3.7"/>
    <n v="2.4"/>
    <s v="Yes"/>
    <n v="1"/>
    <n v="1"/>
    <n v="0.8"/>
    <n v="0"/>
    <s v="Stayed"/>
    <m/>
    <n v="0"/>
    <n v="0"/>
    <s v="Promoted"/>
    <s v="1â€“3 years"/>
    <s v="Low"/>
    <s v="3.1333333333333333"/>
    <n v="8.3333333333333301E-2"/>
    <n v="0"/>
  </r>
  <r>
    <s v="EMP0004"/>
    <x v="0"/>
    <s v="Team Lead"/>
    <n v="2.2999999999999998"/>
    <s v="G2"/>
    <n v="30"/>
    <s v="Master"/>
    <s v="Bengaluru"/>
    <n v="3"/>
    <n v="3.4"/>
    <n v="5"/>
    <n v="1"/>
    <n v="12"/>
    <n v="0"/>
    <s v="Band B"/>
    <n v="37000"/>
    <n v="5.9"/>
    <n v="3.1"/>
    <n v="1.5"/>
    <n v="0"/>
    <n v="2.9"/>
    <n v="3.6"/>
    <n v="3.4"/>
    <s v="Yes"/>
    <n v="1"/>
    <n v="1"/>
    <n v="0.8"/>
    <n v="0"/>
    <s v="Stayed"/>
    <m/>
    <n v="0"/>
    <n v="0"/>
    <s v="Promoted"/>
    <s v="1â€“3 years"/>
    <s v="Low"/>
    <s v="3.3000000000000003"/>
    <n v="0.25"/>
    <n v="0"/>
  </r>
  <r>
    <s v="EMP0005"/>
    <x v="3"/>
    <s v="Data Analyst"/>
    <n v="4.7"/>
    <s v="G2"/>
    <n v="25"/>
    <s v="Master"/>
    <s v="Bengaluru"/>
    <n v="8"/>
    <n v="22.5"/>
    <n v="6"/>
    <n v="4"/>
    <n v="12"/>
    <n v="0"/>
    <s v="Band B"/>
    <n v="36800"/>
    <n v="8.1"/>
    <n v="2.6"/>
    <n v="0.5"/>
    <n v="0"/>
    <n v="3.9"/>
    <n v="2.5"/>
    <n v="4"/>
    <s v="Yes"/>
    <n v="0"/>
    <n v="0"/>
    <m/>
    <n v="0"/>
    <s v="Stayed"/>
    <m/>
    <n v="1"/>
    <n v="0"/>
    <s v="No Recorded Promotions"/>
    <s v="3â€“5 years"/>
    <s v="High"/>
    <s v="3.466666666666667"/>
    <s v="0.6666666666666666"/>
    <n v="0"/>
  </r>
  <r>
    <s v="EMP0006"/>
    <x v="2"/>
    <s v="Support Associate"/>
    <n v="5.3"/>
    <s v="G1"/>
    <n v="29"/>
    <s v="Diploma"/>
    <s v="Chennai"/>
    <n v="2"/>
    <n v="24.9"/>
    <n v="9"/>
    <n v="1"/>
    <n v="12"/>
    <n v="0"/>
    <s v="Band A"/>
    <n v="30000"/>
    <n v="0.5"/>
    <n v="3.8"/>
    <n v="0.7"/>
    <n v="0"/>
    <n v="4"/>
    <n v="2.8"/>
    <n v="2.6"/>
    <s v="Yes"/>
    <n v="0"/>
    <n v="0"/>
    <m/>
    <n v="0"/>
    <s v="Stayed"/>
    <m/>
    <n v="1"/>
    <n v="0"/>
    <s v="No Recorded Promotions"/>
    <s v="5+ years"/>
    <s v="High"/>
    <s v="3.1333333333333333"/>
    <s v="0.16666666666666666"/>
    <n v="0"/>
  </r>
  <r>
    <s v="EMP0007"/>
    <x v="0"/>
    <s v="Team Lead"/>
    <n v="3.6"/>
    <s v="G2"/>
    <n v="21"/>
    <s v="Bachelor"/>
    <s v="Bengaluru"/>
    <n v="1"/>
    <n v="10.3"/>
    <n v="7"/>
    <n v="2"/>
    <n v="12"/>
    <n v="0"/>
    <s v="Band B"/>
    <n v="39900"/>
    <n v="11.8"/>
    <n v="3.9"/>
    <n v="1.8"/>
    <n v="0"/>
    <n v="3.6"/>
    <n v="4"/>
    <n v="2.5"/>
    <s v="Yes"/>
    <n v="0"/>
    <n v="0"/>
    <m/>
    <n v="1"/>
    <s v="Stayed"/>
    <m/>
    <n v="1"/>
    <n v="0"/>
    <s v="No Recorded Promotions"/>
    <s v="3â€“5 years"/>
    <s v="Moderate"/>
    <s v="3.3666666666666667"/>
    <n v="8.3333333333333301E-2"/>
    <n v="0"/>
  </r>
  <r>
    <s v="EMP0008"/>
    <x v="0"/>
    <s v="Operations Associate"/>
    <n v="4.0999999999999996"/>
    <s v="G2"/>
    <n v="31"/>
    <s v="Bachelor"/>
    <s v="Bengaluru"/>
    <n v="6"/>
    <n v="3.5"/>
    <n v="13"/>
    <n v="1"/>
    <n v="12"/>
    <n v="0"/>
    <s v="Band B"/>
    <n v="41500"/>
    <n v="8.1"/>
    <n v="2.9"/>
    <n v="0.1"/>
    <n v="0"/>
    <n v="3"/>
    <n v="2.7"/>
    <n v="4.3"/>
    <s v="No"/>
    <n v="0"/>
    <n v="0"/>
    <m/>
    <n v="0"/>
    <s v="Stayed"/>
    <m/>
    <n v="1"/>
    <n v="0"/>
    <s v="No Recorded Promotions"/>
    <s v="3â€“5 years"/>
    <s v="Low"/>
    <s v="3.3333333333333335"/>
    <n v="0.5"/>
    <n v="0"/>
  </r>
  <r>
    <s v="EMP0009"/>
    <x v="3"/>
    <s v="Data Analyst"/>
    <n v="5.4"/>
    <s v="G5"/>
    <n v="29"/>
    <s v="Bachelor"/>
    <s v="Chennai"/>
    <n v="3"/>
    <n v="1.9"/>
    <n v="16"/>
    <n v="2"/>
    <n v="12"/>
    <n v="0"/>
    <s v="Band D"/>
    <n v="86600"/>
    <n v="3.7"/>
    <n v="2.9"/>
    <n v="1.1000000000000001"/>
    <n v="0"/>
    <n v="2.9"/>
    <n v="3.3"/>
    <n v="3.9"/>
    <s v="Yes"/>
    <n v="1"/>
    <n v="0"/>
    <m/>
    <n v="2"/>
    <s v="Stayed"/>
    <m/>
    <n v="1"/>
    <n v="0"/>
    <s v="No Recorded Promotions"/>
    <s v="5+ years"/>
    <s v="Low"/>
    <s v="3.3666666666666667"/>
    <n v="0.25"/>
    <n v="0"/>
  </r>
  <r>
    <s v="EMP0010"/>
    <x v="1"/>
    <s v="Recruiter"/>
    <n v="0.5"/>
    <s v="G1"/>
    <n v="21"/>
    <s v="Bachelor"/>
    <s v="Hyderabad"/>
    <n v="3"/>
    <n v="13.4"/>
    <n v="10"/>
    <n v="0"/>
    <n v="12"/>
    <n v="0"/>
    <s v="Band A"/>
    <n v="22100"/>
    <n v="14.5"/>
    <n v="2.2999999999999998"/>
    <n v="1.4"/>
    <n v="0"/>
    <n v="2.5"/>
    <n v="1.8"/>
    <n v="3.8"/>
    <s v="Yes"/>
    <n v="0"/>
    <n v="1"/>
    <n v="0.1"/>
    <n v="0"/>
    <s v="Stayed"/>
    <m/>
    <n v="0"/>
    <n v="0"/>
    <s v="Promoted"/>
    <s v="0â€“1 years"/>
    <s v="Moderate"/>
    <s v="2.6999999999999997"/>
    <n v="0.25"/>
    <n v="0"/>
  </r>
  <r>
    <s v="EMP0011"/>
    <x v="4"/>
    <s v="Account Manager"/>
    <n v="4.3"/>
    <s v="G1"/>
    <n v="35"/>
    <s v="Diploma"/>
    <s v="Bengaluru"/>
    <n v="1"/>
    <n v="6.1"/>
    <n v="13"/>
    <n v="2"/>
    <n v="12"/>
    <n v="0"/>
    <s v="Band A"/>
    <n v="25800"/>
    <n v="8.1999999999999993"/>
    <n v="3.4"/>
    <n v="2.2000000000000002"/>
    <n v="0"/>
    <n v="2.8"/>
    <n v="3.2"/>
    <n v="3.5"/>
    <s v="Yes"/>
    <n v="0"/>
    <n v="0"/>
    <m/>
    <n v="0"/>
    <s v="Stayed"/>
    <m/>
    <n v="1"/>
    <n v="0"/>
    <s v="No Recorded Promotions"/>
    <s v="3â€“5 years"/>
    <s v="Low"/>
    <s v="3.1666666666666665"/>
    <n v="8.3333333333333301E-2"/>
    <n v="0"/>
  </r>
  <r>
    <s v="EMP0012"/>
    <x v="2"/>
    <s v="Support Specialist"/>
    <n v="8.6"/>
    <s v="G2"/>
    <n v="29"/>
    <s v="Diploma"/>
    <s v="Hyderabad"/>
    <n v="3"/>
    <n v="9.8000000000000007"/>
    <n v="9"/>
    <n v="1"/>
    <n v="12"/>
    <n v="0"/>
    <s v="Band A"/>
    <n v="35000"/>
    <n v="2.7"/>
    <n v="4.4000000000000004"/>
    <n v="0.1"/>
    <n v="0"/>
    <n v="2.1"/>
    <n v="3.5"/>
    <n v="2.8"/>
    <s v="Yes"/>
    <n v="0"/>
    <n v="0"/>
    <m/>
    <n v="0"/>
    <s v="Stayed"/>
    <m/>
    <n v="1"/>
    <n v="0"/>
    <s v="No Recorded Promotions"/>
    <s v="5+ years"/>
    <s v="Low"/>
    <s v="2.7999999999999994"/>
    <n v="0.25"/>
    <n v="0"/>
  </r>
  <r>
    <s v="EMP0013"/>
    <x v="0"/>
    <s v="Operations Associate"/>
    <n v="3.2"/>
    <s v="G1"/>
    <n v="32"/>
    <s v="Bachelor"/>
    <s v="Chennai"/>
    <n v="7"/>
    <n v="9"/>
    <n v="8"/>
    <n v="3"/>
    <n v="12"/>
    <n v="0"/>
    <s v="Band A"/>
    <n v="23700"/>
    <n v="14.3"/>
    <n v="4.4000000000000004"/>
    <n v="1.1000000000000001"/>
    <n v="0"/>
    <n v="4.5"/>
    <n v="1.4"/>
    <n v="3.2"/>
    <s v="Yes"/>
    <n v="0"/>
    <n v="0"/>
    <m/>
    <n v="1"/>
    <s v="Stayed"/>
    <m/>
    <n v="1"/>
    <n v="0"/>
    <s v="No Recorded Promotions"/>
    <s v="3â€“5 years"/>
    <s v="Low"/>
    <s v="3.0333333333333337"/>
    <s v="0.5833333333333334"/>
    <n v="0"/>
  </r>
  <r>
    <s v="EMP0014"/>
    <x v="2"/>
    <s v="Support Team Lead"/>
    <n v="7.5"/>
    <s v="G2"/>
    <n v="31"/>
    <s v="Bachelor"/>
    <s v="Chennai"/>
    <n v="3"/>
    <n v="4.9000000000000004"/>
    <n v="7"/>
    <n v="2"/>
    <n v="12"/>
    <n v="0"/>
    <s v="Band B"/>
    <n v="48900"/>
    <n v="13.4"/>
    <n v="2.7"/>
    <n v="2.7"/>
    <n v="0"/>
    <n v="3.3"/>
    <n v="3.3"/>
    <n v="3.3"/>
    <s v="Yes"/>
    <n v="1"/>
    <n v="0"/>
    <m/>
    <n v="1"/>
    <s v="Stayed"/>
    <m/>
    <n v="1"/>
    <n v="0"/>
    <s v="No Recorded Promotions"/>
    <s v="5+ years"/>
    <s v="Low"/>
    <s v="3.2999999999999994"/>
    <n v="0.25"/>
    <n v="0"/>
  </r>
  <r>
    <s v="EMP0015"/>
    <x v="1"/>
    <s v="Recruiter"/>
    <n v="3.3"/>
    <s v="G3"/>
    <n v="36"/>
    <s v="Master"/>
    <s v="Bengaluru"/>
    <n v="0"/>
    <n v="1.8"/>
    <n v="8"/>
    <n v="4"/>
    <n v="12"/>
    <n v="0"/>
    <s v="Band B"/>
    <n v="38600"/>
    <n v="4.4000000000000004"/>
    <n v="5"/>
    <n v="5.5"/>
    <n v="0"/>
    <n v="1.6"/>
    <n v="1.9"/>
    <n v="4.0999999999999996"/>
    <s v="Yes"/>
    <n v="0"/>
    <n v="0"/>
    <m/>
    <n v="1"/>
    <s v="Stayed"/>
    <m/>
    <n v="1"/>
    <n v="0"/>
    <s v="No Recorded Promotions"/>
    <s v="3â€“5 years"/>
    <s v="Low"/>
    <s v="2.533333333333333"/>
    <n v="0"/>
    <n v="0"/>
  </r>
  <r>
    <s v="EMP0016"/>
    <x v="3"/>
    <s v="Senior Software Engineer"/>
    <n v="5.7"/>
    <s v="G2"/>
    <n v="35"/>
    <s v="Diploma"/>
    <s v="Hyderabad"/>
    <n v="4"/>
    <n v="7.2"/>
    <n v="13"/>
    <n v="2"/>
    <n v="12"/>
    <n v="0"/>
    <s v="Band B"/>
    <n v="42400"/>
    <n v="6.7"/>
    <n v="2.9"/>
    <n v="0.5"/>
    <n v="0"/>
    <n v="3.6"/>
    <n v="3.9"/>
    <n v="3.7"/>
    <s v="Yes"/>
    <n v="0"/>
    <n v="1"/>
    <n v="5.4"/>
    <n v="0"/>
    <s v="Stayed"/>
    <m/>
    <n v="0"/>
    <n v="0"/>
    <s v="Promoted"/>
    <s v="5+ years"/>
    <s v="Low"/>
    <s v="3.733333333333333"/>
    <s v="0.3333333333333333"/>
    <n v="0"/>
  </r>
  <r>
    <s v="EMP0017"/>
    <x v="5"/>
    <s v="Financial Analyst"/>
    <n v="4.5999999999999996"/>
    <s v="G3"/>
    <n v="27"/>
    <s v="Bachelor"/>
    <s v="Coimbatore"/>
    <n v="2"/>
    <n v="11.6"/>
    <n v="2"/>
    <n v="1"/>
    <n v="12"/>
    <n v="0"/>
    <s v="Band C"/>
    <n v="59900"/>
    <n v="6.2"/>
    <n v="2.2999999999999998"/>
    <n v="3.5"/>
    <n v="0"/>
    <n v="3.5"/>
    <n v="1.5"/>
    <n v="2.7"/>
    <s v="Yes"/>
    <n v="0"/>
    <n v="1"/>
    <n v="0.5"/>
    <n v="0"/>
    <s v="Stayed"/>
    <m/>
    <n v="0"/>
    <n v="0"/>
    <s v="Promoted"/>
    <s v="3â€“5 years"/>
    <s v="Moderate"/>
    <s v="2.566666666666667"/>
    <s v="0.16666666666666666"/>
    <n v="0"/>
  </r>
  <r>
    <s v="EMP0018"/>
    <x v="3"/>
    <s v="QA Engineer"/>
    <n v="1.4"/>
    <s v="G4"/>
    <n v="24"/>
    <s v="Bachelor"/>
    <s v="Chennai"/>
    <n v="4"/>
    <n v="12"/>
    <n v="13"/>
    <n v="4"/>
    <n v="12"/>
    <n v="0"/>
    <s v="Band D"/>
    <n v="78300"/>
    <n v="0.4"/>
    <n v="2"/>
    <n v="2.6"/>
    <n v="0"/>
    <n v="3.5"/>
    <n v="3.1"/>
    <n v="4"/>
    <s v="Yes"/>
    <n v="0"/>
    <n v="0"/>
    <m/>
    <n v="0"/>
    <s v="Stayed"/>
    <m/>
    <n v="1"/>
    <n v="0"/>
    <s v="No Recorded Promotions"/>
    <s v="1â€“3 years"/>
    <s v="Moderate"/>
    <s v="3.533333333333333"/>
    <s v="0.3333333333333333"/>
    <n v="0"/>
  </r>
  <r>
    <s v="EMP0019"/>
    <x v="2"/>
    <s v="Support Team Lead"/>
    <n v="1.7"/>
    <s v="G3"/>
    <n v="30"/>
    <s v="Master"/>
    <s v="Hyderabad"/>
    <n v="2"/>
    <n v="5.8"/>
    <n v="9"/>
    <n v="0"/>
    <n v="12"/>
    <n v="0"/>
    <s v="Band C"/>
    <n v="53700"/>
    <n v="9.3000000000000007"/>
    <n v="2.2000000000000002"/>
    <n v="4"/>
    <n v="0"/>
    <n v="2.8"/>
    <n v="3.8"/>
    <n v="2.1"/>
    <s v="Yes"/>
    <n v="0"/>
    <n v="0"/>
    <m/>
    <n v="0"/>
    <s v="Left"/>
    <d v="2026-08-17T00:00:00"/>
    <n v="1"/>
    <n v="0"/>
    <s v="No Recorded Promotions"/>
    <s v="1â€“3 years"/>
    <s v="Low"/>
    <n v="2.9"/>
    <s v="0.16666666666666666"/>
    <n v="1"/>
  </r>
  <r>
    <s v="EMP0020"/>
    <x v="0"/>
    <s v="Team Lead"/>
    <n v="9.6"/>
    <s v="G3"/>
    <n v="35"/>
    <s v="Master"/>
    <s v="Chennai"/>
    <n v="5"/>
    <n v="24.5"/>
    <n v="10"/>
    <n v="4"/>
    <n v="12"/>
    <n v="0"/>
    <s v="Band C"/>
    <n v="67100"/>
    <n v="11.4"/>
    <n v="3.5"/>
    <n v="0.1"/>
    <n v="0"/>
    <n v="4.2"/>
    <n v="3.4"/>
    <n v="3.1"/>
    <s v="Yes"/>
    <n v="0"/>
    <n v="0"/>
    <m/>
    <n v="1"/>
    <s v="Stayed"/>
    <m/>
    <n v="1"/>
    <n v="0"/>
    <s v="No Recorded Promotions"/>
    <s v="5+ years"/>
    <s v="High"/>
    <s v="3.5666666666666664"/>
    <s v="0.4166666666666667"/>
    <n v="0"/>
  </r>
  <r>
    <s v="EMP0021"/>
    <x v="0"/>
    <s v="Operations Associate"/>
    <n v="6.5"/>
    <s v="G2"/>
    <n v="32"/>
    <s v="Bachelor"/>
    <s v="Chennai"/>
    <n v="3"/>
    <n v="3.8"/>
    <n v="10"/>
    <n v="1"/>
    <n v="12"/>
    <n v="0"/>
    <s v="Band B"/>
    <n v="49200"/>
    <n v="10.6"/>
    <n v="3"/>
    <n v="2.2999999999999998"/>
    <n v="0"/>
    <n v="3.7"/>
    <n v="2.8"/>
    <n v="2.5"/>
    <s v="Yes"/>
    <n v="0"/>
    <n v="1"/>
    <n v="5"/>
    <n v="0"/>
    <s v="Stayed"/>
    <m/>
    <n v="0"/>
    <n v="0"/>
    <s v="Promoted"/>
    <s v="5+ years"/>
    <s v="Low"/>
    <n v="3"/>
    <n v="0.25"/>
    <n v="0"/>
  </r>
  <r>
    <s v="EMP0022"/>
    <x v="4"/>
    <s v="Account Manager"/>
    <n v="3.5"/>
    <s v="G1"/>
    <n v="35"/>
    <s v="Bachelor"/>
    <s v="Bengaluru"/>
    <n v="3"/>
    <n v="20.8"/>
    <n v="14"/>
    <n v="1"/>
    <n v="12"/>
    <n v="0"/>
    <s v="Band A"/>
    <n v="27600"/>
    <n v="8.1"/>
    <n v="2.6"/>
    <n v="3.4"/>
    <n v="0"/>
    <n v="4.2"/>
    <n v="3.5"/>
    <n v="2.7"/>
    <s v="Yes"/>
    <n v="0"/>
    <n v="1"/>
    <n v="2"/>
    <n v="0"/>
    <s v="Stayed"/>
    <m/>
    <n v="0"/>
    <n v="0"/>
    <s v="Promoted"/>
    <s v="3â€“5 years"/>
    <s v="High"/>
    <s v="3.466666666666667"/>
    <n v="0.25"/>
    <n v="0"/>
  </r>
  <r>
    <s v="EMP0023"/>
    <x v="2"/>
    <s v="Support Specialist"/>
    <n v="3.1"/>
    <s v="G2"/>
    <n v="26"/>
    <s v="Bachelor"/>
    <s v="Chennai"/>
    <n v="3"/>
    <n v="11.3"/>
    <n v="11"/>
    <n v="0"/>
    <n v="12"/>
    <n v="0"/>
    <s v="Band B"/>
    <n v="40700"/>
    <n v="11.8"/>
    <n v="2.4"/>
    <n v="1.2"/>
    <n v="0"/>
    <n v="2.6"/>
    <n v="4.0999999999999996"/>
    <n v="4.9000000000000004"/>
    <s v="Yes"/>
    <n v="0"/>
    <n v="0"/>
    <m/>
    <n v="0"/>
    <s v="Stayed"/>
    <m/>
    <n v="1"/>
    <n v="0"/>
    <s v="No Recorded Promotions"/>
    <s v="3â€“5 years"/>
    <s v="Moderate"/>
    <s v="3.8666666666666667"/>
    <n v="0.25"/>
    <n v="0"/>
  </r>
  <r>
    <s v="EMP0024"/>
    <x v="2"/>
    <s v="Support Specialist"/>
    <n v="1.9"/>
    <s v="G5"/>
    <n v="28"/>
    <s v="Bachelor"/>
    <s v="Chennai"/>
    <n v="2"/>
    <n v="7.3"/>
    <n v="8"/>
    <n v="2"/>
    <n v="12"/>
    <n v="0"/>
    <s v="Band D"/>
    <n v="109500"/>
    <n v="3.5"/>
    <n v="2.2000000000000002"/>
    <n v="0.9"/>
    <n v="0"/>
    <n v="2.1"/>
    <n v="3.1"/>
    <n v="2.2000000000000002"/>
    <s v="Yes"/>
    <n v="0"/>
    <n v="1"/>
    <n v="0.5"/>
    <n v="0"/>
    <s v="Stayed"/>
    <m/>
    <n v="0"/>
    <n v="0"/>
    <s v="Promoted"/>
    <s v="1â€“3 years"/>
    <s v="Low"/>
    <s v="2.466666666666667"/>
    <s v="0.16666666666666666"/>
    <n v="0"/>
  </r>
  <r>
    <s v="EMP0025"/>
    <x v="0"/>
    <s v="Operations Associate"/>
    <n v="4.9000000000000004"/>
    <s v="G3"/>
    <n v="35"/>
    <s v="Diploma"/>
    <s v="Chennai"/>
    <n v="1"/>
    <n v="14.7"/>
    <n v="13"/>
    <n v="2"/>
    <n v="12"/>
    <n v="0"/>
    <s v="Band B"/>
    <n v="48600"/>
    <n v="15.3"/>
    <n v="2.4"/>
    <n v="1.4"/>
    <n v="0"/>
    <n v="3.7"/>
    <n v="1.2"/>
    <n v="2.7"/>
    <s v="Yes"/>
    <n v="0"/>
    <n v="0"/>
    <m/>
    <n v="0"/>
    <s v="Stayed"/>
    <m/>
    <n v="1"/>
    <n v="0"/>
    <s v="No Recorded Promotions"/>
    <s v="3â€“5 years"/>
    <s v="Moderate"/>
    <s v="2.5333333333333337"/>
    <n v="8.3333333333333301E-2"/>
    <n v="0"/>
  </r>
  <r>
    <s v="EMP0026"/>
    <x v="3"/>
    <s v="Senior Software Engineer"/>
    <n v="2.1"/>
    <s v="G2"/>
    <n v="31"/>
    <s v="Bachelor"/>
    <s v="Remote"/>
    <n v="0"/>
    <n v="8.6"/>
    <n v="15"/>
    <n v="3"/>
    <n v="12"/>
    <n v="0"/>
    <s v="Band B"/>
    <n v="36900"/>
    <n v="4.9000000000000004"/>
    <n v="4.0999999999999996"/>
    <n v="3.2"/>
    <n v="0"/>
    <n v="2.4"/>
    <n v="4.2"/>
    <n v="3.8"/>
    <s v="Yes"/>
    <n v="0"/>
    <n v="0"/>
    <m/>
    <n v="1"/>
    <s v="Stayed"/>
    <m/>
    <n v="1"/>
    <n v="0"/>
    <s v="No Recorded Promotions"/>
    <s v="1â€“3 years"/>
    <s v="Low"/>
    <s v="3.4666666666666663"/>
    <n v="0"/>
    <n v="0"/>
  </r>
  <r>
    <s v="EMP0027"/>
    <x v="1"/>
    <s v="Recruiter"/>
    <n v="2.8"/>
    <s v="G2"/>
    <n v="28"/>
    <s v="Bachelor"/>
    <s v="Chennai"/>
    <n v="2"/>
    <n v="2.6"/>
    <n v="11"/>
    <n v="3"/>
    <n v="12"/>
    <n v="0"/>
    <s v="Band B"/>
    <n v="35600"/>
    <n v="5.4"/>
    <n v="4.8"/>
    <n v="0.5"/>
    <n v="0"/>
    <n v="4.2"/>
    <n v="3.6"/>
    <n v="3"/>
    <s v="Yes"/>
    <n v="0"/>
    <n v="2"/>
    <n v="2.1"/>
    <n v="1"/>
    <s v="Stayed"/>
    <m/>
    <n v="0"/>
    <n v="0"/>
    <s v="Promoted"/>
    <s v="1â€“3 years"/>
    <s v="Low"/>
    <n v="3.6"/>
    <s v="0.16666666666666666"/>
    <n v="0"/>
  </r>
  <r>
    <s v="EMP0028"/>
    <x v="3"/>
    <s v="Data Analyst"/>
    <n v="2.2999999999999998"/>
    <s v="G4"/>
    <n v="27"/>
    <s v="Master"/>
    <s v="Bengaluru"/>
    <n v="1"/>
    <n v="3.5"/>
    <n v="12"/>
    <n v="3"/>
    <n v="12"/>
    <n v="0"/>
    <s v="Band C"/>
    <n v="74200"/>
    <n v="5.7"/>
    <n v="4.9000000000000004"/>
    <n v="0.5"/>
    <n v="0"/>
    <n v="1.4"/>
    <n v="3.2"/>
    <n v="3.5"/>
    <s v="Yes"/>
    <n v="0"/>
    <n v="0"/>
    <m/>
    <n v="0"/>
    <s v="Stayed"/>
    <m/>
    <n v="1"/>
    <n v="0"/>
    <s v="No Recorded Promotions"/>
    <s v="1â€“3 years"/>
    <s v="Low"/>
    <s v="2.6999999999999997"/>
    <n v="8.3333333333333301E-2"/>
    <n v="0"/>
  </r>
  <r>
    <s v="EMP0029"/>
    <x v="3"/>
    <s v="QA Engineer"/>
    <n v="6.3"/>
    <s v="G3"/>
    <n v="25"/>
    <s v="Bachelor"/>
    <s v="Remote"/>
    <n v="1"/>
    <n v="8.1"/>
    <n v="7"/>
    <n v="0"/>
    <n v="12"/>
    <n v="0"/>
    <s v="Band B"/>
    <n v="42700"/>
    <n v="5.4"/>
    <n v="3.8"/>
    <n v="0"/>
    <n v="0"/>
    <n v="2.9"/>
    <n v="1.4"/>
    <n v="4.5"/>
    <s v="Yes"/>
    <n v="0"/>
    <n v="1"/>
    <n v="5.2"/>
    <n v="0"/>
    <s v="Stayed"/>
    <m/>
    <n v="0"/>
    <n v="0"/>
    <s v="Promoted"/>
    <s v="5+ years"/>
    <s v="Low"/>
    <s v="2.9333333333333336"/>
    <n v="8.3333333333333301E-2"/>
    <n v="0"/>
  </r>
  <r>
    <s v="EMP0030"/>
    <x v="0"/>
    <s v="Team Lead"/>
    <n v="3.3"/>
    <s v="G3"/>
    <n v="25"/>
    <s v="Bachelor"/>
    <s v="Bengaluru"/>
    <n v="5"/>
    <n v="6.5"/>
    <n v="14"/>
    <n v="2"/>
    <n v="12"/>
    <n v="0"/>
    <s v="Band C"/>
    <n v="62200"/>
    <n v="7.2"/>
    <n v="2.8"/>
    <n v="1.1000000000000001"/>
    <n v="0"/>
    <n v="2.7"/>
    <n v="2.9"/>
    <n v="3.4"/>
    <s v="No"/>
    <n v="1"/>
    <n v="0"/>
    <m/>
    <n v="0"/>
    <s v="Stayed"/>
    <m/>
    <n v="1"/>
    <n v="0"/>
    <s v="No Recorded Promotions"/>
    <s v="3â€“5 years"/>
    <s v="Low"/>
    <n v="3"/>
    <s v="0.4166666666666667"/>
    <n v="0"/>
  </r>
  <r>
    <s v="EMP0031"/>
    <x v="0"/>
    <s v="Team Lead"/>
    <n v="4.0999999999999996"/>
    <s v="G4"/>
    <n v="31"/>
    <s v="Bachelor"/>
    <s v="Coimbatore"/>
    <n v="1"/>
    <n v="20.399999999999999"/>
    <n v="9"/>
    <n v="4"/>
    <n v="12"/>
    <n v="0"/>
    <s v="Band D"/>
    <n v="76800"/>
    <n v="7.1"/>
    <n v="2.6"/>
    <n v="0.2"/>
    <n v="0"/>
    <n v="3"/>
    <n v="2.4"/>
    <n v="3"/>
    <s v="Yes"/>
    <n v="0"/>
    <n v="0"/>
    <m/>
    <n v="0"/>
    <s v="Left"/>
    <d v="2025-02-17T00:00:00"/>
    <n v="1"/>
    <n v="0"/>
    <s v="No Recorded Promotions"/>
    <s v="3â€“5 years"/>
    <s v="High"/>
    <s v="2.8000000000000003"/>
    <n v="8.3333333333333301E-2"/>
    <n v="1"/>
  </r>
  <r>
    <s v="EMP0032"/>
    <x v="2"/>
    <s v="Support Associate"/>
    <n v="1.4"/>
    <s v="G3"/>
    <n v="27"/>
    <s v="Bachelor"/>
    <s v="Coimbatore"/>
    <n v="4"/>
    <n v="6.2"/>
    <n v="14"/>
    <n v="1"/>
    <n v="12"/>
    <n v="0"/>
    <s v="Band C"/>
    <n v="55700"/>
    <n v="8.5"/>
    <n v="3.9"/>
    <n v="1.1000000000000001"/>
    <n v="0"/>
    <n v="3.5"/>
    <n v="2.1"/>
    <n v="3.3"/>
    <s v="Yes"/>
    <n v="0"/>
    <n v="0"/>
    <m/>
    <n v="0"/>
    <s v="Stayed"/>
    <m/>
    <n v="1"/>
    <n v="0"/>
    <s v="No Recorded Promotions"/>
    <s v="1â€“3 years"/>
    <s v="Low"/>
    <s v="2.9666666666666663"/>
    <s v="0.3333333333333333"/>
    <n v="0"/>
  </r>
  <r>
    <s v="EMP0033"/>
    <x v="4"/>
    <s v="Sales Executive"/>
    <n v="2.2999999999999998"/>
    <s v="G3"/>
    <n v="29"/>
    <s v="Bachelor"/>
    <s v="Coimbatore"/>
    <n v="2"/>
    <n v="5.9"/>
    <n v="13"/>
    <n v="4"/>
    <n v="12"/>
    <n v="0"/>
    <s v="Band B"/>
    <n v="37400"/>
    <n v="4.7"/>
    <n v="3"/>
    <n v="0.4"/>
    <n v="0"/>
    <n v="3.7"/>
    <n v="3.1"/>
    <n v="3.8"/>
    <s v="Yes"/>
    <n v="0"/>
    <n v="0"/>
    <m/>
    <n v="0"/>
    <s v="Left"/>
    <d v="2026-04-13T00:00:00"/>
    <n v="1"/>
    <n v="0"/>
    <s v="No Recorded Promotions"/>
    <s v="1â€“3 years"/>
    <s v="Low"/>
    <s v="3.5333333333333337"/>
    <s v="0.16666666666666666"/>
    <n v="1"/>
  </r>
  <r>
    <s v="EMP0034"/>
    <x v="4"/>
    <s v="Sales Manager"/>
    <n v="4.2"/>
    <s v="G1"/>
    <n v="34"/>
    <s v="Master"/>
    <s v="Bengaluru"/>
    <n v="0"/>
    <n v="5.3"/>
    <n v="17"/>
    <n v="2"/>
    <n v="12"/>
    <n v="0"/>
    <s v="Band A"/>
    <n v="25300"/>
    <n v="8.6999999999999993"/>
    <n v="3.6"/>
    <n v="0.7"/>
    <n v="0"/>
    <n v="3.9"/>
    <n v="2.7"/>
    <n v="3.9"/>
    <s v="Yes"/>
    <n v="0"/>
    <n v="1"/>
    <n v="0.3"/>
    <n v="2"/>
    <s v="Stayed"/>
    <m/>
    <n v="0"/>
    <n v="0"/>
    <s v="Promoted"/>
    <s v="3â€“5 years"/>
    <s v="Low"/>
    <n v="3.5"/>
    <n v="0"/>
    <n v="0"/>
  </r>
  <r>
    <s v="EMP0035"/>
    <x v="1"/>
    <s v="HR Manager"/>
    <n v="0.9"/>
    <s v="G1"/>
    <n v="22"/>
    <s v="Master"/>
    <s v="Remote"/>
    <n v="6"/>
    <n v="4.9000000000000004"/>
    <n v="7"/>
    <n v="2"/>
    <n v="12"/>
    <n v="0"/>
    <s v="Band A"/>
    <n v="33000"/>
    <n v="3.6"/>
    <n v="4.9000000000000004"/>
    <n v="0.8"/>
    <n v="0"/>
    <n v="4"/>
    <n v="2.8"/>
    <n v="3.4"/>
    <s v="Yes"/>
    <n v="1"/>
    <n v="1"/>
    <n v="0.3"/>
    <n v="0"/>
    <s v="Stayed"/>
    <m/>
    <n v="0"/>
    <n v="0"/>
    <s v="Promoted"/>
    <s v="0â€“1 years"/>
    <s v="Low"/>
    <n v="3.4"/>
    <n v="0.5"/>
    <n v="0"/>
  </r>
  <r>
    <s v="EMP0036"/>
    <x v="3"/>
    <s v="Data Analyst"/>
    <n v="3.2"/>
    <s v="G5"/>
    <n v="28"/>
    <s v="Bachelor"/>
    <s v="Hyderabad"/>
    <n v="0"/>
    <n v="5"/>
    <n v="5"/>
    <n v="1"/>
    <n v="12"/>
    <n v="0"/>
    <s v="Band D"/>
    <n v="94700"/>
    <n v="10.9"/>
    <n v="3.4"/>
    <n v="1.5"/>
    <n v="0"/>
    <n v="3.1"/>
    <n v="3.9"/>
    <n v="3.7"/>
    <s v="Yes"/>
    <n v="0"/>
    <n v="0"/>
    <m/>
    <n v="0"/>
    <s v="Stayed"/>
    <m/>
    <n v="1"/>
    <n v="0"/>
    <s v="No Recorded Promotions"/>
    <s v="3â€“5 years"/>
    <s v="Low"/>
    <s v="3.5666666666666664"/>
    <n v="0"/>
    <n v="0"/>
  </r>
  <r>
    <s v="EMP0037"/>
    <x v="3"/>
    <s v="QA Engineer"/>
    <n v="3.7"/>
    <s v="G3"/>
    <n v="30"/>
    <s v="Master"/>
    <s v="Coimbatore"/>
    <n v="5"/>
    <n v="3"/>
    <n v="14"/>
    <n v="1"/>
    <n v="12"/>
    <n v="0"/>
    <s v="Band B"/>
    <n v="42300"/>
    <n v="10.9"/>
    <n v="5"/>
    <n v="1.6"/>
    <n v="0"/>
    <n v="5"/>
    <n v="3.4"/>
    <n v="3.7"/>
    <s v="No"/>
    <n v="0"/>
    <n v="1"/>
    <n v="2.8"/>
    <n v="0"/>
    <s v="Stayed"/>
    <m/>
    <n v="0"/>
    <n v="0"/>
    <s v="Promoted"/>
    <s v="3â€“5 years"/>
    <s v="Low"/>
    <s v="4.033333333333334"/>
    <s v="0.4166666666666667"/>
    <n v="0"/>
  </r>
  <r>
    <s v="EMP0038"/>
    <x v="1"/>
    <s v="HR Executive"/>
    <n v="1.2"/>
    <s v="G2"/>
    <n v="24"/>
    <s v="Bachelor"/>
    <s v="Chennai"/>
    <n v="3"/>
    <n v="11.7"/>
    <n v="8"/>
    <n v="4"/>
    <n v="12"/>
    <n v="0"/>
    <s v="Band B"/>
    <n v="39000"/>
    <n v="8"/>
    <n v="2.2000000000000002"/>
    <n v="1"/>
    <n v="0"/>
    <n v="4.5"/>
    <n v="2.8"/>
    <n v="3.3"/>
    <s v="Yes"/>
    <n v="0"/>
    <n v="0"/>
    <m/>
    <n v="0"/>
    <s v="Stayed"/>
    <m/>
    <n v="1"/>
    <n v="0"/>
    <s v="No Recorded Promotions"/>
    <s v="1â€“3 years"/>
    <s v="Moderate"/>
    <s v="3.533333333333333"/>
    <n v="0.25"/>
    <n v="0"/>
  </r>
  <r>
    <s v="EMP0039"/>
    <x v="3"/>
    <s v="Data Analyst"/>
    <n v="7.3"/>
    <s v="G3"/>
    <n v="39"/>
    <s v="Diploma"/>
    <s v="Hyderabad"/>
    <n v="4"/>
    <n v="9.1999999999999993"/>
    <n v="7"/>
    <n v="1"/>
    <n v="12"/>
    <n v="0"/>
    <s v="Band C"/>
    <n v="60700"/>
    <n v="5.4"/>
    <n v="3.6"/>
    <n v="0.8"/>
    <n v="0"/>
    <n v="3"/>
    <n v="3.3"/>
    <n v="2.9"/>
    <s v="Yes"/>
    <n v="1"/>
    <n v="0"/>
    <m/>
    <n v="0"/>
    <s v="Stayed"/>
    <m/>
    <n v="1"/>
    <n v="0"/>
    <s v="No Recorded Promotions"/>
    <s v="5+ years"/>
    <s v="Low"/>
    <s v="3.0666666666666664"/>
    <s v="0.3333333333333333"/>
    <n v="0"/>
  </r>
  <r>
    <s v="EMP0040"/>
    <x v="0"/>
    <s v="Team Lead"/>
    <n v="4.8"/>
    <s v="G1"/>
    <n v="34"/>
    <s v="Bachelor"/>
    <s v="Chennai"/>
    <n v="1"/>
    <n v="8.9"/>
    <n v="12"/>
    <n v="0"/>
    <n v="12"/>
    <n v="0"/>
    <s v="Band A"/>
    <n v="31000"/>
    <n v="9.1999999999999993"/>
    <n v="3.5"/>
    <n v="0.7"/>
    <n v="0"/>
    <n v="3.2"/>
    <n v="2.8"/>
    <n v="4"/>
    <s v="Yes"/>
    <n v="0"/>
    <n v="0"/>
    <m/>
    <n v="1"/>
    <s v="Stayed"/>
    <m/>
    <n v="1"/>
    <n v="0"/>
    <s v="No Recorded Promotions"/>
    <s v="3â€“5 years"/>
    <s v="Low"/>
    <s v="3.3333333333333335"/>
    <n v="8.3333333333333301E-2"/>
    <n v="0"/>
  </r>
  <r>
    <s v="EMP0041"/>
    <x v="1"/>
    <s v="HR Executive"/>
    <n v="3.3"/>
    <s v="G4"/>
    <n v="30"/>
    <s v="Bachelor"/>
    <s v="Hyderabad"/>
    <n v="4"/>
    <n v="2.1"/>
    <n v="9"/>
    <n v="1"/>
    <n v="12"/>
    <n v="0"/>
    <s v="Band C"/>
    <n v="70100"/>
    <n v="4.4000000000000004"/>
    <n v="2.2999999999999998"/>
    <n v="0.1"/>
    <n v="0"/>
    <n v="3"/>
    <n v="3"/>
    <n v="3.6"/>
    <s v="Yes"/>
    <n v="0"/>
    <n v="0"/>
    <m/>
    <n v="2"/>
    <s v="Stayed"/>
    <m/>
    <n v="1"/>
    <n v="0"/>
    <s v="No Recorded Promotions"/>
    <s v="3â€“5 years"/>
    <s v="Low"/>
    <s v="3.1999999999999997"/>
    <s v="0.3333333333333333"/>
    <n v="0"/>
  </r>
  <r>
    <s v="EMP0042"/>
    <x v="2"/>
    <s v="Support Team Lead"/>
    <n v="2.1"/>
    <s v="G1"/>
    <n v="35"/>
    <s v="Bachelor"/>
    <s v="Chennai"/>
    <n v="1"/>
    <n v="13.8"/>
    <n v="14"/>
    <n v="5"/>
    <n v="12"/>
    <n v="0"/>
    <s v="Band A"/>
    <n v="31900"/>
    <n v="8.1"/>
    <n v="3.9"/>
    <n v="3.2"/>
    <n v="0"/>
    <n v="3.6"/>
    <n v="3.7"/>
    <n v="1.7"/>
    <s v="Yes"/>
    <n v="0"/>
    <n v="0"/>
    <m/>
    <n v="0"/>
    <s v="Stayed"/>
    <m/>
    <n v="1"/>
    <n v="0"/>
    <s v="No Recorded Promotions"/>
    <s v="1â€“3 years"/>
    <s v="Moderate"/>
    <n v="3"/>
    <n v="8.3333333333333301E-2"/>
    <n v="0"/>
  </r>
  <r>
    <s v="EMP0043"/>
    <x v="0"/>
    <s v="Operations Manager"/>
    <n v="0.8"/>
    <s v="G4"/>
    <n v="21"/>
    <s v="Master"/>
    <s v="Bengaluru"/>
    <n v="3"/>
    <n v="14.8"/>
    <n v="15"/>
    <n v="3"/>
    <n v="12"/>
    <n v="0"/>
    <s v="Band C"/>
    <n v="64100"/>
    <n v="7.4"/>
    <n v="4.5999999999999996"/>
    <n v="0.5"/>
    <n v="0"/>
    <n v="2.4"/>
    <n v="2.2999999999999998"/>
    <n v="2.7"/>
    <s v="No"/>
    <n v="0"/>
    <n v="1"/>
    <n v="0.6"/>
    <n v="0"/>
    <s v="Stayed"/>
    <m/>
    <n v="0"/>
    <n v="0"/>
    <s v="Promoted"/>
    <s v="0â€“1 years"/>
    <s v="Moderate"/>
    <s v="2.4666666666666663"/>
    <n v="0.25"/>
    <n v="0"/>
  </r>
  <r>
    <s v="EMP0044"/>
    <x v="4"/>
    <s v="Sales Manager"/>
    <n v="6.9"/>
    <s v="G3"/>
    <n v="33"/>
    <s v="Bachelor"/>
    <s v="Hyderabad"/>
    <n v="1"/>
    <n v="28.8"/>
    <n v="14"/>
    <n v="1"/>
    <n v="12"/>
    <n v="0"/>
    <s v="Band C"/>
    <n v="59400"/>
    <n v="18.5"/>
    <n v="5"/>
    <n v="1.3"/>
    <n v="0"/>
    <n v="2.6"/>
    <n v="4.5"/>
    <n v="3"/>
    <s v="Yes"/>
    <n v="0"/>
    <n v="1"/>
    <n v="0.4"/>
    <n v="0"/>
    <s v="Stayed"/>
    <m/>
    <n v="0"/>
    <n v="0"/>
    <s v="Promoted"/>
    <s v="5+ years"/>
    <s v="High"/>
    <s v="3.3666666666666667"/>
    <n v="8.3333333333333301E-2"/>
    <n v="0"/>
  </r>
  <r>
    <s v="EMP0045"/>
    <x v="2"/>
    <s v="Support Associate"/>
    <n v="2.6"/>
    <s v="G2"/>
    <n v="30"/>
    <s v="Master"/>
    <s v="Coimbatore"/>
    <n v="4"/>
    <n v="14.3"/>
    <n v="10"/>
    <n v="4"/>
    <n v="12"/>
    <n v="0"/>
    <s v="Band B"/>
    <n v="39000"/>
    <n v="3.1"/>
    <n v="3.6"/>
    <n v="0.3"/>
    <n v="0"/>
    <n v="1.3"/>
    <n v="3.7"/>
    <n v="3.2"/>
    <s v="Yes"/>
    <n v="0"/>
    <n v="0"/>
    <m/>
    <n v="0"/>
    <s v="Stayed"/>
    <m/>
    <n v="1"/>
    <n v="0"/>
    <s v="No Recorded Promotions"/>
    <s v="1â€“3 years"/>
    <s v="Moderate"/>
    <s v="2.733333333333333"/>
    <s v="0.3333333333333333"/>
    <n v="0"/>
  </r>
  <r>
    <s v="EMP0046"/>
    <x v="0"/>
    <s v="Operations Manager"/>
    <n v="1.1000000000000001"/>
    <s v="G1"/>
    <n v="23"/>
    <s v="Bachelor"/>
    <s v="Chennai"/>
    <n v="1"/>
    <n v="32.799999999999997"/>
    <n v="10"/>
    <n v="0"/>
    <n v="12"/>
    <n v="0"/>
    <s v="Band A"/>
    <n v="27600"/>
    <n v="0"/>
    <n v="1.5"/>
    <n v="2.2000000000000002"/>
    <n v="0"/>
    <n v="2.9"/>
    <n v="1"/>
    <n v="4.4000000000000004"/>
    <s v="Yes"/>
    <n v="0"/>
    <n v="2"/>
    <n v="0.3"/>
    <n v="0"/>
    <s v="Left"/>
    <d v="2026-09-26T00:00:00"/>
    <n v="0"/>
    <n v="0"/>
    <s v="Promoted"/>
    <s v="1â€“3 years"/>
    <s v="High"/>
    <s v="2.766666666666667"/>
    <n v="8.3333333333333301E-2"/>
    <n v="1"/>
  </r>
  <r>
    <s v="EMP0047"/>
    <x v="4"/>
    <s v="Account Manager"/>
    <n v="2.1"/>
    <s v="G4"/>
    <n v="29"/>
    <s v="Master"/>
    <s v="Hyderabad"/>
    <n v="2"/>
    <n v="5.7"/>
    <n v="11"/>
    <n v="4"/>
    <n v="12"/>
    <n v="0"/>
    <s v="Band C"/>
    <n v="66900"/>
    <n v="5.4"/>
    <n v="3.6"/>
    <n v="1.3"/>
    <n v="0"/>
    <n v="4.3"/>
    <n v="3.3"/>
    <n v="5"/>
    <s v="Yes"/>
    <n v="0"/>
    <n v="1"/>
    <n v="1"/>
    <n v="0"/>
    <s v="Stayed"/>
    <m/>
    <n v="0"/>
    <n v="0"/>
    <s v="Promoted"/>
    <s v="1â€“3 years"/>
    <s v="Low"/>
    <n v="4.2"/>
    <s v="0.16666666666666666"/>
    <n v="0"/>
  </r>
  <r>
    <s v="EMP0048"/>
    <x v="4"/>
    <s v="Account Manager"/>
    <n v="5.0999999999999996"/>
    <s v="G1"/>
    <n v="27"/>
    <s v="Bachelor"/>
    <s v="Coimbatore"/>
    <n v="0"/>
    <n v="29.9"/>
    <n v="12"/>
    <n v="2"/>
    <n v="12"/>
    <n v="0"/>
    <s v="Band A"/>
    <n v="28100"/>
    <n v="1.1000000000000001"/>
    <n v="3.9"/>
    <n v="1.7"/>
    <n v="0"/>
    <n v="3.2"/>
    <n v="4.0999999999999996"/>
    <n v="1.4"/>
    <s v="Yes"/>
    <n v="0"/>
    <n v="1"/>
    <n v="5"/>
    <n v="0"/>
    <s v="Stayed"/>
    <m/>
    <n v="0"/>
    <n v="0"/>
    <s v="Promoted"/>
    <s v="5+ years"/>
    <s v="High"/>
    <n v="2.9"/>
    <n v="0"/>
    <n v="0"/>
  </r>
  <r>
    <s v="EMP0049"/>
    <x v="0"/>
    <s v="Operations Manager"/>
    <n v="4.4000000000000004"/>
    <s v="G1"/>
    <n v="33"/>
    <s v="Master"/>
    <s v="Chennai"/>
    <n v="3"/>
    <n v="14.6"/>
    <n v="8"/>
    <n v="2"/>
    <n v="12"/>
    <n v="0"/>
    <s v="Band A"/>
    <n v="29100"/>
    <n v="5.0999999999999996"/>
    <n v="3"/>
    <n v="0.3"/>
    <n v="0"/>
    <n v="3.2"/>
    <n v="3.5"/>
    <n v="3.6"/>
    <s v="Yes"/>
    <n v="0"/>
    <n v="0"/>
    <m/>
    <n v="0"/>
    <s v="Stayed"/>
    <m/>
    <n v="1"/>
    <n v="0"/>
    <s v="No Recorded Promotions"/>
    <s v="3â€“5 years"/>
    <s v="Moderate"/>
    <s v="3.4333333333333336"/>
    <n v="0.25"/>
    <n v="0"/>
  </r>
  <r>
    <s v="EMP0050"/>
    <x v="3"/>
    <s v="QA Engineer"/>
    <n v="1.5"/>
    <s v="G3"/>
    <n v="32"/>
    <s v="Bachelor"/>
    <s v="Coimbatore"/>
    <n v="3"/>
    <n v="13.3"/>
    <n v="9"/>
    <n v="1"/>
    <n v="12"/>
    <n v="0"/>
    <s v="Band C"/>
    <n v="50200"/>
    <n v="2.8"/>
    <n v="3.4"/>
    <n v="1.8"/>
    <n v="0"/>
    <n v="3.6"/>
    <n v="2.8"/>
    <n v="3.5"/>
    <s v="Yes"/>
    <n v="0"/>
    <n v="0"/>
    <m/>
    <n v="2"/>
    <s v="Stayed"/>
    <m/>
    <n v="1"/>
    <n v="0"/>
    <s v="No Recorded Promotions"/>
    <s v="1â€“3 years"/>
    <s v="Moderate"/>
    <s v="3.3000000000000003"/>
    <n v="0.25"/>
    <n v="0"/>
  </r>
  <r>
    <s v="EMP0051"/>
    <x v="3"/>
    <s v="Software Engineer"/>
    <n v="7.8"/>
    <s v="G2"/>
    <n v="35"/>
    <s v="Bachelor"/>
    <s v="Coimbatore"/>
    <n v="3"/>
    <n v="8.6999999999999993"/>
    <n v="9"/>
    <n v="3"/>
    <n v="12"/>
    <n v="0"/>
    <s v="Band B"/>
    <n v="44900"/>
    <n v="4.4000000000000004"/>
    <n v="2.8"/>
    <n v="0.1"/>
    <n v="0"/>
    <n v="2.4"/>
    <n v="3.1"/>
    <n v="3.3"/>
    <s v="Yes"/>
    <n v="0"/>
    <n v="0"/>
    <m/>
    <n v="0"/>
    <s v="Stayed"/>
    <m/>
    <n v="1"/>
    <n v="0"/>
    <s v="No Recorded Promotions"/>
    <s v="5+ years"/>
    <s v="Low"/>
    <s v="2.9333333333333336"/>
    <n v="0.25"/>
    <n v="0"/>
  </r>
  <r>
    <s v="EMP0052"/>
    <x v="3"/>
    <s v="Senior Software Engineer"/>
    <n v="1"/>
    <s v="G2"/>
    <n v="21"/>
    <s v="Bachelor"/>
    <s v="Bengaluru"/>
    <n v="2"/>
    <n v="7.3"/>
    <n v="6"/>
    <n v="2"/>
    <n v="12"/>
    <n v="0"/>
    <s v="Band B"/>
    <n v="35600"/>
    <n v="3.7"/>
    <n v="3.1"/>
    <n v="0.6"/>
    <n v="0"/>
    <n v="3.3"/>
    <n v="3.4"/>
    <n v="3.8"/>
    <s v="Yes"/>
    <n v="0"/>
    <n v="0"/>
    <m/>
    <n v="0"/>
    <s v="Stayed"/>
    <m/>
    <n v="1"/>
    <n v="0"/>
    <s v="No Recorded Promotions"/>
    <s v="0â€“1 years"/>
    <s v="Low"/>
    <n v="3.5"/>
    <s v="0.16666666666666666"/>
    <n v="0"/>
  </r>
  <r>
    <s v="EMP0053"/>
    <x v="0"/>
    <s v="Team Lead"/>
    <n v="8.8000000000000007"/>
    <s v="G2"/>
    <n v="31"/>
    <s v="Master"/>
    <s v="Chennai"/>
    <n v="3"/>
    <n v="6.1"/>
    <n v="5"/>
    <n v="0"/>
    <n v="12"/>
    <n v="0"/>
    <s v="Band B"/>
    <n v="49800"/>
    <n v="11.9"/>
    <n v="4.0999999999999996"/>
    <n v="0.3"/>
    <n v="0"/>
    <n v="4.0999999999999996"/>
    <n v="3.9"/>
    <n v="3.5"/>
    <s v="Yes"/>
    <n v="0"/>
    <n v="1"/>
    <n v="4.5999999999999996"/>
    <n v="0"/>
    <s v="Stayed"/>
    <m/>
    <n v="0"/>
    <n v="0"/>
    <s v="Promoted"/>
    <s v="5+ years"/>
    <s v="Low"/>
    <s v="3.8333333333333335"/>
    <n v="0.25"/>
    <n v="0"/>
  </r>
  <r>
    <s v="EMP0054"/>
    <x v="0"/>
    <s v="Operations Manager"/>
    <n v="4.3"/>
    <s v="G4"/>
    <n v="33"/>
    <s v="Bachelor"/>
    <s v="Coimbatore"/>
    <n v="2"/>
    <n v="30.5"/>
    <n v="3"/>
    <n v="0"/>
    <n v="12"/>
    <n v="0"/>
    <s v="Band C"/>
    <n v="67400"/>
    <n v="7.8"/>
    <n v="4.5"/>
    <n v="1.3"/>
    <n v="0"/>
    <n v="3.6"/>
    <n v="1.9"/>
    <n v="3.1"/>
    <s v="Yes"/>
    <n v="0"/>
    <n v="0"/>
    <m/>
    <n v="1"/>
    <s v="Stayed"/>
    <m/>
    <n v="1"/>
    <n v="0"/>
    <s v="No Recorded Promotions"/>
    <s v="3â€“5 years"/>
    <s v="High"/>
    <s v="2.8666666666666667"/>
    <s v="0.16666666666666666"/>
    <n v="0"/>
  </r>
  <r>
    <s v="EMP0055"/>
    <x v="0"/>
    <s v="Operations Manager"/>
    <n v="2.8"/>
    <s v="G2"/>
    <n v="29"/>
    <s v="Bachelor"/>
    <s v="Hyderabad"/>
    <n v="3"/>
    <n v="8.5"/>
    <n v="12"/>
    <n v="1"/>
    <n v="12"/>
    <n v="0"/>
    <s v="Band B"/>
    <n v="42700"/>
    <n v="12.3"/>
    <n v="2.1"/>
    <n v="3.4"/>
    <n v="0"/>
    <n v="3.3"/>
    <n v="2.7"/>
    <n v="3.4"/>
    <s v="Yes"/>
    <n v="1"/>
    <n v="0"/>
    <m/>
    <n v="0"/>
    <s v="Stayed"/>
    <m/>
    <n v="1"/>
    <n v="0"/>
    <s v="No Recorded Promotions"/>
    <s v="1â€“3 years"/>
    <s v="Low"/>
    <s v="3.1333333333333333"/>
    <n v="0.25"/>
    <n v="0"/>
  </r>
  <r>
    <s v="EMP0056"/>
    <x v="0"/>
    <s v="Team Lead"/>
    <n v="3.1"/>
    <s v="G1"/>
    <n v="21"/>
    <s v="Master"/>
    <s v="Chennai"/>
    <n v="7"/>
    <n v="14.8"/>
    <n v="15"/>
    <n v="2"/>
    <n v="12"/>
    <n v="0"/>
    <s v="Band A"/>
    <n v="31800"/>
    <n v="8.1999999999999993"/>
    <n v="2.7"/>
    <n v="2"/>
    <n v="0"/>
    <n v="4.4000000000000004"/>
    <n v="4.7"/>
    <n v="3.8"/>
    <s v="Yes"/>
    <n v="0"/>
    <n v="0"/>
    <m/>
    <n v="1"/>
    <s v="Stayed"/>
    <m/>
    <n v="1"/>
    <n v="0"/>
    <s v="No Recorded Promotions"/>
    <s v="3â€“5 years"/>
    <s v="Moderate"/>
    <s v="4.300000000000001"/>
    <s v="0.5833333333333334"/>
    <n v="0"/>
  </r>
  <r>
    <s v="EMP0057"/>
    <x v="1"/>
    <s v="HR Manager"/>
    <n v="4"/>
    <s v="G2"/>
    <n v="35"/>
    <s v="Bachelor"/>
    <s v="Coimbatore"/>
    <n v="3"/>
    <n v="17.2"/>
    <n v="10"/>
    <n v="1"/>
    <n v="12"/>
    <n v="0"/>
    <s v="Band B"/>
    <n v="39900"/>
    <n v="11.7"/>
    <n v="1.8"/>
    <n v="4"/>
    <n v="0"/>
    <n v="3.9"/>
    <n v="3.2"/>
    <n v="3.8"/>
    <s v="Yes"/>
    <n v="0"/>
    <n v="2"/>
    <n v="3.2"/>
    <n v="1"/>
    <s v="Stayed"/>
    <m/>
    <n v="0"/>
    <n v="0"/>
    <s v="Promoted"/>
    <s v="3â€“5 years"/>
    <s v="Moderate"/>
    <s v="3.633333333333333"/>
    <n v="0.25"/>
    <n v="0"/>
  </r>
  <r>
    <s v="EMP0058"/>
    <x v="5"/>
    <s v="Finance Manager"/>
    <n v="5.4"/>
    <s v="G1"/>
    <n v="32"/>
    <s v="Master"/>
    <s v="Bengaluru"/>
    <n v="5"/>
    <n v="17.100000000000001"/>
    <n v="11"/>
    <n v="2"/>
    <n v="12"/>
    <n v="0"/>
    <s v="Band A"/>
    <n v="29700"/>
    <n v="6.8"/>
    <n v="4.9000000000000004"/>
    <n v="1.3"/>
    <n v="0"/>
    <n v="2.7"/>
    <n v="4.5999999999999996"/>
    <n v="3.6"/>
    <s v="Yes"/>
    <n v="0"/>
    <n v="0"/>
    <m/>
    <n v="0"/>
    <s v="Stayed"/>
    <m/>
    <n v="1"/>
    <n v="0"/>
    <s v="No Recorded Promotions"/>
    <s v="5+ years"/>
    <s v="Moderate"/>
    <s v="3.6333333333333333"/>
    <s v="0.4166666666666667"/>
    <n v="0"/>
  </r>
  <r>
    <s v="EMP0059"/>
    <x v="3"/>
    <s v="Senior Software Engineer"/>
    <n v="0.7"/>
    <s v="G2"/>
    <n v="23"/>
    <s v="Bachelor"/>
    <s v="Hyderabad"/>
    <n v="3"/>
    <n v="11.7"/>
    <n v="6"/>
    <n v="5"/>
    <n v="12"/>
    <n v="0"/>
    <s v="Band A"/>
    <n v="34700"/>
    <n v="14.4"/>
    <n v="4"/>
    <n v="2.2999999999999998"/>
    <n v="0"/>
    <n v="3"/>
    <n v="5"/>
    <n v="2.9"/>
    <s v="Yes"/>
    <n v="0"/>
    <n v="0"/>
    <m/>
    <n v="1"/>
    <s v="Stayed"/>
    <m/>
    <n v="1"/>
    <n v="0"/>
    <s v="No Recorded Promotions"/>
    <s v="0â€“1 years"/>
    <s v="Moderate"/>
    <s v="3.6333333333333333"/>
    <n v="0.25"/>
    <n v="0"/>
  </r>
  <r>
    <s v="EMP0060"/>
    <x v="3"/>
    <s v="Senior Software Engineer"/>
    <n v="2"/>
    <s v="G1"/>
    <n v="32"/>
    <s v="Bachelor"/>
    <s v="Bengaluru"/>
    <n v="3"/>
    <n v="29.5"/>
    <n v="13"/>
    <n v="4"/>
    <n v="12"/>
    <n v="0"/>
    <s v="Band A"/>
    <n v="26300"/>
    <n v="9.9"/>
    <n v="1.4"/>
    <n v="2.9"/>
    <n v="0"/>
    <n v="5"/>
    <n v="2.8"/>
    <n v="5"/>
    <s v="Yes"/>
    <n v="0"/>
    <n v="1"/>
    <n v="2"/>
    <n v="0"/>
    <s v="Stayed"/>
    <m/>
    <n v="0"/>
    <n v="0"/>
    <s v="Promoted"/>
    <s v="1â€“3 years"/>
    <s v="High"/>
    <s v="4.266666666666667"/>
    <n v="0.25"/>
    <n v="0"/>
  </r>
  <r>
    <s v="EMP0061"/>
    <x v="0"/>
    <s v="Operations Manager"/>
    <n v="3.9"/>
    <s v="G1"/>
    <n v="27"/>
    <s v="Bachelor"/>
    <s v="Hyderabad"/>
    <n v="4"/>
    <n v="14"/>
    <n v="4"/>
    <n v="2"/>
    <n v="12"/>
    <n v="0"/>
    <s v="Band A"/>
    <n v="29600"/>
    <n v="4.9000000000000004"/>
    <n v="3.1"/>
    <n v="2.9"/>
    <n v="0"/>
    <n v="3.6"/>
    <n v="2.1"/>
    <n v="3.7"/>
    <s v="Yes"/>
    <n v="0"/>
    <n v="0"/>
    <m/>
    <n v="0"/>
    <s v="Stayed"/>
    <m/>
    <n v="1"/>
    <n v="0"/>
    <s v="No Recorded Promotions"/>
    <s v="3â€“5 years"/>
    <s v="Moderate"/>
    <s v="3.1333333333333333"/>
    <s v="0.3333333333333333"/>
    <n v="0"/>
  </r>
  <r>
    <s v="EMP0062"/>
    <x v="1"/>
    <s v="Recruiter"/>
    <n v="8"/>
    <s v="G2"/>
    <n v="31"/>
    <s v="Bachelor"/>
    <s v="Chennai"/>
    <n v="3"/>
    <n v="5.9"/>
    <n v="9"/>
    <n v="1"/>
    <n v="12"/>
    <n v="0"/>
    <s v="Band B"/>
    <n v="41200"/>
    <n v="10.5"/>
    <n v="2.9"/>
    <n v="0.3"/>
    <n v="0"/>
    <n v="3.5"/>
    <n v="3"/>
    <n v="4"/>
    <s v="Yes"/>
    <n v="0"/>
    <n v="0"/>
    <m/>
    <n v="0"/>
    <s v="Stayed"/>
    <m/>
    <n v="1"/>
    <n v="0"/>
    <s v="No Recorded Promotions"/>
    <s v="5+ years"/>
    <s v="Low"/>
    <n v="3.5"/>
    <n v="0.25"/>
    <n v="0"/>
  </r>
  <r>
    <s v="EMP0063"/>
    <x v="5"/>
    <s v="Accountant"/>
    <n v="7.8"/>
    <s v="G4"/>
    <n v="35"/>
    <s v="Diploma"/>
    <s v="Chennai"/>
    <n v="2"/>
    <n v="7.5"/>
    <n v="5"/>
    <n v="2"/>
    <n v="12"/>
    <n v="0"/>
    <s v="Band D"/>
    <n v="86900"/>
    <n v="8.1"/>
    <n v="2.5"/>
    <n v="0.5"/>
    <n v="0"/>
    <n v="2.5"/>
    <n v="4.2"/>
    <n v="3"/>
    <s v="Yes"/>
    <n v="0"/>
    <n v="0"/>
    <m/>
    <n v="0"/>
    <s v="Stayed"/>
    <m/>
    <n v="1"/>
    <n v="0"/>
    <s v="No Recorded Promotions"/>
    <s v="5+ years"/>
    <s v="Low"/>
    <s v="3.233333333333333"/>
    <s v="0.16666666666666666"/>
    <n v="0"/>
  </r>
  <r>
    <s v="EMP0064"/>
    <x v="0"/>
    <s v="Operations Manager"/>
    <n v="10"/>
    <s v="G1"/>
    <n v="43"/>
    <s v="Diploma"/>
    <s v="Remote"/>
    <n v="4"/>
    <n v="2.2000000000000002"/>
    <n v="9"/>
    <n v="2"/>
    <n v="12"/>
    <n v="0"/>
    <s v="Band A"/>
    <n v="29600"/>
    <n v="7.2"/>
    <n v="4.0999999999999996"/>
    <n v="2.6"/>
    <n v="0"/>
    <n v="3.2"/>
    <n v="4.3"/>
    <n v="3.6"/>
    <s v="Yes"/>
    <n v="0"/>
    <n v="0"/>
    <m/>
    <n v="0"/>
    <s v="Stayed"/>
    <m/>
    <n v="1"/>
    <n v="0"/>
    <s v="No Recorded Promotions"/>
    <s v="5+ years"/>
    <s v="Low"/>
    <s v="3.6999999999999997"/>
    <s v="0.3333333333333333"/>
    <n v="0"/>
  </r>
  <r>
    <s v="EMP0065"/>
    <x v="0"/>
    <s v="Team Lead"/>
    <n v="7.5"/>
    <s v="G1"/>
    <n v="40"/>
    <s v="Bachelor"/>
    <s v="Hyderabad"/>
    <n v="3"/>
    <n v="12.7"/>
    <n v="13"/>
    <n v="5"/>
    <n v="12"/>
    <n v="0"/>
    <s v="Band A"/>
    <n v="28900"/>
    <n v="8.4"/>
    <n v="4.0999999999999996"/>
    <n v="4"/>
    <n v="0"/>
    <n v="3.9"/>
    <n v="5"/>
    <n v="3.5"/>
    <s v="No"/>
    <n v="0"/>
    <n v="1"/>
    <n v="5.7"/>
    <n v="0"/>
    <s v="Stayed"/>
    <m/>
    <n v="0"/>
    <n v="0"/>
    <s v="Promoted"/>
    <s v="5+ years"/>
    <s v="Moderate"/>
    <s v="4.133333333333334"/>
    <n v="0.25"/>
    <n v="0"/>
  </r>
  <r>
    <s v="EMP0066"/>
    <x v="5"/>
    <s v="Financial Analyst"/>
    <n v="1.9"/>
    <s v="G4"/>
    <n v="29"/>
    <s v="Master"/>
    <s v="Coimbatore"/>
    <n v="4"/>
    <n v="15.7"/>
    <n v="9"/>
    <n v="3"/>
    <n v="12"/>
    <n v="0"/>
    <s v="Band C"/>
    <n v="56000"/>
    <n v="11"/>
    <n v="3.4"/>
    <n v="0.4"/>
    <n v="0"/>
    <n v="3.3"/>
    <n v="3.2"/>
    <n v="1.9"/>
    <s v="Yes"/>
    <n v="0"/>
    <n v="0"/>
    <m/>
    <n v="0"/>
    <s v="Stayed"/>
    <m/>
    <n v="1"/>
    <n v="0"/>
    <s v="No Recorded Promotions"/>
    <s v="1â€“3 years"/>
    <s v="Moderate"/>
    <s v="2.8000000000000003"/>
    <s v="0.3333333333333333"/>
    <n v="0"/>
  </r>
  <r>
    <s v="EMP0067"/>
    <x v="5"/>
    <s v="Finance Manager"/>
    <n v="3.7"/>
    <s v="G4"/>
    <n v="32"/>
    <s v="Master"/>
    <s v="Coimbatore"/>
    <n v="0"/>
    <n v="16.7"/>
    <n v="10"/>
    <n v="0"/>
    <n v="12"/>
    <n v="0"/>
    <s v="Band D"/>
    <n v="77300"/>
    <n v="0"/>
    <n v="2.6"/>
    <n v="0.5"/>
    <n v="0"/>
    <n v="2.8"/>
    <n v="3.6"/>
    <n v="2.8"/>
    <s v="Yes"/>
    <n v="0"/>
    <n v="0"/>
    <m/>
    <n v="0"/>
    <s v="Stayed"/>
    <m/>
    <n v="1"/>
    <n v="0"/>
    <s v="No Recorded Promotions"/>
    <s v="3â€“5 years"/>
    <s v="Moderate"/>
    <s v="3.0666666666666664"/>
    <n v="0"/>
    <n v="0"/>
  </r>
  <r>
    <s v="EMP0068"/>
    <x v="4"/>
    <s v="Sales Manager"/>
    <n v="7.6"/>
    <s v="G3"/>
    <n v="37"/>
    <s v="Bachelor"/>
    <s v="Coimbatore"/>
    <n v="4"/>
    <n v="14.6"/>
    <n v="10"/>
    <n v="2"/>
    <n v="12"/>
    <n v="0"/>
    <s v="Band C"/>
    <n v="60100"/>
    <n v="6.6"/>
    <n v="2.6"/>
    <n v="2"/>
    <n v="0"/>
    <n v="3"/>
    <n v="2.6"/>
    <n v="2.8"/>
    <s v="Yes"/>
    <n v="0"/>
    <n v="0"/>
    <m/>
    <n v="0"/>
    <s v="Stayed"/>
    <m/>
    <n v="1"/>
    <n v="0"/>
    <s v="No Recorded Promotions"/>
    <s v="5+ years"/>
    <s v="Moderate"/>
    <s v="2.7999999999999994"/>
    <s v="0.3333333333333333"/>
    <n v="0"/>
  </r>
  <r>
    <s v="EMP0069"/>
    <x v="3"/>
    <s v="Senior Software Engineer"/>
    <n v="7.1"/>
    <s v="G2"/>
    <n v="28"/>
    <s v="Diploma"/>
    <s v="Chennai"/>
    <n v="6"/>
    <n v="8.6999999999999993"/>
    <n v="4"/>
    <n v="2"/>
    <n v="12"/>
    <n v="0"/>
    <s v="Band B"/>
    <n v="45700"/>
    <n v="10.7"/>
    <n v="3.2"/>
    <n v="0.8"/>
    <n v="0"/>
    <n v="4.4000000000000004"/>
    <n v="1"/>
    <n v="2.9"/>
    <s v="Yes"/>
    <n v="0"/>
    <n v="4"/>
    <n v="1.5"/>
    <n v="1"/>
    <s v="Stayed"/>
    <m/>
    <n v="0"/>
    <n v="0"/>
    <s v="Promoted"/>
    <s v="5+ years"/>
    <s v="Low"/>
    <s v="2.766666666666667"/>
    <n v="0.5"/>
    <n v="0"/>
  </r>
  <r>
    <s v="EMP0070"/>
    <x v="1"/>
    <s v="Recruiter"/>
    <n v="3.2"/>
    <s v="G2"/>
    <n v="32"/>
    <s v="Bachelor"/>
    <s v="Hyderabad"/>
    <n v="3"/>
    <n v="92"/>
    <n v="9"/>
    <n v="2"/>
    <n v="12"/>
    <n v="1"/>
    <s v="Band B"/>
    <n v="43500"/>
    <n v="9"/>
    <n v="2.8"/>
    <n v="2.7"/>
    <n v="0"/>
    <n v="3.9"/>
    <n v="3.2"/>
    <n v="2.5"/>
    <s v="Yes"/>
    <n v="0"/>
    <n v="1"/>
    <m/>
    <n v="0"/>
    <s v="Stayed"/>
    <m/>
    <n v="1"/>
    <n v="0"/>
    <s v="Promoted"/>
    <s v="3â€“5 years"/>
    <s v="Extreme"/>
    <s v="3.1999999999999997"/>
    <n v="0.25"/>
    <n v="0"/>
  </r>
  <r>
    <s v="EMP0071"/>
    <x v="3"/>
    <s v="Software Engineer"/>
    <n v="5.3"/>
    <s v="G1"/>
    <n v="28"/>
    <s v="Master"/>
    <s v="Hyderabad"/>
    <n v="2"/>
    <n v="10.1"/>
    <n v="8"/>
    <n v="2"/>
    <n v="12"/>
    <n v="0"/>
    <s v="Band A"/>
    <n v="32200"/>
    <n v="3.5"/>
    <n v="3.2"/>
    <n v="2.2000000000000002"/>
    <n v="0"/>
    <n v="3.8"/>
    <n v="2.2000000000000002"/>
    <n v="3.4"/>
    <s v="Yes"/>
    <n v="0"/>
    <n v="1"/>
    <n v="2.7"/>
    <n v="0"/>
    <s v="Stayed"/>
    <m/>
    <n v="0"/>
    <n v="0"/>
    <s v="Promoted"/>
    <s v="5+ years"/>
    <s v="Moderate"/>
    <s v="3.1333333333333333"/>
    <s v="0.16666666666666666"/>
    <n v="0"/>
  </r>
  <r>
    <s v="EMP0072"/>
    <x v="4"/>
    <s v="Account Manager"/>
    <n v="2.6"/>
    <s v="G1"/>
    <n v="30"/>
    <s v="Master"/>
    <s v="Coimbatore"/>
    <n v="0"/>
    <n v="20.5"/>
    <n v="9"/>
    <n v="3"/>
    <n v="12"/>
    <n v="0"/>
    <s v="Band A"/>
    <n v="31100"/>
    <n v="0"/>
    <n v="3.7"/>
    <n v="3.1"/>
    <n v="0"/>
    <n v="3.7"/>
    <n v="3.8"/>
    <n v="4.5"/>
    <s v="Yes"/>
    <n v="0"/>
    <n v="1"/>
    <n v="0.8"/>
    <n v="0"/>
    <s v="Stayed"/>
    <m/>
    <n v="0"/>
    <n v="0"/>
    <s v="Promoted"/>
    <s v="1â€“3 years"/>
    <s v="High"/>
    <n v="4"/>
    <n v="0"/>
    <n v="0"/>
  </r>
  <r>
    <s v="EMP0073"/>
    <x v="2"/>
    <s v="Support Specialist"/>
    <n v="1"/>
    <s v="G2"/>
    <n v="26"/>
    <s v="Bachelor"/>
    <s v="Chennai"/>
    <n v="2"/>
    <n v="1.3"/>
    <n v="11"/>
    <n v="0"/>
    <n v="12"/>
    <n v="0"/>
    <s v="Band B"/>
    <n v="40800"/>
    <n v="14.8"/>
    <n v="1.8"/>
    <n v="0.9"/>
    <n v="0"/>
    <n v="2.2000000000000002"/>
    <n v="1.5"/>
    <n v="3.5"/>
    <s v="Yes"/>
    <n v="0"/>
    <n v="1"/>
    <n v="0.7"/>
    <n v="0"/>
    <s v="Left"/>
    <d v="2025-01-31T00:00:00"/>
    <n v="0"/>
    <n v="0"/>
    <s v="Promoted"/>
    <s v="0â€“1 years"/>
    <s v="Low"/>
    <n v="2.4"/>
    <s v="0.16666666666666666"/>
    <n v="1"/>
  </r>
  <r>
    <s v="EMP0074"/>
    <x v="3"/>
    <s v="Senior Software Engineer"/>
    <n v="3.4"/>
    <s v="G3"/>
    <n v="31"/>
    <s v="Bachelor"/>
    <s v="Chennai"/>
    <n v="2"/>
    <n v="6.9"/>
    <n v="10"/>
    <n v="1"/>
    <n v="12"/>
    <n v="0"/>
    <s v="Band C"/>
    <n v="58000"/>
    <n v="7.3"/>
    <n v="2.5"/>
    <n v="0.7"/>
    <n v="0"/>
    <n v="3.5"/>
    <n v="2.5"/>
    <n v="2.5"/>
    <s v="Yes"/>
    <n v="0"/>
    <n v="1"/>
    <n v="2.9"/>
    <n v="1"/>
    <s v="Stayed"/>
    <m/>
    <n v="0"/>
    <n v="0"/>
    <s v="Promoted"/>
    <s v="3â€“5 years"/>
    <s v="Low"/>
    <s v="2.8333333333333335"/>
    <s v="0.16666666666666666"/>
    <n v="0"/>
  </r>
  <r>
    <s v="EMP0075"/>
    <x v="3"/>
    <s v="QA Engineer"/>
    <n v="3.3"/>
    <s v="G2"/>
    <n v="30"/>
    <s v="Master"/>
    <s v="Chennai"/>
    <n v="3"/>
    <n v="4"/>
    <n v="7"/>
    <n v="1"/>
    <n v="12"/>
    <n v="0"/>
    <s v="Band A"/>
    <n v="30200"/>
    <n v="14.1"/>
    <n v="3.2"/>
    <n v="0.5"/>
    <n v="0"/>
    <n v="3.3"/>
    <n v="3.4"/>
    <n v="2.6"/>
    <s v="Yes"/>
    <n v="1"/>
    <n v="1"/>
    <n v="1.5"/>
    <n v="1"/>
    <s v="Stayed"/>
    <m/>
    <n v="0"/>
    <n v="0"/>
    <s v="Promoted"/>
    <s v="3â€“5 years"/>
    <s v="Low"/>
    <s v="3.0999999999999996"/>
    <n v="0.25"/>
    <n v="0"/>
  </r>
  <r>
    <s v="EMP0076"/>
    <x v="4"/>
    <s v="Account Manager"/>
    <n v="2.5"/>
    <s v="G3"/>
    <n v="21"/>
    <s v="Master"/>
    <s v="Bengaluru"/>
    <n v="3"/>
    <n v="37.799999999999997"/>
    <n v="6"/>
    <n v="0"/>
    <n v="12"/>
    <n v="0"/>
    <s v="Band B"/>
    <n v="45500"/>
    <n v="11.2"/>
    <n v="4.5999999999999996"/>
    <n v="3.9"/>
    <n v="0"/>
    <n v="3.1"/>
    <n v="3.5"/>
    <n v="3.1"/>
    <s v="No"/>
    <n v="0"/>
    <n v="2"/>
    <n v="0.5"/>
    <n v="2"/>
    <s v="Stayed"/>
    <m/>
    <n v="0"/>
    <n v="0"/>
    <s v="Promoted"/>
    <s v="1â€“3 years"/>
    <s v="High"/>
    <s v="3.233333333333333"/>
    <n v="0.25"/>
    <n v="0"/>
  </r>
  <r>
    <s v="EMP0077"/>
    <x v="4"/>
    <s v="Account Manager"/>
    <n v="5.4"/>
    <s v="G2"/>
    <n v="32"/>
    <s v="Diploma"/>
    <s v="Coimbatore"/>
    <n v="1"/>
    <n v="23.4"/>
    <n v="10"/>
    <n v="1"/>
    <n v="12"/>
    <n v="0"/>
    <s v="Band A"/>
    <n v="33900"/>
    <n v="4.8"/>
    <n v="4"/>
    <n v="0.3"/>
    <n v="0"/>
    <n v="4.2"/>
    <n v="3.2"/>
    <n v="2.2999999999999998"/>
    <s v="Yes"/>
    <n v="0"/>
    <n v="0"/>
    <m/>
    <n v="0"/>
    <s v="Stayed"/>
    <m/>
    <n v="1"/>
    <n v="0"/>
    <s v="No Recorded Promotions"/>
    <s v="5+ years"/>
    <s v="High"/>
    <s v="3.233333333333333"/>
    <n v="8.3333333333333301E-2"/>
    <n v="0"/>
  </r>
  <r>
    <s v="EMP0078"/>
    <x v="0"/>
    <s v="Team Lead"/>
    <n v="3.1"/>
    <s v="G2"/>
    <n v="32"/>
    <s v="Master"/>
    <s v="Chennai"/>
    <n v="7"/>
    <n v="7.1"/>
    <n v="16"/>
    <n v="3"/>
    <n v="12"/>
    <n v="0"/>
    <s v="Band B"/>
    <n v="44500"/>
    <n v="0"/>
    <n v="3.2"/>
    <n v="0.2"/>
    <n v="0"/>
    <n v="3.8"/>
    <n v="4.9000000000000004"/>
    <n v="3.6"/>
    <s v="Yes"/>
    <n v="0"/>
    <n v="0"/>
    <m/>
    <n v="0"/>
    <s v="Stayed"/>
    <m/>
    <n v="1"/>
    <n v="0"/>
    <s v="No Recorded Promotions"/>
    <s v="3â€“5 years"/>
    <s v="Low"/>
    <n v="4.0999999999999996"/>
    <s v="0.5833333333333334"/>
    <n v="0"/>
  </r>
  <r>
    <s v="EMP0079"/>
    <x v="5"/>
    <s v="Accountant"/>
    <n v="4.9000000000000004"/>
    <s v="G4"/>
    <n v="33"/>
    <s v="Diploma"/>
    <s v="Bengaluru"/>
    <n v="2"/>
    <n v="2.7"/>
    <n v="11"/>
    <n v="2"/>
    <n v="12"/>
    <n v="0"/>
    <s v="Band C"/>
    <n v="66200"/>
    <n v="6.2"/>
    <n v="3.6"/>
    <n v="1.4"/>
    <n v="0"/>
    <n v="4"/>
    <n v="3.3"/>
    <n v="4.5"/>
    <s v="Yes"/>
    <n v="1"/>
    <n v="0"/>
    <m/>
    <n v="0"/>
    <s v="Stayed"/>
    <m/>
    <n v="1"/>
    <n v="0"/>
    <s v="No Recorded Promotions"/>
    <s v="3â€“5 years"/>
    <s v="Low"/>
    <s v="3.9333333333333336"/>
    <s v="0.16666666666666666"/>
    <n v="0"/>
  </r>
  <r>
    <s v="EMP0080"/>
    <x v="0"/>
    <s v="Operations Associate"/>
    <n v="6.2"/>
    <s v="G4"/>
    <n v="32"/>
    <s v="Diploma"/>
    <s v="Remote"/>
    <n v="2"/>
    <n v="3.6"/>
    <n v="11"/>
    <n v="0"/>
    <n v="12"/>
    <n v="0"/>
    <s v="Band C"/>
    <n v="68800"/>
    <n v="7.9"/>
    <n v="3.1"/>
    <n v="0.7"/>
    <n v="0"/>
    <n v="3.3"/>
    <n v="2.6"/>
    <n v="2.9"/>
    <s v="Yes"/>
    <n v="0"/>
    <n v="0"/>
    <m/>
    <n v="0"/>
    <s v="Stayed"/>
    <m/>
    <n v="1"/>
    <n v="0"/>
    <s v="No Recorded Promotions"/>
    <s v="5+ years"/>
    <s v="Low"/>
    <s v="2.9333333333333336"/>
    <s v="0.16666666666666666"/>
    <n v="0"/>
  </r>
  <r>
    <s v="EMP0081"/>
    <x v="0"/>
    <s v="Operations Manager"/>
    <n v="14.8"/>
    <s v="G2"/>
    <n v="47"/>
    <s v="Master"/>
    <s v="Chennai"/>
    <n v="2"/>
    <n v="20.3"/>
    <n v="13"/>
    <n v="1"/>
    <n v="12"/>
    <n v="0"/>
    <s v="Band B"/>
    <n v="45300"/>
    <n v="9.8000000000000007"/>
    <n v="4.2"/>
    <n v="2.9"/>
    <n v="0"/>
    <n v="4.0999999999999996"/>
    <n v="4.5999999999999996"/>
    <n v="3.5"/>
    <s v="Yes"/>
    <n v="0"/>
    <n v="2"/>
    <n v="1.8"/>
    <n v="0"/>
    <s v="Stayed"/>
    <m/>
    <n v="0"/>
    <n v="0"/>
    <s v="Promoted"/>
    <s v="5+ years"/>
    <s v="High"/>
    <s v="4.066666666666666"/>
    <s v="0.16666666666666666"/>
    <n v="0"/>
  </r>
  <r>
    <s v="EMP0082"/>
    <x v="4"/>
    <s v="Sales Executive"/>
    <n v="3.5"/>
    <s v="G3"/>
    <n v="31"/>
    <s v="Bachelor"/>
    <s v="Coimbatore"/>
    <n v="4"/>
    <n v="2.1"/>
    <n v="4"/>
    <n v="2"/>
    <n v="12"/>
    <n v="0"/>
    <s v="Band B"/>
    <n v="45200"/>
    <n v="3.6"/>
    <n v="3.6"/>
    <n v="0.2"/>
    <n v="0"/>
    <n v="2"/>
    <n v="4.8"/>
    <n v="3.1"/>
    <s v="Yes"/>
    <n v="0"/>
    <n v="1"/>
    <n v="3.3"/>
    <n v="1"/>
    <s v="Stayed"/>
    <m/>
    <n v="0"/>
    <n v="0"/>
    <s v="Promoted"/>
    <s v="3â€“5 years"/>
    <s v="Low"/>
    <s v="3.3000000000000003"/>
    <s v="0.3333333333333333"/>
    <n v="0"/>
  </r>
  <r>
    <s v="EMP0083"/>
    <x v="0"/>
    <s v="Operations Associate"/>
    <n v="8"/>
    <s v="G2"/>
    <n v="36"/>
    <s v="Bachelor"/>
    <s v="Coimbatore"/>
    <n v="1"/>
    <n v="10.199999999999999"/>
    <n v="6"/>
    <n v="2"/>
    <n v="12"/>
    <n v="0"/>
    <s v="Band B"/>
    <n v="43300"/>
    <n v="8.6999999999999993"/>
    <n v="4.4000000000000004"/>
    <n v="1"/>
    <n v="0"/>
    <n v="3.3"/>
    <n v="3.1"/>
    <n v="2.9"/>
    <s v="Yes"/>
    <n v="0"/>
    <n v="1"/>
    <n v="7.6"/>
    <n v="0"/>
    <s v="Stayed"/>
    <m/>
    <n v="0"/>
    <n v="0"/>
    <s v="Promoted"/>
    <s v="5+ years"/>
    <s v="Moderate"/>
    <n v="3.1"/>
    <n v="8.3333333333333301E-2"/>
    <n v="0"/>
  </r>
  <r>
    <s v="EMP0084"/>
    <x v="3"/>
    <s v="QA Engineer"/>
    <n v="4.4000000000000004"/>
    <s v="G1"/>
    <n v="35"/>
    <s v="Master"/>
    <s v="Chennai"/>
    <n v="3"/>
    <n v="18"/>
    <n v="14"/>
    <n v="1"/>
    <n v="12"/>
    <n v="0"/>
    <s v="Band A"/>
    <n v="21600"/>
    <n v="8.6999999999999993"/>
    <n v="2"/>
    <n v="0.1"/>
    <n v="0"/>
    <n v="3.9"/>
    <n v="3.2"/>
    <n v="3.6"/>
    <s v="Yes"/>
    <n v="0"/>
    <n v="1"/>
    <n v="2.2000000000000002"/>
    <n v="1"/>
    <s v="Stayed"/>
    <m/>
    <n v="0"/>
    <n v="0"/>
    <s v="Promoted"/>
    <s v="3â€“5 years"/>
    <s v="Moderate"/>
    <s v="3.5666666666666664"/>
    <n v="0.25"/>
    <n v="0"/>
  </r>
  <r>
    <s v="EMP0085"/>
    <x v="3"/>
    <s v="Software Engineer"/>
    <n v="4.5999999999999996"/>
    <s v="G3"/>
    <n v="32"/>
    <s v="Master"/>
    <s v="Coimbatore"/>
    <n v="2"/>
    <n v="3.2"/>
    <n v="6"/>
    <n v="3"/>
    <n v="12"/>
    <n v="0"/>
    <s v="Band B"/>
    <n v="46400"/>
    <n v="11.9"/>
    <n v="2.5"/>
    <n v="0.9"/>
    <n v="0"/>
    <n v="3.6"/>
    <n v="3.2"/>
    <n v="2.9"/>
    <s v="Yes"/>
    <n v="0"/>
    <n v="0"/>
    <m/>
    <n v="1"/>
    <s v="Stayed"/>
    <m/>
    <n v="1"/>
    <n v="0"/>
    <s v="No Recorded Promotions"/>
    <s v="3â€“5 years"/>
    <s v="Low"/>
    <s v="3.233333333333334"/>
    <s v="0.16666666666666666"/>
    <n v="0"/>
  </r>
  <r>
    <s v="EMP0086"/>
    <x v="3"/>
    <s v="QA Engineer"/>
    <n v="3.5"/>
    <s v="G1"/>
    <n v="26"/>
    <s v="Diploma"/>
    <s v="Bengaluru"/>
    <n v="2"/>
    <n v="10.1"/>
    <n v="15"/>
    <n v="3"/>
    <n v="12"/>
    <n v="0"/>
    <s v="Band A"/>
    <n v="29300"/>
    <n v="6.8"/>
    <n v="3.4"/>
    <n v="1.4"/>
    <n v="0"/>
    <n v="4.3"/>
    <n v="2.6"/>
    <n v="2.8"/>
    <s v="Yes"/>
    <n v="0"/>
    <n v="0"/>
    <m/>
    <n v="0"/>
    <s v="Stayed"/>
    <m/>
    <n v="1"/>
    <n v="0"/>
    <s v="No Recorded Promotions"/>
    <s v="3â€“5 years"/>
    <s v="Moderate"/>
    <s v="3.233333333333333"/>
    <s v="0.16666666666666666"/>
    <n v="0"/>
  </r>
  <r>
    <s v="EMP0087"/>
    <x v="0"/>
    <s v="Operations Manager"/>
    <n v="4.0999999999999996"/>
    <s v="G2"/>
    <n v="21"/>
    <s v="Bachelor"/>
    <s v="Chennai"/>
    <n v="4"/>
    <n v="7.2"/>
    <n v="15"/>
    <n v="0"/>
    <n v="12"/>
    <n v="0"/>
    <s v="Band A"/>
    <n v="33400"/>
    <n v="9.8000000000000007"/>
    <n v="3.6"/>
    <n v="1.2"/>
    <n v="0"/>
    <n v="3.2"/>
    <n v="2.7"/>
    <n v="2.1"/>
    <s v="Yes"/>
    <n v="0"/>
    <n v="2"/>
    <m/>
    <n v="0"/>
    <s v="Stayed"/>
    <m/>
    <n v="1"/>
    <n v="0"/>
    <s v="Promoted"/>
    <s v="3â€“5 years"/>
    <s v="Low"/>
    <s v="2.6666666666666665"/>
    <s v="0.3333333333333333"/>
    <n v="0"/>
  </r>
  <r>
    <s v="EMP0088"/>
    <x v="1"/>
    <s v="Recruiter"/>
    <n v="3.1"/>
    <s v="G2"/>
    <n v="27"/>
    <s v="Master"/>
    <s v="Chennai"/>
    <n v="3"/>
    <n v="6.4"/>
    <n v="8"/>
    <n v="2"/>
    <n v="12"/>
    <n v="0"/>
    <s v="Band B"/>
    <n v="44600"/>
    <n v="9.1999999999999993"/>
    <n v="5"/>
    <n v="1.1000000000000001"/>
    <n v="0"/>
    <n v="2.8"/>
    <n v="4.4000000000000004"/>
    <n v="3.5"/>
    <s v="Yes"/>
    <n v="0"/>
    <n v="1"/>
    <n v="2.1"/>
    <n v="1"/>
    <s v="Stayed"/>
    <m/>
    <n v="0"/>
    <n v="0"/>
    <s v="Promoted"/>
    <s v="3â€“5 years"/>
    <s v="Low"/>
    <s v="3.5666666666666664"/>
    <n v="0.25"/>
    <n v="0"/>
  </r>
  <r>
    <s v="EMP0089"/>
    <x v="3"/>
    <s v="Senior Software Engineer"/>
    <n v="7.1"/>
    <s v="G1"/>
    <n v="36"/>
    <s v="Bachelor"/>
    <s v="Hyderabad"/>
    <n v="2"/>
    <n v="5.5"/>
    <n v="11"/>
    <n v="1"/>
    <n v="12"/>
    <n v="0"/>
    <s v="Band A"/>
    <n v="30300"/>
    <n v="11.5"/>
    <n v="1.6"/>
    <n v="2.2000000000000002"/>
    <n v="0"/>
    <n v="1.8"/>
    <n v="3.6"/>
    <n v="4.3"/>
    <s v="Yes"/>
    <n v="0"/>
    <n v="2"/>
    <n v="6.9"/>
    <n v="1"/>
    <s v="Stayed"/>
    <m/>
    <n v="0"/>
    <n v="0"/>
    <s v="Promoted"/>
    <s v="5+ years"/>
    <s v="Low"/>
    <s v="3.233333333333333"/>
    <s v="0.16666666666666666"/>
    <n v="0"/>
  </r>
  <r>
    <s v="EMP0090"/>
    <x v="5"/>
    <s v="Accountant"/>
    <n v="2.1"/>
    <s v="G1"/>
    <n v="27"/>
    <s v="Doctorate"/>
    <s v="Chennai"/>
    <n v="5"/>
    <n v="19.100000000000001"/>
    <n v="14"/>
    <n v="3"/>
    <n v="12"/>
    <n v="0"/>
    <s v="Band A"/>
    <n v="31900"/>
    <n v="4.7"/>
    <n v="3.2"/>
    <n v="0.4"/>
    <n v="0"/>
    <n v="3.1"/>
    <n v="2.7"/>
    <n v="4"/>
    <s v="No"/>
    <n v="0"/>
    <n v="0"/>
    <m/>
    <n v="0"/>
    <s v="Stayed"/>
    <m/>
    <n v="1"/>
    <n v="0"/>
    <s v="No Recorded Promotions"/>
    <s v="1â€“3 years"/>
    <s v="Moderate"/>
    <s v="3.266666666666667"/>
    <s v="0.4166666666666667"/>
    <n v="0"/>
  </r>
  <r>
    <s v="EMP0091"/>
    <x v="3"/>
    <s v="Data Analyst"/>
    <n v="1"/>
    <s v="G2"/>
    <n v="30"/>
    <s v="Master"/>
    <s v="Bengaluru"/>
    <n v="6"/>
    <n v="26.9"/>
    <n v="8"/>
    <n v="1"/>
    <n v="12"/>
    <n v="0"/>
    <s v="Band B"/>
    <n v="39600"/>
    <n v="0"/>
    <n v="3.1"/>
    <n v="1.7"/>
    <n v="0"/>
    <n v="3.8"/>
    <n v="2.4"/>
    <n v="4.5999999999999996"/>
    <s v="Yes"/>
    <n v="0"/>
    <n v="0"/>
    <m/>
    <n v="0"/>
    <s v="Left"/>
    <d v="2024-06-05T00:00:00"/>
    <n v="1"/>
    <n v="0"/>
    <s v="No Recorded Promotions"/>
    <s v="0â€“1 years"/>
    <s v="High"/>
    <s v="3.5999999999999996"/>
    <n v="0.5"/>
    <n v="1"/>
  </r>
  <r>
    <s v="EMP0092"/>
    <x v="0"/>
    <s v="Operations Associate"/>
    <n v="2.4"/>
    <s v="G5"/>
    <n v="29"/>
    <s v="Diploma"/>
    <s v="Bengaluru"/>
    <n v="4"/>
    <n v="8.1999999999999993"/>
    <n v="8"/>
    <n v="3"/>
    <n v="12"/>
    <n v="0"/>
    <s v="Band D"/>
    <n v="95400"/>
    <n v="7.1"/>
    <n v="3.4"/>
    <n v="1"/>
    <n v="0"/>
    <n v="4"/>
    <n v="2.5"/>
    <n v="2.9"/>
    <s v="Yes"/>
    <n v="0"/>
    <n v="0"/>
    <m/>
    <n v="0"/>
    <s v="Stayed"/>
    <m/>
    <n v="1"/>
    <n v="0"/>
    <s v="No Recorded Promotions"/>
    <s v="1â€“3 years"/>
    <s v="Low"/>
    <s v="3.1333333333333333"/>
    <s v="0.3333333333333333"/>
    <n v="0"/>
  </r>
  <r>
    <s v="EMP0093"/>
    <x v="1"/>
    <s v="HR Manager"/>
    <n v="2.2000000000000002"/>
    <s v="G3"/>
    <n v="33"/>
    <s v="Bachelor"/>
    <s v="Hyderabad"/>
    <n v="4"/>
    <n v="13.3"/>
    <n v="6"/>
    <n v="1"/>
    <n v="12"/>
    <n v="0"/>
    <s v="Band B"/>
    <n v="45900"/>
    <n v="7.1"/>
    <n v="4.8"/>
    <n v="0.9"/>
    <n v="0"/>
    <n v="2"/>
    <n v="3.1"/>
    <n v="4.0999999999999996"/>
    <s v="Yes"/>
    <n v="0"/>
    <n v="0"/>
    <m/>
    <n v="0"/>
    <s v="Stayed"/>
    <m/>
    <n v="1"/>
    <n v="0"/>
    <s v="No Recorded Promotions"/>
    <s v="1â€“3 years"/>
    <s v="Moderate"/>
    <s v="3.0666666666666664"/>
    <s v="0.3333333333333333"/>
    <n v="0"/>
  </r>
  <r>
    <s v="EMP0094"/>
    <x v="4"/>
    <s v="Sales Executive"/>
    <n v="2.4"/>
    <s v="G2"/>
    <n v="27"/>
    <s v="Master"/>
    <s v="Bengaluru"/>
    <n v="0"/>
    <n v="10.3"/>
    <n v="13"/>
    <n v="4"/>
    <n v="12"/>
    <n v="0"/>
    <s v="Band B"/>
    <n v="42500"/>
    <n v="3.4"/>
    <n v="4"/>
    <n v="1.9"/>
    <n v="0"/>
    <n v="4.4000000000000004"/>
    <n v="4"/>
    <n v="2.5"/>
    <s v="Yes"/>
    <n v="0"/>
    <n v="2"/>
    <n v="0.4"/>
    <n v="0"/>
    <s v="Stayed"/>
    <m/>
    <n v="0"/>
    <n v="0"/>
    <s v="Promoted"/>
    <s v="1â€“3 years"/>
    <s v="Moderate"/>
    <s v="3.6333333333333333"/>
    <n v="0"/>
    <n v="0"/>
  </r>
  <r>
    <s v="EMP0095"/>
    <x v="4"/>
    <s v="Sales Executive"/>
    <n v="3.4"/>
    <s v="G1"/>
    <n v="31"/>
    <s v="Doctorate"/>
    <s v="Hyderabad"/>
    <n v="3"/>
    <n v="1.6"/>
    <n v="10"/>
    <n v="0"/>
    <n v="12"/>
    <n v="0"/>
    <s v="Band A"/>
    <n v="30100"/>
    <n v="2"/>
    <n v="1.8"/>
    <n v="1.5"/>
    <n v="0"/>
    <n v="2.4"/>
    <n v="2.4"/>
    <n v="4"/>
    <s v="Yes"/>
    <n v="0"/>
    <n v="2"/>
    <n v="1"/>
    <n v="0"/>
    <s v="Stayed"/>
    <m/>
    <n v="0"/>
    <n v="0"/>
    <s v="Promoted"/>
    <s v="3â€“5 years"/>
    <s v="Low"/>
    <s v="2.9333333333333336"/>
    <n v="0.25"/>
    <n v="0"/>
  </r>
  <r>
    <s v="EMP0096"/>
    <x v="0"/>
    <s v="Operations Manager"/>
    <n v="2.5"/>
    <s v="G3"/>
    <n v="31"/>
    <s v="Diploma"/>
    <s v="Bengaluru"/>
    <n v="0"/>
    <n v="7.9"/>
    <n v="8"/>
    <n v="3"/>
    <n v="12"/>
    <n v="0"/>
    <s v="Band C"/>
    <n v="65500"/>
    <n v="5.7"/>
    <n v="4.5999999999999996"/>
    <n v="1.8"/>
    <n v="0"/>
    <n v="3.2"/>
    <n v="4"/>
    <n v="4.7"/>
    <s v="No"/>
    <n v="0"/>
    <n v="2"/>
    <n v="1.7"/>
    <n v="0"/>
    <s v="Stayed"/>
    <m/>
    <n v="0"/>
    <n v="0"/>
    <s v="Promoted"/>
    <s v="1â€“3 years"/>
    <s v="Low"/>
    <s v="3.966666666666667"/>
    <n v="0"/>
    <n v="0"/>
  </r>
  <r>
    <s v="EMP0097"/>
    <x v="4"/>
    <s v="Sales Manager"/>
    <n v="3.3"/>
    <s v="G1"/>
    <n v="35"/>
    <s v="Diploma"/>
    <s v="Coimbatore"/>
    <n v="6"/>
    <n v="1.2"/>
    <n v="9"/>
    <n v="2"/>
    <n v="12"/>
    <n v="0"/>
    <s v="Band A"/>
    <n v="31400"/>
    <n v="7.5"/>
    <n v="4.5999999999999996"/>
    <n v="5.3"/>
    <n v="0"/>
    <n v="2.8"/>
    <n v="3.4"/>
    <n v="3.8"/>
    <s v="Yes"/>
    <n v="0"/>
    <n v="1"/>
    <n v="1.6"/>
    <n v="1"/>
    <s v="Stayed"/>
    <m/>
    <n v="0"/>
    <n v="0"/>
    <s v="Promoted"/>
    <s v="3â€“5 years"/>
    <s v="Low"/>
    <s v="3.3333333333333335"/>
    <n v="0.5"/>
    <n v="0"/>
  </r>
  <r>
    <s v="EMP0098"/>
    <x v="3"/>
    <s v="Data Analyst"/>
    <n v="2.5"/>
    <s v="G3"/>
    <n v="22"/>
    <s v="Master"/>
    <s v="Coimbatore"/>
    <n v="4"/>
    <n v="6.7"/>
    <n v="8"/>
    <n v="1"/>
    <n v="12"/>
    <n v="0"/>
    <s v="Band B"/>
    <n v="49900"/>
    <n v="8.4"/>
    <n v="3.4"/>
    <n v="1"/>
    <n v="0"/>
    <n v="3.7"/>
    <n v="3.3"/>
    <n v="4.7"/>
    <s v="Yes"/>
    <n v="0"/>
    <n v="0"/>
    <m/>
    <n v="0"/>
    <s v="Stayed"/>
    <m/>
    <n v="1"/>
    <n v="0"/>
    <s v="No Recorded Promotions"/>
    <s v="1â€“3 years"/>
    <s v="Low"/>
    <n v="3.9"/>
    <s v="0.3333333333333333"/>
    <n v="0"/>
  </r>
  <r>
    <s v="EMP0099"/>
    <x v="3"/>
    <s v="Data Analyst"/>
    <n v="5"/>
    <s v="G3"/>
    <n v="29"/>
    <s v="Diploma"/>
    <s v="Coimbatore"/>
    <n v="3"/>
    <n v="9.9"/>
    <n v="10"/>
    <n v="0"/>
    <n v="12"/>
    <n v="0"/>
    <s v="Band C"/>
    <n v="56200"/>
    <n v="0"/>
    <n v="1.7"/>
    <n v="0.2"/>
    <n v="0"/>
    <n v="3.4"/>
    <n v="4.0999999999999996"/>
    <n v="2.9"/>
    <s v="Yes"/>
    <n v="0"/>
    <n v="0"/>
    <m/>
    <n v="0"/>
    <s v="Stayed"/>
    <m/>
    <n v="1"/>
    <n v="0"/>
    <s v="No Recorded Promotions"/>
    <s v="3â€“5 years"/>
    <s v="Low"/>
    <s v="3.466666666666667"/>
    <n v="0.25"/>
    <n v="0"/>
  </r>
  <r>
    <s v="EMP0100"/>
    <x v="2"/>
    <s v="Support Associate"/>
    <n v="14.7"/>
    <s v="G2"/>
    <n v="44"/>
    <s v="Diploma"/>
    <s v="Coimbatore"/>
    <n v="4"/>
    <n v="17"/>
    <n v="15"/>
    <n v="3"/>
    <n v="12"/>
    <n v="0"/>
    <s v="Band B"/>
    <n v="47500"/>
    <n v="1"/>
    <n v="3.1"/>
    <n v="0.4"/>
    <n v="0"/>
    <n v="3.9"/>
    <n v="4"/>
    <n v="3.3"/>
    <s v="Yes"/>
    <n v="0"/>
    <n v="2"/>
    <n v="7.2"/>
    <n v="0"/>
    <s v="Stayed"/>
    <m/>
    <n v="0"/>
    <n v="0"/>
    <s v="Promoted"/>
    <s v="5+ years"/>
    <s v="Moderate"/>
    <s v="3.733333333333333"/>
    <s v="0.3333333333333333"/>
    <n v="0"/>
  </r>
  <r>
    <s v="EMP0101"/>
    <x v="2"/>
    <s v="Support Team Lead"/>
    <n v="4.3"/>
    <s v="G2"/>
    <n v="36"/>
    <s v="Master"/>
    <s v="Chennai"/>
    <n v="4"/>
    <n v="12.4"/>
    <n v="10"/>
    <n v="3"/>
    <n v="12"/>
    <n v="0"/>
    <s v="Band B"/>
    <n v="44800"/>
    <n v="12.5"/>
    <n v="3.6"/>
    <n v="3.9"/>
    <n v="0"/>
    <n v="5"/>
    <n v="1.9"/>
    <n v="2.7"/>
    <s v="Yes"/>
    <n v="0"/>
    <n v="1"/>
    <n v="2.9"/>
    <n v="0"/>
    <s v="Stayed"/>
    <m/>
    <n v="0"/>
    <n v="0"/>
    <s v="Promoted"/>
    <s v="3â€“5 years"/>
    <s v="Moderate"/>
    <s v="3.2000000000000006"/>
    <s v="0.3333333333333333"/>
    <n v="0"/>
  </r>
  <r>
    <s v="EMP0102"/>
    <x v="0"/>
    <s v="Operations Manager"/>
    <n v="2.5"/>
    <s v="G1"/>
    <n v="29"/>
    <s v="Master"/>
    <s v="Coimbatore"/>
    <n v="5"/>
    <n v="19.399999999999999"/>
    <n v="6"/>
    <n v="1"/>
    <n v="12"/>
    <n v="0"/>
    <s v="Band A"/>
    <n v="32700"/>
    <n v="7.2"/>
    <n v="4.0999999999999996"/>
    <n v="0.8"/>
    <n v="0"/>
    <n v="3.7"/>
    <n v="2.2000000000000002"/>
    <n v="3.4"/>
    <s v="Yes"/>
    <n v="0"/>
    <n v="1"/>
    <n v="1.6"/>
    <n v="1"/>
    <s v="Stayed"/>
    <m/>
    <n v="0"/>
    <n v="0"/>
    <s v="Promoted"/>
    <s v="1â€“3 years"/>
    <s v="Moderate"/>
    <n v="3.1"/>
    <s v="0.4166666666666667"/>
    <n v="0"/>
  </r>
  <r>
    <s v="EMP0103"/>
    <x v="4"/>
    <s v="Sales Executive"/>
    <n v="0.3"/>
    <s v="G1"/>
    <n v="25"/>
    <s v="Master"/>
    <s v="Coimbatore"/>
    <n v="2"/>
    <n v="4.7"/>
    <n v="9"/>
    <n v="2"/>
    <n v="12"/>
    <n v="0"/>
    <s v="Band A"/>
    <n v="27500"/>
    <n v="8"/>
    <n v="1.6"/>
    <n v="2.2000000000000002"/>
    <n v="0"/>
    <n v="2.8"/>
    <n v="3"/>
    <n v="3.6"/>
    <s v="Yes"/>
    <n v="0"/>
    <n v="1"/>
    <n v="0"/>
    <n v="2"/>
    <s v="Stayed"/>
    <m/>
    <n v="0"/>
    <n v="0"/>
    <s v="Promoted"/>
    <s v="0â€“1 years"/>
    <s v="Low"/>
    <s v="3.1333333333333333"/>
    <s v="0.16666666666666666"/>
    <n v="0"/>
  </r>
  <r>
    <s v="EMP0104"/>
    <x v="2"/>
    <s v="Support Associate"/>
    <n v="11.7"/>
    <s v="G2"/>
    <n v="41"/>
    <s v="Bachelor"/>
    <s v="Chennai"/>
    <n v="4"/>
    <n v="24.6"/>
    <n v="16"/>
    <n v="3"/>
    <n v="12"/>
    <n v="0"/>
    <s v="Band B"/>
    <n v="37200"/>
    <n v="2.7"/>
    <n v="2.5"/>
    <n v="1.2"/>
    <n v="0"/>
    <n v="3.7"/>
    <n v="3.5"/>
    <n v="3.4"/>
    <s v="Yes"/>
    <n v="0"/>
    <n v="0"/>
    <m/>
    <n v="0"/>
    <s v="Stayed"/>
    <m/>
    <n v="1"/>
    <n v="0"/>
    <s v="No Recorded Promotions"/>
    <s v="5+ years"/>
    <s v="High"/>
    <s v="3.533333333333333"/>
    <s v="0.3333333333333333"/>
    <n v="0"/>
  </r>
  <r>
    <s v="EMP0105"/>
    <x v="0"/>
    <s v="Operations Manager"/>
    <n v="4.5"/>
    <s v="G4"/>
    <n v="34"/>
    <s v="Bachelor"/>
    <s v="Chennai"/>
    <n v="2"/>
    <n v="26.9"/>
    <n v="6"/>
    <n v="6"/>
    <n v="12"/>
    <n v="0"/>
    <s v="Band C"/>
    <n v="56500"/>
    <n v="8"/>
    <n v="4.2"/>
    <n v="0.3"/>
    <n v="0"/>
    <n v="5"/>
    <n v="4.4000000000000004"/>
    <n v="3.4"/>
    <s v="Yes"/>
    <n v="1"/>
    <n v="2"/>
    <n v="2"/>
    <n v="0"/>
    <s v="Stayed"/>
    <m/>
    <n v="0"/>
    <n v="0"/>
    <s v="Promoted"/>
    <s v="3â€“5 years"/>
    <s v="High"/>
    <s v="4.266666666666667"/>
    <s v="0.16666666666666666"/>
    <n v="0"/>
  </r>
  <r>
    <s v="EMP0106"/>
    <x v="0"/>
    <s v="Operations Associate"/>
    <n v="3.3"/>
    <s v="G2"/>
    <n v="28"/>
    <s v="Master"/>
    <s v="Bengaluru"/>
    <n v="6"/>
    <n v="1.1000000000000001"/>
    <n v="5"/>
    <n v="0"/>
    <n v="12"/>
    <n v="0"/>
    <s v="Band A"/>
    <n v="33400"/>
    <n v="6.5"/>
    <n v="4.5999999999999996"/>
    <n v="1.4"/>
    <n v="0"/>
    <n v="3.9"/>
    <n v="3.3"/>
    <n v="3"/>
    <s v="Yes"/>
    <n v="0"/>
    <n v="2"/>
    <m/>
    <n v="0"/>
    <s v="Stayed"/>
    <m/>
    <n v="1"/>
    <n v="0"/>
    <s v="Promoted"/>
    <s v="3â€“5 years"/>
    <s v="Low"/>
    <n v="3.4"/>
    <n v="0.5"/>
    <n v="0"/>
  </r>
  <r>
    <s v="EMP0107"/>
    <x v="1"/>
    <s v="HR Manager"/>
    <n v="0.3"/>
    <s v="G3"/>
    <n v="28"/>
    <s v="Bachelor"/>
    <s v="Bengaluru"/>
    <n v="4"/>
    <n v="2"/>
    <n v="5"/>
    <n v="0"/>
    <n v="12"/>
    <n v="0"/>
    <s v="Band B"/>
    <n v="48300"/>
    <n v="5.5"/>
    <n v="3.6"/>
    <n v="0.6"/>
    <n v="0"/>
    <n v="4.2"/>
    <n v="3.3"/>
    <n v="3.7"/>
    <s v="Yes"/>
    <n v="1"/>
    <n v="0"/>
    <m/>
    <n v="0"/>
    <s v="Stayed"/>
    <m/>
    <n v="1"/>
    <n v="0"/>
    <s v="No Recorded Promotions"/>
    <s v="0â€“1 years"/>
    <s v="Low"/>
    <s v="3.733333333333333"/>
    <s v="0.3333333333333333"/>
    <n v="0"/>
  </r>
  <r>
    <s v="EMP0108"/>
    <x v="4"/>
    <s v="Sales Executive"/>
    <n v="3.4"/>
    <s v="G3"/>
    <n v="34"/>
    <s v="Bachelor"/>
    <s v="Hyderabad"/>
    <n v="2"/>
    <n v="9.6999999999999993"/>
    <n v="11"/>
    <n v="0"/>
    <n v="12"/>
    <n v="0"/>
    <s v="Band C"/>
    <n v="62700"/>
    <n v="2.2000000000000002"/>
    <n v="4.2"/>
    <n v="0.7"/>
    <n v="0"/>
    <n v="1.9"/>
    <n v="2.6"/>
    <n v="3.3"/>
    <s v="Yes"/>
    <n v="0"/>
    <n v="1"/>
    <n v="0.2"/>
    <n v="0"/>
    <s v="Left"/>
    <d v="2024-07-21T00:00:00"/>
    <n v="0"/>
    <n v="0"/>
    <s v="Promoted"/>
    <s v="3â€“5 years"/>
    <s v="Low"/>
    <n v="2.6"/>
    <s v="0.16666666666666666"/>
    <n v="1"/>
  </r>
  <r>
    <s v="EMP0109"/>
    <x v="3"/>
    <s v="Senior Software Engineer"/>
    <n v="4.0999999999999996"/>
    <s v="G1"/>
    <n v="38"/>
    <s v="Master"/>
    <s v="Coimbatore"/>
    <n v="4"/>
    <n v="6.3"/>
    <n v="11"/>
    <n v="0"/>
    <n v="12"/>
    <n v="0"/>
    <s v="Band A"/>
    <n v="34100"/>
    <n v="4.5"/>
    <n v="3.6"/>
    <n v="1.2"/>
    <n v="0"/>
    <n v="3.6"/>
    <n v="2.7"/>
    <n v="2.5"/>
    <s v="Yes"/>
    <n v="0"/>
    <n v="1"/>
    <n v="3.5"/>
    <n v="0"/>
    <s v="Stayed"/>
    <m/>
    <n v="0"/>
    <n v="0"/>
    <s v="Promoted"/>
    <s v="3â€“5 years"/>
    <s v="Low"/>
    <s v="2.9333333333333336"/>
    <s v="0.3333333333333333"/>
    <n v="0"/>
  </r>
  <r>
    <s v="EMP0110"/>
    <x v="2"/>
    <s v="Support Associate"/>
    <n v="2.5"/>
    <s v="G1"/>
    <n v="31"/>
    <s v="Master"/>
    <s v="Hyderabad"/>
    <n v="1"/>
    <n v="7.1"/>
    <n v="5"/>
    <n v="3"/>
    <n v="12"/>
    <n v="0"/>
    <s v="Band A"/>
    <n v="31500"/>
    <n v="15.9"/>
    <n v="4.0999999999999996"/>
    <n v="0.1"/>
    <n v="0"/>
    <n v="3.1"/>
    <n v="2.9"/>
    <n v="1.9"/>
    <s v="Yes"/>
    <n v="0"/>
    <n v="1"/>
    <n v="1.5"/>
    <n v="0"/>
    <s v="Stayed"/>
    <m/>
    <n v="0"/>
    <n v="0"/>
    <s v="Promoted"/>
    <s v="1â€“3 years"/>
    <s v="Low"/>
    <s v="2.6333333333333333"/>
    <n v="8.3333333333333301E-2"/>
    <n v="0"/>
  </r>
  <r>
    <s v="EMP0111"/>
    <x v="1"/>
    <s v="HR Executive"/>
    <n v="1.1000000000000001"/>
    <s v="G2"/>
    <n v="27"/>
    <s v="Master"/>
    <s v="Hyderabad"/>
    <n v="1"/>
    <n v="12.3"/>
    <n v="10"/>
    <n v="1"/>
    <n v="12"/>
    <n v="0"/>
    <s v="Band B"/>
    <n v="43600"/>
    <n v="6.6"/>
    <n v="3.3"/>
    <n v="2.1"/>
    <n v="0"/>
    <n v="2.7"/>
    <n v="2.5"/>
    <n v="2.9"/>
    <s v="Yes"/>
    <n v="0"/>
    <n v="0"/>
    <m/>
    <n v="0"/>
    <s v="Stayed"/>
    <m/>
    <n v="1"/>
    <n v="0"/>
    <s v="No Recorded Promotions"/>
    <s v="1â€“3 years"/>
    <s v="Moderate"/>
    <s v="2.6999999999999997"/>
    <n v="8.3333333333333301E-2"/>
    <n v="0"/>
  </r>
  <r>
    <s v="EMP0112"/>
    <x v="3"/>
    <s v="QA Engineer"/>
    <n v="1.1000000000000001"/>
    <s v="G3"/>
    <n v="27"/>
    <s v="Bachelor"/>
    <s v="Chennai"/>
    <n v="1"/>
    <n v="20"/>
    <n v="7"/>
    <n v="1"/>
    <n v="12"/>
    <n v="0"/>
    <s v="Band B"/>
    <n v="47600"/>
    <n v="11.2"/>
    <n v="3.6"/>
    <n v="0.7"/>
    <n v="0"/>
    <n v="3.3"/>
    <n v="4.2"/>
    <n v="2.2999999999999998"/>
    <s v="Yes"/>
    <n v="0"/>
    <n v="0"/>
    <m/>
    <n v="0"/>
    <s v="Stayed"/>
    <m/>
    <n v="1"/>
    <n v="0"/>
    <s v="No Recorded Promotions"/>
    <s v="1â€“3 years"/>
    <s v="Moderate"/>
    <s v="3.266666666666667"/>
    <n v="8.3333333333333301E-2"/>
    <n v="0"/>
  </r>
  <r>
    <s v="EMP0113"/>
    <x v="4"/>
    <s v="Sales Manager"/>
    <n v="11.8"/>
    <s v="G2"/>
    <n v="40"/>
    <s v="Master"/>
    <s v="Remote"/>
    <n v="0"/>
    <n v="4.5"/>
    <n v="3"/>
    <n v="2"/>
    <n v="12"/>
    <n v="0"/>
    <s v="Band B"/>
    <n v="35700"/>
    <n v="7.2"/>
    <n v="2.1"/>
    <n v="2.4"/>
    <n v="0"/>
    <n v="3.4"/>
    <n v="1"/>
    <n v="2.7"/>
    <s v="Yes"/>
    <n v="0"/>
    <n v="0"/>
    <m/>
    <n v="0"/>
    <s v="Stayed"/>
    <m/>
    <n v="1"/>
    <n v="0"/>
    <s v="No Recorded Promotions"/>
    <s v="5+ years"/>
    <s v="Low"/>
    <s v="2.3666666666666667"/>
    <n v="0"/>
    <n v="0"/>
  </r>
  <r>
    <s v="EMP0114"/>
    <x v="5"/>
    <s v="Finance Manager"/>
    <n v="4"/>
    <s v="G3"/>
    <n v="30"/>
    <s v="Bachelor"/>
    <s v="Chennai"/>
    <n v="2"/>
    <n v="22.3"/>
    <n v="11"/>
    <n v="0"/>
    <n v="12"/>
    <n v="0"/>
    <s v="Band B"/>
    <n v="47100"/>
    <n v="6.8"/>
    <n v="3.8"/>
    <n v="2.2999999999999998"/>
    <n v="0"/>
    <n v="2.7"/>
    <n v="2.7"/>
    <n v="3.1"/>
    <s v="Yes"/>
    <n v="0"/>
    <n v="2"/>
    <n v="1.4"/>
    <n v="0"/>
    <s v="Stayed"/>
    <m/>
    <n v="0"/>
    <n v="0"/>
    <s v="Promoted"/>
    <s v="3â€“5 years"/>
    <s v="High"/>
    <s v="2.8333333333333335"/>
    <s v="0.16666666666666666"/>
    <n v="0"/>
  </r>
  <r>
    <s v="EMP0115"/>
    <x v="3"/>
    <s v="QA Engineer"/>
    <n v="2.5"/>
    <s v="G4"/>
    <n v="29"/>
    <s v="Bachelor"/>
    <s v="Bengaluru"/>
    <n v="2"/>
    <n v="5.4"/>
    <n v="11"/>
    <n v="3"/>
    <n v="12"/>
    <n v="0"/>
    <s v="Band C"/>
    <n v="53300"/>
    <n v="5.5"/>
    <n v="2.1"/>
    <n v="1"/>
    <n v="0"/>
    <n v="3.5"/>
    <n v="4.2"/>
    <n v="3.3"/>
    <s v="Yes"/>
    <n v="0"/>
    <n v="1"/>
    <n v="1.7"/>
    <n v="0"/>
    <s v="Stayed"/>
    <m/>
    <n v="0"/>
    <n v="0"/>
    <s v="Promoted"/>
    <s v="1â€“3 years"/>
    <s v="Low"/>
    <s v="3.6666666666666665"/>
    <s v="0.16666666666666666"/>
    <n v="0"/>
  </r>
  <r>
    <s v="EMP0116"/>
    <x v="2"/>
    <s v="Support Associate"/>
    <n v="3.8"/>
    <s v="G3"/>
    <n v="26"/>
    <s v="Master"/>
    <s v="Hyderabad"/>
    <n v="4"/>
    <n v="41.3"/>
    <n v="5"/>
    <n v="0"/>
    <n v="12"/>
    <n v="0"/>
    <s v="Band B"/>
    <n v="46300"/>
    <n v="13.4"/>
    <n v="3.8"/>
    <n v="1.4"/>
    <n v="0"/>
    <n v="3.1"/>
    <n v="2.9"/>
    <n v="2.9"/>
    <s v="Yes"/>
    <n v="0"/>
    <n v="0"/>
    <m/>
    <n v="0"/>
    <s v="Left"/>
    <d v="2026-08-22T00:00:00"/>
    <n v="1"/>
    <n v="0"/>
    <s v="No Recorded Promotions"/>
    <s v="3â€“5 years"/>
    <s v="High"/>
    <s v="2.966666666666667"/>
    <s v="0.3333333333333333"/>
    <n v="1"/>
  </r>
  <r>
    <s v="EMP0117"/>
    <x v="0"/>
    <s v="Operations Manager"/>
    <n v="3.6"/>
    <s v="G5"/>
    <n v="35"/>
    <s v="Bachelor"/>
    <s v="Chennai"/>
    <n v="1"/>
    <n v="24.7"/>
    <n v="8"/>
    <n v="2"/>
    <n v="12"/>
    <n v="0"/>
    <s v="Band D"/>
    <n v="91400"/>
    <n v="9.5"/>
    <n v="2.8"/>
    <n v="1.7"/>
    <n v="0"/>
    <n v="3.9"/>
    <n v="4.2"/>
    <n v="5"/>
    <s v="Yes"/>
    <n v="0"/>
    <n v="1"/>
    <n v="2.1"/>
    <n v="0"/>
    <s v="Stayed"/>
    <m/>
    <n v="0"/>
    <n v="0"/>
    <s v="Promoted"/>
    <s v="3â€“5 years"/>
    <s v="High"/>
    <s v="4.366666666666666"/>
    <n v="8.3333333333333301E-2"/>
    <n v="0"/>
  </r>
  <r>
    <s v="EMP0118"/>
    <x v="0"/>
    <s v="Team Lead"/>
    <n v="1"/>
    <s v="G3"/>
    <n v="22"/>
    <s v="Master"/>
    <s v="Bengaluru"/>
    <n v="0"/>
    <n v="5.9"/>
    <n v="7"/>
    <n v="4"/>
    <n v="12"/>
    <n v="0"/>
    <s v="Band C"/>
    <n v="53000"/>
    <n v="4.8"/>
    <n v="3.5"/>
    <n v="0.8"/>
    <n v="0"/>
    <n v="3.5"/>
    <n v="5"/>
    <n v="2.4"/>
    <s v="Yes"/>
    <n v="0"/>
    <n v="1"/>
    <n v="0.5"/>
    <n v="1"/>
    <s v="Stayed"/>
    <m/>
    <n v="0"/>
    <n v="0"/>
    <s v="Promoted"/>
    <s v="0â€“1 years"/>
    <s v="Low"/>
    <s v="3.6333333333333333"/>
    <n v="0"/>
    <n v="0"/>
  </r>
  <r>
    <s v="EMP0119"/>
    <x v="1"/>
    <s v="Recruiter"/>
    <n v="6.8"/>
    <s v="G4"/>
    <n v="31"/>
    <s v="Bachelor"/>
    <s v="Coimbatore"/>
    <n v="2"/>
    <n v="2.8"/>
    <n v="10"/>
    <n v="0"/>
    <n v="12"/>
    <n v="0"/>
    <s v="Band D"/>
    <n v="76300"/>
    <n v="6.4"/>
    <n v="2.2999999999999998"/>
    <n v="0.1"/>
    <n v="0"/>
    <n v="3.3"/>
    <n v="3.3"/>
    <n v="4.4000000000000004"/>
    <s v="No"/>
    <n v="1"/>
    <n v="0"/>
    <m/>
    <n v="1"/>
    <s v="Stayed"/>
    <m/>
    <n v="1"/>
    <n v="0"/>
    <s v="No Recorded Promotions"/>
    <s v="5+ years"/>
    <s v="Low"/>
    <s v="3.6666666666666665"/>
    <s v="0.16666666666666666"/>
    <n v="0"/>
  </r>
  <r>
    <s v="EMP0120"/>
    <x v="0"/>
    <s v="Operations Manager"/>
    <n v="3.2"/>
    <s v="G4"/>
    <n v="30"/>
    <s v="Master"/>
    <s v="Chennai"/>
    <n v="2"/>
    <n v="5.8"/>
    <n v="8"/>
    <n v="1"/>
    <n v="12"/>
    <n v="0"/>
    <s v="Band C"/>
    <n v="65400"/>
    <n v="12.3"/>
    <n v="2.7"/>
    <n v="1.4"/>
    <n v="0"/>
    <n v="4.2"/>
    <n v="4.3"/>
    <n v="3.3"/>
    <s v="Yes"/>
    <n v="0"/>
    <n v="2"/>
    <n v="2.9"/>
    <n v="0"/>
    <s v="Stayed"/>
    <m/>
    <n v="0"/>
    <n v="0"/>
    <s v="Promoted"/>
    <s v="3â€“5 years"/>
    <s v="Low"/>
    <s v="3.9333333333333336"/>
    <s v="0.16666666666666666"/>
    <n v="0"/>
  </r>
  <r>
    <s v="EMP0121"/>
    <x v="5"/>
    <s v="Finance Manager"/>
    <n v="4"/>
    <s v="G3"/>
    <n v="38"/>
    <s v="Master"/>
    <s v="Chennai"/>
    <n v="1"/>
    <n v="5.0999999999999996"/>
    <n v="9"/>
    <n v="5"/>
    <n v="12"/>
    <n v="0"/>
    <s v="Band C"/>
    <n v="57200"/>
    <n v="0"/>
    <n v="3.5"/>
    <n v="2.9"/>
    <n v="0"/>
    <n v="3.8"/>
    <n v="5"/>
    <n v="2.9"/>
    <s v="Yes"/>
    <n v="0"/>
    <n v="2"/>
    <n v="1.7"/>
    <n v="0"/>
    <s v="Stayed"/>
    <m/>
    <n v="0"/>
    <n v="0"/>
    <s v="Promoted"/>
    <s v="3â€“5 years"/>
    <s v="Low"/>
    <s v="3.9000000000000004"/>
    <n v="8.3333333333333301E-2"/>
    <n v="0"/>
  </r>
  <r>
    <s v="EMP0122"/>
    <x v="0"/>
    <s v="Operations Manager"/>
    <n v="9.4"/>
    <s v="G4"/>
    <n v="34"/>
    <s v="Master"/>
    <s v="Chennai"/>
    <n v="3"/>
    <n v="15.5"/>
    <n v="9"/>
    <n v="1"/>
    <n v="12"/>
    <n v="0"/>
    <s v="Band C"/>
    <n v="71500"/>
    <n v="9.1999999999999993"/>
    <n v="3.9"/>
    <n v="0.5"/>
    <n v="0"/>
    <n v="3.3"/>
    <n v="3.6"/>
    <n v="3.9"/>
    <s v="Yes"/>
    <n v="0"/>
    <n v="0"/>
    <m/>
    <n v="1"/>
    <s v="Stayed"/>
    <m/>
    <n v="1"/>
    <n v="0"/>
    <s v="No Recorded Promotions"/>
    <s v="5+ years"/>
    <s v="Moderate"/>
    <n v="3.6"/>
    <n v="0.25"/>
    <n v="0"/>
  </r>
  <r>
    <s v="EMP0123"/>
    <x v="3"/>
    <s v="QA Engineer"/>
    <n v="1.2"/>
    <s v="G5"/>
    <n v="25"/>
    <s v="Diploma"/>
    <s v="Chennai"/>
    <n v="2"/>
    <n v="1.2"/>
    <n v="6"/>
    <n v="2"/>
    <n v="12"/>
    <n v="0"/>
    <s v="Band D"/>
    <n v="95100"/>
    <n v="10.199999999999999"/>
    <n v="4.2"/>
    <n v="2.5"/>
    <n v="0"/>
    <n v="1.4"/>
    <n v="3.2"/>
    <n v="3"/>
    <s v="Yes"/>
    <n v="0"/>
    <n v="0"/>
    <m/>
    <n v="0"/>
    <s v="Stayed"/>
    <m/>
    <n v="1"/>
    <n v="0"/>
    <s v="No Recorded Promotions"/>
    <s v="1â€“3 years"/>
    <s v="Low"/>
    <s v="2.533333333333333"/>
    <s v="0.16666666666666666"/>
    <n v="0"/>
  </r>
  <r>
    <s v="EMP0124"/>
    <x v="4"/>
    <s v="Account Manager"/>
    <n v="2"/>
    <s v="G2"/>
    <n v="26"/>
    <s v="Bachelor"/>
    <s v="Bengaluru"/>
    <n v="4"/>
    <n v="2"/>
    <n v="16"/>
    <n v="1"/>
    <n v="12"/>
    <n v="0"/>
    <s v="Band A"/>
    <n v="32900"/>
    <n v="5"/>
    <n v="2.2000000000000002"/>
    <n v="0.3"/>
    <n v="0"/>
    <n v="3.8"/>
    <n v="4"/>
    <n v="2.8"/>
    <s v="Yes"/>
    <n v="0"/>
    <n v="1"/>
    <m/>
    <n v="0"/>
    <s v="Stayed"/>
    <m/>
    <n v="1"/>
    <n v="0"/>
    <s v="Promoted"/>
    <s v="1â€“3 years"/>
    <s v="Low"/>
    <s v="3.533333333333333"/>
    <s v="0.3333333333333333"/>
    <n v="0"/>
  </r>
  <r>
    <s v="EMP0125"/>
    <x v="3"/>
    <s v="QA Engineer"/>
    <n v="4.7"/>
    <s v="G3"/>
    <n v="37"/>
    <s v="Master"/>
    <s v="Coimbatore"/>
    <n v="3"/>
    <n v="15.2"/>
    <n v="12"/>
    <n v="1"/>
    <n v="12"/>
    <n v="0"/>
    <s v="Band C"/>
    <n v="61200"/>
    <n v="8.6"/>
    <n v="1.8"/>
    <n v="0.9"/>
    <n v="0"/>
    <n v="2.5"/>
    <n v="4.3"/>
    <n v="4.8"/>
    <s v="Yes"/>
    <n v="0"/>
    <n v="0"/>
    <m/>
    <n v="1"/>
    <s v="Stayed"/>
    <m/>
    <n v="1"/>
    <n v="0"/>
    <s v="No Recorded Promotions"/>
    <s v="3â€“5 years"/>
    <s v="Moderate"/>
    <s v="3.8666666666666667"/>
    <n v="0.25"/>
    <n v="0"/>
  </r>
  <r>
    <s v="EMP0126"/>
    <x v="1"/>
    <s v="HR Executive"/>
    <n v="6.7"/>
    <s v="G2"/>
    <n v="21"/>
    <s v="Doctorate"/>
    <s v="Coimbatore"/>
    <n v="5"/>
    <n v="4.9000000000000004"/>
    <n v="9"/>
    <n v="2"/>
    <n v="12"/>
    <n v="0"/>
    <s v="Band B"/>
    <n v="40800"/>
    <n v="10"/>
    <n v="2.2999999999999998"/>
    <n v="1.1000000000000001"/>
    <n v="0"/>
    <n v="3.2"/>
    <n v="3.2"/>
    <n v="1.6"/>
    <s v="Yes"/>
    <n v="0"/>
    <n v="0"/>
    <m/>
    <n v="0"/>
    <s v="Stayed"/>
    <m/>
    <n v="1"/>
    <n v="0"/>
    <s v="No Recorded Promotions"/>
    <s v="5+ years"/>
    <s v="Low"/>
    <s v="2.6666666666666665"/>
    <s v="0.4166666666666667"/>
    <n v="0"/>
  </r>
  <r>
    <s v="EMP0127"/>
    <x v="4"/>
    <s v="Sales Executive"/>
    <n v="2.2999999999999998"/>
    <s v="G4"/>
    <n v="24"/>
    <s v="Doctorate"/>
    <s v="Bengaluru"/>
    <n v="3"/>
    <n v="6.8"/>
    <n v="10"/>
    <n v="0"/>
    <n v="12"/>
    <n v="0"/>
    <s v="Band D"/>
    <n v="76000"/>
    <n v="3.1"/>
    <n v="2.2000000000000002"/>
    <n v="1.2"/>
    <n v="0"/>
    <n v="3.6"/>
    <n v="2.8"/>
    <n v="3.2"/>
    <s v="Yes"/>
    <n v="0"/>
    <n v="0"/>
    <m/>
    <n v="1"/>
    <s v="Stayed"/>
    <m/>
    <n v="1"/>
    <n v="0"/>
    <s v="No Recorded Promotions"/>
    <s v="1â€“3 years"/>
    <s v="Low"/>
    <s v="3.2000000000000006"/>
    <n v="0.25"/>
    <n v="0"/>
  </r>
  <r>
    <s v="EMP0128"/>
    <x v="3"/>
    <s v="QA Engineer"/>
    <n v="2.4"/>
    <s v="G2"/>
    <n v="39"/>
    <s v="Diploma"/>
    <s v="Chennai"/>
    <n v="2"/>
    <n v="17.899999999999999"/>
    <n v="12"/>
    <n v="2"/>
    <n v="12"/>
    <n v="0"/>
    <s v="Band A"/>
    <n v="32600"/>
    <n v="11.4"/>
    <n v="4.5999999999999996"/>
    <n v="0.5"/>
    <n v="0"/>
    <n v="4.5"/>
    <n v="4.7"/>
    <n v="3.6"/>
    <s v="Yes"/>
    <n v="0"/>
    <n v="0"/>
    <m/>
    <n v="1"/>
    <s v="Stayed"/>
    <m/>
    <n v="1"/>
    <n v="0"/>
    <s v="No Recorded Promotions"/>
    <s v="1â€“3 years"/>
    <s v="Moderate"/>
    <s v="4.266666666666667"/>
    <s v="0.16666666666666666"/>
    <n v="0"/>
  </r>
  <r>
    <s v="EMP0129"/>
    <x v="3"/>
    <s v="Software Engineer"/>
    <n v="5.7"/>
    <s v="G4"/>
    <n v="34"/>
    <s v="Bachelor"/>
    <s v="Chennai"/>
    <n v="4"/>
    <n v="20.6"/>
    <n v="8"/>
    <n v="1"/>
    <n v="12"/>
    <n v="0"/>
    <s v="Band D"/>
    <n v="75400"/>
    <n v="9.1999999999999993"/>
    <n v="4.4000000000000004"/>
    <n v="0.3"/>
    <n v="0"/>
    <n v="5"/>
    <n v="3"/>
    <n v="4.5"/>
    <s v="Yes"/>
    <n v="0"/>
    <n v="0"/>
    <m/>
    <n v="1"/>
    <s v="Stayed"/>
    <m/>
    <n v="1"/>
    <n v="0"/>
    <s v="No Recorded Promotions"/>
    <s v="5+ years"/>
    <s v="High"/>
    <s v="4.166666666666667"/>
    <s v="0.3333333333333333"/>
    <n v="0"/>
  </r>
  <r>
    <s v="EMP0130"/>
    <x v="5"/>
    <s v="Accountant"/>
    <n v="14"/>
    <s v="G4"/>
    <n v="36"/>
    <s v="Master"/>
    <s v="Hyderabad"/>
    <n v="0"/>
    <n v="23.9"/>
    <n v="10"/>
    <n v="2"/>
    <n v="12"/>
    <n v="0"/>
    <s v="Band D"/>
    <n v="88300"/>
    <n v="7.4"/>
    <n v="2.2999999999999998"/>
    <n v="1"/>
    <n v="0"/>
    <n v="2.5"/>
    <n v="4.3"/>
    <n v="3.1"/>
    <s v="Yes"/>
    <n v="0"/>
    <n v="3"/>
    <n v="7.4"/>
    <n v="0"/>
    <s v="Stayed"/>
    <m/>
    <n v="0"/>
    <n v="0"/>
    <s v="Promoted"/>
    <s v="5+ years"/>
    <s v="High"/>
    <s v="3.3000000000000003"/>
    <n v="0"/>
    <n v="0"/>
  </r>
  <r>
    <s v="EMP0131"/>
    <x v="3"/>
    <s v="QA Engineer"/>
    <n v="3.9"/>
    <s v="G5"/>
    <n v="30"/>
    <s v="Master"/>
    <s v="Remote"/>
    <n v="0"/>
    <n v="16.899999999999999"/>
    <n v="16"/>
    <n v="3"/>
    <n v="12"/>
    <n v="0"/>
    <s v="Band C"/>
    <n v="73700"/>
    <n v="8.4"/>
    <n v="4.7"/>
    <n v="1.9"/>
    <n v="0"/>
    <n v="2.1"/>
    <n v="3.4"/>
    <n v="5"/>
    <s v="Yes"/>
    <n v="0"/>
    <n v="0"/>
    <m/>
    <n v="0"/>
    <s v="Left"/>
    <d v="2026-06-14T00:00:00"/>
    <n v="1"/>
    <n v="0"/>
    <s v="No Recorded Promotions"/>
    <s v="3â€“5 years"/>
    <s v="Moderate"/>
    <n v="3.5"/>
    <n v="0"/>
    <n v="1"/>
  </r>
  <r>
    <s v="EMP0132"/>
    <x v="2"/>
    <s v="Support Team Lead"/>
    <n v="2"/>
    <s v="G2"/>
    <n v="28"/>
    <s v="Diploma"/>
    <s v="Coimbatore"/>
    <n v="2"/>
    <n v="8.5"/>
    <n v="6"/>
    <n v="2"/>
    <n v="12"/>
    <n v="0"/>
    <s v="Band B"/>
    <n v="43300"/>
    <n v="10.8"/>
    <n v="4.4000000000000004"/>
    <n v="0.5"/>
    <n v="0"/>
    <n v="3.3"/>
    <n v="4.8"/>
    <n v="4"/>
    <s v="Yes"/>
    <n v="1"/>
    <n v="2"/>
    <n v="1.4"/>
    <n v="0"/>
    <s v="Stayed"/>
    <m/>
    <n v="0"/>
    <n v="0"/>
    <s v="Promoted"/>
    <s v="1â€“3 years"/>
    <s v="Low"/>
    <s v="4.033333333333333"/>
    <s v="0.16666666666666666"/>
    <n v="0"/>
  </r>
  <r>
    <s v="EMP0133"/>
    <x v="5"/>
    <s v="Financial Analyst"/>
    <n v="1.5"/>
    <s v="G3"/>
    <n v="31"/>
    <s v="Bachelor"/>
    <s v="Chennai"/>
    <n v="3"/>
    <n v="7.9"/>
    <n v="11"/>
    <n v="0"/>
    <n v="12"/>
    <n v="0"/>
    <s v="Band B"/>
    <n v="44200"/>
    <n v="17.3"/>
    <n v="1.7"/>
    <n v="1"/>
    <n v="0"/>
    <n v="3.5"/>
    <n v="2.4"/>
    <n v="1.5"/>
    <s v="Yes"/>
    <n v="0"/>
    <n v="0"/>
    <m/>
    <n v="0"/>
    <s v="Stayed"/>
    <m/>
    <n v="1"/>
    <n v="0"/>
    <s v="No Recorded Promotions"/>
    <s v="1â€“3 years"/>
    <s v="Low"/>
    <s v="2.466666666666667"/>
    <n v="0.25"/>
    <n v="0"/>
  </r>
  <r>
    <s v="EMP0134"/>
    <x v="4"/>
    <s v="Account Manager"/>
    <n v="3.4"/>
    <s v="G3"/>
    <n v="37"/>
    <s v="Bachelor"/>
    <s v="Hyderabad"/>
    <n v="2"/>
    <n v="7.2"/>
    <n v="9"/>
    <n v="2"/>
    <n v="12"/>
    <n v="0"/>
    <s v="Band C"/>
    <n v="54400"/>
    <n v="10.4"/>
    <n v="2.2999999999999998"/>
    <n v="5.3"/>
    <n v="0"/>
    <n v="2.2000000000000002"/>
    <n v="2.4"/>
    <n v="2.2000000000000002"/>
    <s v="Yes"/>
    <n v="0"/>
    <n v="1"/>
    <n v="1.2"/>
    <n v="0"/>
    <s v="Stayed"/>
    <m/>
    <n v="0"/>
    <n v="0"/>
    <s v="Promoted"/>
    <s v="3â€“5 years"/>
    <s v="Low"/>
    <s v="2.2666666666666666"/>
    <s v="0.16666666666666666"/>
    <n v="0"/>
  </r>
  <r>
    <s v="EMP0135"/>
    <x v="5"/>
    <s v="Financial Analyst"/>
    <n v="6.5"/>
    <s v="G5"/>
    <n v="34"/>
    <s v="Bachelor"/>
    <s v="Hyderabad"/>
    <n v="3"/>
    <n v="3.2"/>
    <n v="11"/>
    <n v="2"/>
    <n v="12"/>
    <n v="0"/>
    <s v="Band E"/>
    <n v="123200"/>
    <n v="11.2"/>
    <n v="1.7"/>
    <n v="1.5"/>
    <n v="0"/>
    <n v="3.3"/>
    <n v="4"/>
    <n v="3.6"/>
    <s v="No"/>
    <n v="0"/>
    <n v="0"/>
    <m/>
    <n v="1"/>
    <s v="Stayed"/>
    <m/>
    <n v="1"/>
    <n v="0"/>
    <s v="No Recorded Promotions"/>
    <s v="5+ years"/>
    <s v="Low"/>
    <s v="3.6333333333333333"/>
    <n v="0.25"/>
    <n v="0"/>
  </r>
  <r>
    <s v="EMP0136"/>
    <x v="3"/>
    <s v="QA Engineer"/>
    <n v="17.899999999999999"/>
    <s v="G4"/>
    <n v="42"/>
    <s v="Bachelor"/>
    <s v="Coimbatore"/>
    <n v="6"/>
    <n v="4.3"/>
    <n v="9"/>
    <n v="1"/>
    <n v="12"/>
    <n v="0"/>
    <s v="Band D"/>
    <n v="96600"/>
    <n v="8.8000000000000007"/>
    <n v="3.1"/>
    <n v="1"/>
    <n v="0"/>
    <n v="3.3"/>
    <n v="2.2000000000000002"/>
    <n v="2.5"/>
    <s v="Yes"/>
    <n v="1"/>
    <n v="0"/>
    <m/>
    <n v="0"/>
    <s v="Stayed"/>
    <m/>
    <n v="1"/>
    <n v="0"/>
    <s v="No Recorded Promotions"/>
    <s v="5+ years"/>
    <s v="Low"/>
    <s v="2.6666666666666665"/>
    <n v="0.5"/>
    <n v="0"/>
  </r>
  <r>
    <s v="EMP0137"/>
    <x v="2"/>
    <s v="Support Specialist"/>
    <n v="2.9"/>
    <s v="G3"/>
    <n v="32"/>
    <s v="Diploma"/>
    <s v="Chennai"/>
    <n v="2"/>
    <n v="21.7"/>
    <n v="8"/>
    <n v="2"/>
    <n v="12"/>
    <n v="0"/>
    <s v="Band B"/>
    <n v="43300"/>
    <n v="15.6"/>
    <n v="3.2"/>
    <n v="1.1000000000000001"/>
    <n v="0"/>
    <n v="2.2000000000000002"/>
    <n v="3.3"/>
    <n v="3.8"/>
    <s v="Yes"/>
    <n v="0"/>
    <n v="0"/>
    <m/>
    <n v="1"/>
    <s v="Stayed"/>
    <m/>
    <n v="1"/>
    <n v="0"/>
    <s v="No Recorded Promotions"/>
    <s v="1â€“3 years"/>
    <s v="High"/>
    <n v="3.1"/>
    <s v="0.16666666666666666"/>
    <n v="0"/>
  </r>
  <r>
    <s v="EMP0138"/>
    <x v="1"/>
    <s v="HR Executive"/>
    <n v="3.9"/>
    <s v="G3"/>
    <n v="27"/>
    <s v="Diploma"/>
    <s v="Chennai"/>
    <n v="1"/>
    <n v="5.4"/>
    <n v="8"/>
    <n v="3"/>
    <n v="12"/>
    <n v="0"/>
    <s v="Band C"/>
    <n v="52300"/>
    <n v="2.1"/>
    <n v="3.2"/>
    <n v="4.5"/>
    <n v="0"/>
    <n v="2.4"/>
    <n v="4.5999999999999996"/>
    <n v="3"/>
    <s v="Yes"/>
    <n v="0"/>
    <n v="1"/>
    <n v="1.9"/>
    <n v="0"/>
    <s v="Stayed"/>
    <m/>
    <n v="0"/>
    <n v="0"/>
    <s v="Promoted"/>
    <s v="3â€“5 years"/>
    <s v="Low"/>
    <s v="3.3333333333333335"/>
    <n v="8.3333333333333301E-2"/>
    <n v="0"/>
  </r>
  <r>
    <s v="EMP0139"/>
    <x v="0"/>
    <s v="Team Lead"/>
    <n v="10.6"/>
    <s v="G1"/>
    <n v="32"/>
    <s v="Master"/>
    <s v="Bengaluru"/>
    <n v="1"/>
    <n v="3.2"/>
    <n v="9"/>
    <n v="0"/>
    <n v="12"/>
    <n v="0"/>
    <s v="Band B"/>
    <n v="36300"/>
    <n v="1.1000000000000001"/>
    <n v="1.4"/>
    <n v="2"/>
    <n v="0"/>
    <n v="3.3"/>
    <n v="1.6"/>
    <n v="2.4"/>
    <s v="Yes"/>
    <n v="1"/>
    <n v="0"/>
    <m/>
    <n v="1"/>
    <s v="Stayed"/>
    <m/>
    <n v="1"/>
    <n v="0"/>
    <s v="No Recorded Promotions"/>
    <s v="5+ years"/>
    <s v="Low"/>
    <s v="2.4333333333333336"/>
    <n v="8.3333333333333301E-2"/>
    <n v="0"/>
  </r>
  <r>
    <s v="EMP0140"/>
    <x v="3"/>
    <s v="Senior Software Engineer"/>
    <n v="4.5999999999999996"/>
    <s v="G5"/>
    <n v="24"/>
    <s v="Master"/>
    <s v="Remote"/>
    <n v="4"/>
    <n v="23"/>
    <n v="10"/>
    <n v="2"/>
    <n v="12"/>
    <n v="0"/>
    <s v="Band D"/>
    <n v="89000"/>
    <n v="8.6"/>
    <n v="1.9"/>
    <n v="0.6"/>
    <n v="0"/>
    <n v="3.1"/>
    <n v="3.3"/>
    <n v="2.6"/>
    <s v="Yes"/>
    <n v="1"/>
    <n v="2"/>
    <n v="0.1"/>
    <n v="0"/>
    <s v="Stayed"/>
    <m/>
    <n v="0"/>
    <n v="0"/>
    <s v="Promoted"/>
    <s v="3â€“5 years"/>
    <s v="High"/>
    <n v="3"/>
    <s v="0.3333333333333333"/>
    <n v="0"/>
  </r>
  <r>
    <s v="EMP0141"/>
    <x v="1"/>
    <s v="HR Manager"/>
    <n v="4.3"/>
    <s v="G2"/>
    <n v="24"/>
    <s v="Master"/>
    <s v="Bengaluru"/>
    <n v="1"/>
    <n v="11.8"/>
    <n v="8"/>
    <n v="5"/>
    <n v="12"/>
    <n v="0"/>
    <s v="Band B"/>
    <n v="37600"/>
    <n v="10.6"/>
    <n v="3.4"/>
    <n v="2.2000000000000002"/>
    <n v="0"/>
    <n v="3.9"/>
    <n v="4.3"/>
    <n v="4.0999999999999996"/>
    <s v="Yes"/>
    <n v="0"/>
    <n v="0"/>
    <m/>
    <n v="1"/>
    <s v="Stayed"/>
    <m/>
    <n v="1"/>
    <n v="0"/>
    <s v="No Recorded Promotions"/>
    <s v="3â€“5 years"/>
    <s v="Moderate"/>
    <n v="4.0999999999999996"/>
    <n v="8.3333333333333301E-2"/>
    <n v="0"/>
  </r>
  <r>
    <s v="EMP0142"/>
    <x v="1"/>
    <s v="HR Manager"/>
    <n v="9.3000000000000007"/>
    <s v="G3"/>
    <n v="32"/>
    <s v="Bachelor"/>
    <s v="Chennai"/>
    <n v="7"/>
    <n v="31"/>
    <n v="8"/>
    <n v="5"/>
    <n v="12"/>
    <n v="0"/>
    <s v="Band C"/>
    <n v="55000"/>
    <n v="0"/>
    <n v="3.8"/>
    <n v="0.4"/>
    <n v="0"/>
    <n v="3"/>
    <n v="3.2"/>
    <n v="1.8"/>
    <s v="Yes"/>
    <n v="0"/>
    <n v="0"/>
    <m/>
    <n v="2"/>
    <s v="Stayed"/>
    <m/>
    <n v="1"/>
    <n v="0"/>
    <s v="No Recorded Promotions"/>
    <s v="5+ years"/>
    <s v="High"/>
    <s v="2.6666666666666665"/>
    <s v="0.5833333333333334"/>
    <n v="0"/>
  </r>
  <r>
    <s v="EMP0143"/>
    <x v="2"/>
    <s v="Support Team Lead"/>
    <n v="4"/>
    <s v="G4"/>
    <n v="25"/>
    <s v="Bachelor"/>
    <s v="Bengaluru"/>
    <n v="1"/>
    <n v="28.8"/>
    <n v="6"/>
    <n v="1"/>
    <n v="12"/>
    <n v="0"/>
    <s v="Band D"/>
    <n v="77000"/>
    <n v="8"/>
    <n v="1.4"/>
    <n v="1.3"/>
    <n v="0"/>
    <n v="3.3"/>
    <n v="2.4"/>
    <n v="4.2"/>
    <s v="Yes"/>
    <n v="0"/>
    <n v="2"/>
    <n v="0.6"/>
    <n v="1"/>
    <s v="Stayed"/>
    <m/>
    <n v="0"/>
    <n v="0"/>
    <s v="Promoted"/>
    <s v="3â€“5 years"/>
    <s v="High"/>
    <s v="3.2999999999999994"/>
    <n v="8.3333333333333301E-2"/>
    <n v="0"/>
  </r>
  <r>
    <s v="EMP0144"/>
    <x v="5"/>
    <s v="Financial Analyst"/>
    <n v="1.6"/>
    <s v="G2"/>
    <n v="29"/>
    <s v="Bachelor"/>
    <s v="Hyderabad"/>
    <n v="3"/>
    <n v="3.5"/>
    <n v="10"/>
    <n v="0"/>
    <n v="12"/>
    <n v="0"/>
    <s v="Band A"/>
    <n v="31000"/>
    <n v="7.3"/>
    <n v="2"/>
    <n v="3.3"/>
    <n v="0"/>
    <n v="5"/>
    <n v="3"/>
    <n v="4.3"/>
    <s v="Yes"/>
    <n v="0"/>
    <n v="2"/>
    <n v="0.4"/>
    <n v="0"/>
    <s v="Stayed"/>
    <m/>
    <n v="0"/>
    <n v="0"/>
    <s v="Promoted"/>
    <s v="1â€“3 years"/>
    <s v="Low"/>
    <s v="4.1000000000000005"/>
    <n v="0.25"/>
    <n v="0"/>
  </r>
  <r>
    <s v="EMP0145"/>
    <x v="1"/>
    <s v="Recruiter"/>
    <n v="8.1"/>
    <s v="G1"/>
    <n v="29"/>
    <s v="Bachelor"/>
    <s v="Coimbatore"/>
    <n v="3"/>
    <n v="9.1999999999999993"/>
    <n v="7"/>
    <n v="1"/>
    <n v="12"/>
    <n v="0"/>
    <s v="Band A"/>
    <n v="32900"/>
    <n v="11"/>
    <n v="4.0999999999999996"/>
    <n v="1.3"/>
    <n v="0"/>
    <n v="2.4"/>
    <n v="2.4"/>
    <n v="3.1"/>
    <s v="Yes"/>
    <n v="0"/>
    <n v="0"/>
    <m/>
    <n v="0"/>
    <s v="Stayed"/>
    <m/>
    <n v="1"/>
    <n v="0"/>
    <s v="No Recorded Promotions"/>
    <s v="5+ years"/>
    <s v="Low"/>
    <s v="2.6333333333333333"/>
    <n v="0.25"/>
    <n v="0"/>
  </r>
  <r>
    <s v="EMP0146"/>
    <x v="4"/>
    <s v="Account Manager"/>
    <n v="0.9"/>
    <s v="G1"/>
    <n v="21"/>
    <s v="Bachelor"/>
    <s v="Hyderabad"/>
    <n v="2"/>
    <n v="4"/>
    <n v="10"/>
    <n v="1"/>
    <n v="12"/>
    <n v="0"/>
    <s v="Band A"/>
    <n v="25900"/>
    <n v="9.6999999999999993"/>
    <n v="2.1"/>
    <n v="0.3"/>
    <n v="0"/>
    <n v="2.7"/>
    <n v="3.3"/>
    <n v="2.2999999999999998"/>
    <s v="Yes"/>
    <n v="0"/>
    <n v="1"/>
    <n v="0.5"/>
    <n v="0"/>
    <s v="Stayed"/>
    <m/>
    <n v="0"/>
    <n v="0"/>
    <s v="Promoted"/>
    <s v="0â€“1 years"/>
    <s v="Low"/>
    <s v="2.766666666666667"/>
    <s v="0.16666666666666666"/>
    <n v="0"/>
  </r>
  <r>
    <s v="EMP0147"/>
    <x v="4"/>
    <s v="Sales Executive"/>
    <n v="7.3"/>
    <s v="G4"/>
    <n v="29"/>
    <s v="Master"/>
    <s v="Coimbatore"/>
    <n v="0"/>
    <n v="4"/>
    <n v="9"/>
    <n v="3"/>
    <n v="12"/>
    <n v="0"/>
    <s v="Band D"/>
    <n v="75500"/>
    <n v="0.8"/>
    <n v="3.2"/>
    <n v="1.2"/>
    <n v="0"/>
    <n v="3.3"/>
    <n v="3"/>
    <n v="3.8"/>
    <s v="Yes"/>
    <n v="1"/>
    <n v="0"/>
    <m/>
    <n v="0"/>
    <s v="Stayed"/>
    <m/>
    <n v="1"/>
    <n v="0"/>
    <s v="No Recorded Promotions"/>
    <s v="5+ years"/>
    <s v="Low"/>
    <s v="3.3666666666666667"/>
    <n v="0"/>
    <n v="0"/>
  </r>
  <r>
    <s v="EMP0148"/>
    <x v="5"/>
    <s v="Finance Manager"/>
    <n v="3.7"/>
    <s v="G2"/>
    <n v="28"/>
    <s v="Master"/>
    <s v="Chennai"/>
    <n v="2"/>
    <n v="7"/>
    <n v="9"/>
    <n v="2"/>
    <n v="12"/>
    <n v="0"/>
    <s v="Band B"/>
    <n v="37900"/>
    <n v="3.7"/>
    <n v="2"/>
    <n v="3.3"/>
    <n v="0"/>
    <n v="4.2"/>
    <n v="2.7"/>
    <n v="3"/>
    <s v="Yes"/>
    <n v="0"/>
    <n v="0"/>
    <m/>
    <n v="0"/>
    <s v="Stayed"/>
    <m/>
    <n v="1"/>
    <n v="0"/>
    <s v="No Recorded Promotions"/>
    <s v="3â€“5 years"/>
    <s v="Low"/>
    <s v="3.3000000000000003"/>
    <s v="0.16666666666666666"/>
    <n v="0"/>
  </r>
  <r>
    <s v="EMP0149"/>
    <x v="1"/>
    <s v="HR Manager"/>
    <n v="3"/>
    <s v="G1"/>
    <n v="27"/>
    <s v="Master"/>
    <s v="Bengaluru"/>
    <n v="1"/>
    <n v="15.8"/>
    <n v="11"/>
    <n v="3"/>
    <n v="12"/>
    <n v="0"/>
    <s v="Band A"/>
    <n v="30500"/>
    <n v="4.8"/>
    <n v="3.9"/>
    <n v="0.5"/>
    <n v="0"/>
    <n v="3.7"/>
    <n v="3.6"/>
    <n v="2.2000000000000002"/>
    <s v="Yes"/>
    <n v="0"/>
    <n v="0"/>
    <m/>
    <n v="0"/>
    <s v="Stayed"/>
    <m/>
    <n v="1"/>
    <n v="0"/>
    <s v="No Recorded Promotions"/>
    <s v="1â€“3 years"/>
    <s v="Moderate"/>
    <s v="3.1666666666666665"/>
    <n v="8.3333333333333301E-2"/>
    <n v="0"/>
  </r>
  <r>
    <s v="EMP0150"/>
    <x v="3"/>
    <s v="Data Analyst"/>
    <n v="2.9"/>
    <s v="G3"/>
    <n v="35"/>
    <s v="Bachelor"/>
    <s v="Coimbatore"/>
    <n v="1"/>
    <n v="15.9"/>
    <n v="10"/>
    <n v="4"/>
    <n v="12"/>
    <n v="0"/>
    <s v="Band C"/>
    <n v="52600"/>
    <n v="11"/>
    <n v="1.4"/>
    <n v="2.1"/>
    <n v="0"/>
    <n v="4.9000000000000004"/>
    <n v="4.5999999999999996"/>
    <n v="4.9000000000000004"/>
    <s v="Yes"/>
    <n v="0"/>
    <n v="0"/>
    <m/>
    <n v="0"/>
    <s v="Stayed"/>
    <m/>
    <n v="1"/>
    <n v="0"/>
    <s v="No Recorded Promotions"/>
    <s v="1â€“3 years"/>
    <s v="Moderate"/>
    <n v="4.8"/>
    <n v="8.3333333333333301E-2"/>
    <n v="0"/>
  </r>
  <r>
    <s v="EMP0151"/>
    <x v="2"/>
    <s v="Support Associate"/>
    <n v="3.3"/>
    <s v="G2"/>
    <n v="27"/>
    <s v="Bachelor"/>
    <s v="Remote"/>
    <n v="6"/>
    <n v="14.5"/>
    <n v="6"/>
    <n v="2"/>
    <n v="12"/>
    <n v="0"/>
    <s v="Band B"/>
    <n v="45400"/>
    <n v="9.5"/>
    <n v="2.9"/>
    <n v="3.4"/>
    <n v="0"/>
    <n v="3.6"/>
    <n v="3.5"/>
    <n v="2.7"/>
    <s v="Yes"/>
    <n v="0"/>
    <n v="0"/>
    <m/>
    <n v="0"/>
    <s v="Stayed"/>
    <m/>
    <n v="1"/>
    <n v="0"/>
    <s v="No Recorded Promotions"/>
    <s v="3â€“5 years"/>
    <s v="Moderate"/>
    <s v="3.266666666666667"/>
    <n v="0.5"/>
    <n v="0"/>
  </r>
  <r>
    <s v="EMP0152"/>
    <x v="2"/>
    <s v="Support Associate"/>
    <n v="2.6"/>
    <s v="G4"/>
    <n v="32"/>
    <s v="Bachelor"/>
    <s v="Coimbatore"/>
    <n v="6"/>
    <n v="8.5"/>
    <n v="6"/>
    <n v="1"/>
    <n v="12"/>
    <n v="0"/>
    <s v="Band D"/>
    <n v="79000"/>
    <n v="5.5"/>
    <n v="4"/>
    <n v="1.7"/>
    <n v="0"/>
    <n v="1.5"/>
    <n v="4.4000000000000004"/>
    <n v="2.2000000000000002"/>
    <s v="Yes"/>
    <n v="0"/>
    <n v="0"/>
    <m/>
    <n v="2"/>
    <s v="Stayed"/>
    <m/>
    <n v="1"/>
    <n v="0"/>
    <s v="No Recorded Promotions"/>
    <s v="1â€“3 years"/>
    <s v="Low"/>
    <s v="2.7000000000000006"/>
    <n v="0.5"/>
    <n v="0"/>
  </r>
  <r>
    <s v="EMP0153"/>
    <x v="3"/>
    <s v="Data Analyst"/>
    <n v="5.0999999999999996"/>
    <s v="G2"/>
    <n v="31"/>
    <s v="Diploma"/>
    <s v="Coimbatore"/>
    <n v="2"/>
    <n v="16.5"/>
    <n v="3"/>
    <n v="2"/>
    <n v="12"/>
    <n v="0"/>
    <s v="Band B"/>
    <n v="36000"/>
    <n v="8.6"/>
    <n v="3.7"/>
    <n v="1.3"/>
    <n v="0"/>
    <n v="3.3"/>
    <n v="4.5999999999999996"/>
    <n v="3.6"/>
    <s v="Yes"/>
    <n v="1"/>
    <n v="1"/>
    <n v="1.6"/>
    <n v="0"/>
    <s v="Stayed"/>
    <m/>
    <n v="0"/>
    <n v="0"/>
    <s v="Promoted"/>
    <s v="5+ years"/>
    <s v="Moderate"/>
    <s v="3.8333333333333335"/>
    <s v="0.16666666666666666"/>
    <n v="0"/>
  </r>
  <r>
    <s v="EMP0154"/>
    <x v="5"/>
    <s v="Financial Analyst"/>
    <n v="2.7"/>
    <s v="G1"/>
    <n v="29"/>
    <s v="Master"/>
    <s v="Coimbatore"/>
    <n v="3"/>
    <n v="3.2"/>
    <n v="11"/>
    <n v="4"/>
    <n v="12"/>
    <n v="0"/>
    <s v="Band A"/>
    <n v="32900"/>
    <n v="3.8"/>
    <n v="2.8"/>
    <n v="0.6"/>
    <n v="0"/>
    <n v="2.8"/>
    <n v="2.7"/>
    <n v="3.3"/>
    <s v="Yes"/>
    <n v="0"/>
    <n v="1"/>
    <n v="2.5"/>
    <n v="0"/>
    <s v="Stayed"/>
    <m/>
    <n v="0"/>
    <n v="0"/>
    <s v="Promoted"/>
    <s v="1â€“3 years"/>
    <s v="Low"/>
    <s v="2.9333333333333336"/>
    <n v="0.25"/>
    <n v="0"/>
  </r>
  <r>
    <s v="EMP0155"/>
    <x v="3"/>
    <s v="QA Engineer"/>
    <n v="3.7"/>
    <s v="G1"/>
    <n v="26"/>
    <s v="Bachelor"/>
    <s v="Coimbatore"/>
    <n v="4"/>
    <n v="11.9"/>
    <n v="9"/>
    <n v="1"/>
    <n v="12"/>
    <n v="0"/>
    <s v="Band A"/>
    <n v="29800"/>
    <n v="16.2"/>
    <n v="2.6"/>
    <n v="0.7"/>
    <n v="0"/>
    <n v="4.5"/>
    <n v="3.4"/>
    <n v="4.5999999999999996"/>
    <s v="Yes"/>
    <n v="0"/>
    <n v="0"/>
    <m/>
    <n v="0"/>
    <s v="Stayed"/>
    <m/>
    <n v="1"/>
    <n v="0"/>
    <s v="No Recorded Promotions"/>
    <s v="3â€“5 years"/>
    <s v="Moderate"/>
    <s v="4.166666666666667"/>
    <s v="0.3333333333333333"/>
    <n v="0"/>
  </r>
  <r>
    <s v="EMP0156"/>
    <x v="0"/>
    <s v="Team Lead"/>
    <n v="0.5"/>
    <s v="G2"/>
    <n v="26"/>
    <s v="Master"/>
    <s v="Chennai"/>
    <n v="2"/>
    <n v="10.199999999999999"/>
    <n v="6"/>
    <n v="1"/>
    <n v="12"/>
    <n v="0"/>
    <s v="Band B"/>
    <n v="38800"/>
    <n v="10.3"/>
    <n v="3"/>
    <n v="1"/>
    <n v="0"/>
    <n v="4.2"/>
    <n v="2.8"/>
    <n v="3.1"/>
    <s v="Yes"/>
    <n v="0"/>
    <n v="0"/>
    <m/>
    <n v="0"/>
    <s v="Stayed"/>
    <m/>
    <n v="1"/>
    <n v="0"/>
    <s v="No Recorded Promotions"/>
    <s v="0â€“1 years"/>
    <s v="Moderate"/>
    <s v="3.3666666666666667"/>
    <s v="0.16666666666666666"/>
    <n v="0"/>
  </r>
  <r>
    <s v="EMP0157"/>
    <x v="4"/>
    <s v="Account Manager"/>
    <n v="3.7"/>
    <s v="G2"/>
    <n v="27"/>
    <s v="Diploma"/>
    <s v="Bengaluru"/>
    <n v="0"/>
    <n v="8"/>
    <n v="10"/>
    <n v="5"/>
    <n v="12"/>
    <n v="0"/>
    <s v="Band B"/>
    <n v="42900"/>
    <n v="11.1"/>
    <n v="2"/>
    <n v="2.2000000000000002"/>
    <n v="0"/>
    <n v="1.9"/>
    <n v="1.9"/>
    <n v="3.1"/>
    <s v="Yes"/>
    <n v="0"/>
    <n v="1"/>
    <n v="0.2"/>
    <n v="1"/>
    <s v="Stayed"/>
    <m/>
    <n v="0"/>
    <n v="0"/>
    <s v="Promoted"/>
    <s v="3â€“5 years"/>
    <s v="Low"/>
    <s v="2.3000000000000003"/>
    <n v="0"/>
    <n v="0"/>
  </r>
  <r>
    <s v="EMP0158"/>
    <x v="0"/>
    <s v="Team Lead"/>
    <n v="2.6"/>
    <s v="G3"/>
    <n v="29"/>
    <s v="Doctorate"/>
    <s v="Coimbatore"/>
    <n v="5"/>
    <n v="12.3"/>
    <n v="9"/>
    <n v="0"/>
    <n v="12"/>
    <n v="0"/>
    <s v="Band B"/>
    <n v="45900"/>
    <n v="13.5"/>
    <n v="3.1"/>
    <n v="6.3"/>
    <n v="0"/>
    <n v="4.5"/>
    <n v="3.5"/>
    <n v="3.7"/>
    <s v="Yes"/>
    <n v="0"/>
    <n v="0"/>
    <m/>
    <n v="2"/>
    <s v="Stayed"/>
    <m/>
    <n v="1"/>
    <n v="0"/>
    <s v="No Recorded Promotions"/>
    <s v="1â€“3 years"/>
    <s v="Moderate"/>
    <n v="3.9"/>
    <s v="0.4166666666666667"/>
    <n v="0"/>
  </r>
  <r>
    <s v="EMP0159"/>
    <x v="0"/>
    <s v="Operations Manager"/>
    <n v="6.9"/>
    <s v="G2"/>
    <n v="32"/>
    <s v="Doctorate"/>
    <s v="Coimbatore"/>
    <n v="4"/>
    <n v="4.0999999999999996"/>
    <n v="7"/>
    <n v="2"/>
    <n v="12"/>
    <n v="0"/>
    <s v="Band A"/>
    <n v="34000"/>
    <n v="12.1"/>
    <n v="3.1"/>
    <n v="0.5"/>
    <n v="0"/>
    <n v="4.0999999999999996"/>
    <n v="2.2999999999999998"/>
    <n v="3.6"/>
    <s v="Yes"/>
    <n v="0"/>
    <n v="3"/>
    <n v="1.2"/>
    <n v="1"/>
    <s v="Stayed"/>
    <m/>
    <n v="0"/>
    <n v="0"/>
    <s v="Promoted"/>
    <s v="5+ years"/>
    <s v="Low"/>
    <s v="3.3333333333333335"/>
    <s v="0.3333333333333333"/>
    <n v="0"/>
  </r>
  <r>
    <s v="EMP0160"/>
    <x v="0"/>
    <s v="Team Lead"/>
    <n v="3.1"/>
    <s v="G2"/>
    <n v="25"/>
    <s v="Bachelor"/>
    <s v="Bengaluru"/>
    <n v="4"/>
    <n v="14.9"/>
    <n v="6"/>
    <n v="3"/>
    <n v="12"/>
    <n v="0"/>
    <s v="Band B"/>
    <n v="38700"/>
    <n v="8.1"/>
    <n v="2.8"/>
    <n v="1.9"/>
    <n v="0"/>
    <n v="3"/>
    <n v="3.6"/>
    <n v="3.6"/>
    <s v="Yes"/>
    <n v="0"/>
    <n v="0"/>
    <m/>
    <n v="1"/>
    <s v="Stayed"/>
    <m/>
    <n v="1"/>
    <n v="0"/>
    <s v="No Recorded Promotions"/>
    <s v="3â€“5 years"/>
    <s v="Moderate"/>
    <n v="3.4"/>
    <s v="0.3333333333333333"/>
    <n v="0"/>
  </r>
  <r>
    <s v="EMP0161"/>
    <x v="3"/>
    <s v="Data Analyst"/>
    <n v="6.3"/>
    <s v="G2"/>
    <n v="36"/>
    <s v="Master"/>
    <s v="Chennai"/>
    <n v="5"/>
    <n v="9.9"/>
    <n v="7"/>
    <n v="1"/>
    <n v="12"/>
    <n v="0"/>
    <s v="Band B"/>
    <n v="37500"/>
    <n v="7.3"/>
    <n v="4.0999999999999996"/>
    <n v="2.8"/>
    <n v="0"/>
    <n v="3.2"/>
    <n v="1.8"/>
    <n v="3.6"/>
    <s v="Yes"/>
    <n v="0"/>
    <n v="5"/>
    <n v="1.7"/>
    <n v="0"/>
    <s v="Stayed"/>
    <m/>
    <n v="0"/>
    <n v="0"/>
    <s v="Promoted"/>
    <s v="5+ years"/>
    <s v="Low"/>
    <s v="2.8666666666666667"/>
    <s v="0.4166666666666667"/>
    <n v="0"/>
  </r>
  <r>
    <s v="EMP0162"/>
    <x v="2"/>
    <s v="Support Associate"/>
    <n v="5.8"/>
    <s v="G2"/>
    <n v="34"/>
    <s v="Bachelor"/>
    <s v="Bengaluru"/>
    <n v="6"/>
    <n v="2.2000000000000002"/>
    <n v="10"/>
    <n v="1"/>
    <n v="12"/>
    <n v="0"/>
    <s v="Band C"/>
    <n v="50200"/>
    <n v="13.2"/>
    <n v="2.2000000000000002"/>
    <n v="1.2"/>
    <n v="0"/>
    <n v="4.5999999999999996"/>
    <n v="3.4"/>
    <n v="3.5"/>
    <s v="Yes"/>
    <n v="0"/>
    <n v="0"/>
    <m/>
    <n v="0"/>
    <s v="Stayed"/>
    <m/>
    <n v="1"/>
    <n v="0"/>
    <s v="No Recorded Promotions"/>
    <s v="5+ years"/>
    <s v="Low"/>
    <s v="3.8333333333333335"/>
    <n v="0.5"/>
    <n v="0"/>
  </r>
  <r>
    <s v="EMP0163"/>
    <x v="3"/>
    <s v="Senior Software Engineer"/>
    <n v="5.9"/>
    <s v="G5"/>
    <n v="30"/>
    <s v="Master"/>
    <s v="Coimbatore"/>
    <n v="2"/>
    <n v="9.8000000000000007"/>
    <n v="3"/>
    <n v="2"/>
    <n v="12"/>
    <n v="0"/>
    <s v="Band D"/>
    <n v="91300"/>
    <n v="8.1"/>
    <n v="1.7"/>
    <n v="1.2"/>
    <n v="0"/>
    <n v="1.5"/>
    <n v="1.8"/>
    <n v="3.1"/>
    <s v="Yes"/>
    <n v="0"/>
    <n v="1"/>
    <n v="0.3"/>
    <n v="0"/>
    <s v="Stayed"/>
    <m/>
    <n v="0"/>
    <n v="0"/>
    <s v="Promoted"/>
    <s v="5+ years"/>
    <s v="Low"/>
    <s v="2.1333333333333333"/>
    <s v="0.16666666666666666"/>
    <n v="0"/>
  </r>
  <r>
    <s v="EMP0164"/>
    <x v="3"/>
    <s v="Data Analyst"/>
    <n v="3.1"/>
    <s v="G1"/>
    <n v="30"/>
    <s v="Master"/>
    <s v="Coimbatore"/>
    <n v="6"/>
    <n v="6.3"/>
    <n v="13"/>
    <n v="2"/>
    <n v="12"/>
    <n v="0"/>
    <s v="Band A"/>
    <n v="28600"/>
    <n v="5"/>
    <n v="2.7"/>
    <n v="0.2"/>
    <n v="0"/>
    <n v="3.7"/>
    <n v="3.8"/>
    <n v="4.0999999999999996"/>
    <s v="No"/>
    <n v="0"/>
    <n v="1"/>
    <n v="1.7"/>
    <n v="2"/>
    <s v="Stayed"/>
    <m/>
    <n v="0"/>
    <n v="0"/>
    <s v="Promoted"/>
    <s v="3â€“5 years"/>
    <s v="Low"/>
    <s v="3.8666666666666667"/>
    <n v="0.5"/>
    <n v="0"/>
  </r>
  <r>
    <s v="EMP0165"/>
    <x v="5"/>
    <s v="Finance Manager"/>
    <n v="3.9"/>
    <s v="G5"/>
    <n v="30"/>
    <s v="Master"/>
    <s v="Bengaluru"/>
    <n v="4"/>
    <n v="22.1"/>
    <n v="9"/>
    <n v="2"/>
    <n v="12"/>
    <n v="0"/>
    <s v="Band D"/>
    <n v="100000"/>
    <n v="15.9"/>
    <n v="3.3"/>
    <n v="1.4"/>
    <n v="0"/>
    <n v="3.3"/>
    <n v="2.8"/>
    <n v="3.1"/>
    <s v="No"/>
    <n v="1"/>
    <n v="2"/>
    <m/>
    <n v="1"/>
    <s v="Stayed"/>
    <m/>
    <n v="1"/>
    <n v="0"/>
    <s v="Promoted"/>
    <s v="3â€“5 years"/>
    <s v="High"/>
    <s v="3.0666666666666664"/>
    <s v="0.3333333333333333"/>
    <n v="0"/>
  </r>
  <r>
    <s v="EMP0166"/>
    <x v="4"/>
    <s v="Sales Manager"/>
    <n v="5"/>
    <s v="G2"/>
    <n v="28"/>
    <s v="Master"/>
    <s v="Bengaluru"/>
    <n v="2"/>
    <n v="3.4"/>
    <n v="8"/>
    <n v="2"/>
    <n v="12"/>
    <n v="0"/>
    <s v="Band B"/>
    <n v="45600"/>
    <n v="4.3"/>
    <n v="3.1"/>
    <n v="1.1000000000000001"/>
    <n v="0"/>
    <n v="3.2"/>
    <n v="2.8"/>
    <n v="4"/>
    <s v="Yes"/>
    <n v="0"/>
    <n v="0"/>
    <m/>
    <n v="0"/>
    <s v="Stayed"/>
    <m/>
    <n v="1"/>
    <n v="0"/>
    <s v="No Recorded Promotions"/>
    <s v="3â€“5 years"/>
    <s v="Low"/>
    <s v="3.3333333333333335"/>
    <s v="0.16666666666666666"/>
    <n v="0"/>
  </r>
  <r>
    <s v="EMP0167"/>
    <x v="2"/>
    <s v="Support Associate"/>
    <n v="4"/>
    <s v="G1"/>
    <n v="30"/>
    <s v="Bachelor"/>
    <s v="Hyderabad"/>
    <n v="1"/>
    <n v="3.6"/>
    <n v="11"/>
    <n v="2"/>
    <n v="12"/>
    <n v="0"/>
    <s v="Band A"/>
    <n v="25400"/>
    <n v="1.1000000000000001"/>
    <n v="3.1"/>
    <n v="0.9"/>
    <n v="0"/>
    <n v="3.9"/>
    <n v="4.2"/>
    <n v="4.5"/>
    <s v="Yes"/>
    <n v="0"/>
    <n v="1"/>
    <n v="3.7"/>
    <n v="0"/>
    <s v="Stayed"/>
    <m/>
    <n v="0"/>
    <n v="0"/>
    <s v="Promoted"/>
    <s v="3â€“5 years"/>
    <s v="Low"/>
    <n v="4.2"/>
    <n v="8.3333333333333301E-2"/>
    <n v="0"/>
  </r>
  <r>
    <s v="EMP0168"/>
    <x v="0"/>
    <s v="Operations Manager"/>
    <n v="3.1"/>
    <s v="G2"/>
    <n v="27"/>
    <s v="Master"/>
    <s v="Coimbatore"/>
    <n v="5"/>
    <n v="13.5"/>
    <n v="11"/>
    <n v="3"/>
    <n v="12"/>
    <n v="0"/>
    <s v="Band A"/>
    <n v="31200"/>
    <n v="12"/>
    <n v="2.2000000000000002"/>
    <n v="1.6"/>
    <n v="0"/>
    <n v="3.4"/>
    <n v="2.9"/>
    <n v="2.9"/>
    <s v="Yes"/>
    <n v="0"/>
    <n v="0"/>
    <m/>
    <n v="1"/>
    <s v="Stayed"/>
    <m/>
    <n v="1"/>
    <n v="0"/>
    <s v="No Recorded Promotions"/>
    <s v="3â€“5 years"/>
    <s v="Moderate"/>
    <s v="3.0666666666666664"/>
    <s v="0.4166666666666667"/>
    <n v="0"/>
  </r>
  <r>
    <s v="EMP0169"/>
    <x v="4"/>
    <s v="Sales Manager"/>
    <n v="1.8"/>
    <s v="G1"/>
    <n v="24"/>
    <s v="Master"/>
    <s v="Chennai"/>
    <n v="4"/>
    <n v="8.6999999999999993"/>
    <n v="5"/>
    <n v="0"/>
    <n v="12"/>
    <n v="0"/>
    <s v="Band A"/>
    <n v="32700"/>
    <n v="5.0999999999999996"/>
    <n v="2.2999999999999998"/>
    <n v="0.4"/>
    <n v="0"/>
    <n v="2.6"/>
    <n v="3.3"/>
    <n v="5"/>
    <s v="Yes"/>
    <n v="0"/>
    <n v="2"/>
    <n v="1.1000000000000001"/>
    <n v="0"/>
    <s v="Left"/>
    <d v="2025-12-03T00:00:00"/>
    <n v="0"/>
    <n v="0"/>
    <s v="Promoted"/>
    <s v="1â€“3 years"/>
    <s v="Low"/>
    <s v="3.6333333333333333"/>
    <s v="0.3333333333333333"/>
    <n v="1"/>
  </r>
  <r>
    <s v="EMP0170"/>
    <x v="2"/>
    <s v="Support Team Lead"/>
    <n v="3.8"/>
    <s v="G4"/>
    <n v="23"/>
    <s v="Bachelor"/>
    <s v="Bengaluru"/>
    <n v="3"/>
    <n v="8.4"/>
    <n v="7"/>
    <n v="1"/>
    <n v="12"/>
    <n v="0"/>
    <s v="Band C"/>
    <n v="72600"/>
    <n v="9.6999999999999993"/>
    <n v="2.8"/>
    <n v="0.5"/>
    <n v="0"/>
    <n v="2.6"/>
    <n v="3"/>
    <n v="2.8"/>
    <s v="Yes"/>
    <n v="0"/>
    <n v="0"/>
    <m/>
    <n v="0"/>
    <s v="Stayed"/>
    <m/>
    <n v="1"/>
    <n v="0"/>
    <s v="No Recorded Promotions"/>
    <s v="3â€“5 years"/>
    <s v="Low"/>
    <s v="2.7999999999999994"/>
    <n v="0.25"/>
    <n v="0"/>
  </r>
  <r>
    <s v="EMP0171"/>
    <x v="4"/>
    <s v="Sales Executive"/>
    <n v="1"/>
    <s v="G2"/>
    <n v="26"/>
    <s v="Diploma"/>
    <s v="Bengaluru"/>
    <n v="5"/>
    <n v="41.4"/>
    <n v="16"/>
    <n v="4"/>
    <n v="12"/>
    <n v="0"/>
    <s v="Band B"/>
    <n v="41700"/>
    <n v="15.3"/>
    <n v="2.7"/>
    <n v="1.5"/>
    <n v="0"/>
    <n v="3.9"/>
    <n v="3.7"/>
    <n v="2.8"/>
    <s v="Yes"/>
    <n v="0"/>
    <n v="0"/>
    <m/>
    <n v="1"/>
    <s v="Stayed"/>
    <m/>
    <n v="1"/>
    <n v="0"/>
    <s v="No Recorded Promotions"/>
    <s v="0â€“1 years"/>
    <s v="High"/>
    <s v="3.4666666666666663"/>
    <s v="0.4166666666666667"/>
    <n v="0"/>
  </r>
  <r>
    <s v="EMP0172"/>
    <x v="5"/>
    <s v="Finance Manager"/>
    <n v="0.5"/>
    <s v="G2"/>
    <n v="29"/>
    <s v="Master"/>
    <s v="Bengaluru"/>
    <n v="4"/>
    <n v="16.2"/>
    <n v="11"/>
    <n v="1"/>
    <n v="12"/>
    <n v="0"/>
    <s v="Band B"/>
    <n v="41900"/>
    <n v="2.5"/>
    <n v="4.2"/>
    <n v="3.9"/>
    <n v="0"/>
    <n v="3.3"/>
    <n v="4.0999999999999996"/>
    <n v="3.8"/>
    <s v="No"/>
    <n v="1"/>
    <n v="1"/>
    <n v="0.1"/>
    <n v="0"/>
    <s v="Stayed"/>
    <m/>
    <n v="0"/>
    <n v="0"/>
    <s v="Promoted"/>
    <s v="0â€“1 years"/>
    <s v="Moderate"/>
    <s v="3.733333333333333"/>
    <s v="0.3333333333333333"/>
    <n v="0"/>
  </r>
  <r>
    <s v="EMP0173"/>
    <x v="4"/>
    <s v="Sales Manager"/>
    <n v="1.4"/>
    <s v="G3"/>
    <n v="25"/>
    <s v="Bachelor"/>
    <s v="Coimbatore"/>
    <n v="5"/>
    <n v="7.5"/>
    <n v="8"/>
    <n v="1"/>
    <n v="12"/>
    <n v="0"/>
    <s v="Band C"/>
    <n v="58400"/>
    <n v="7.8"/>
    <n v="3.4"/>
    <n v="1"/>
    <n v="0"/>
    <n v="1.9"/>
    <n v="4"/>
    <n v="3.8"/>
    <s v="Yes"/>
    <n v="0"/>
    <n v="0"/>
    <m/>
    <n v="0"/>
    <s v="Stayed"/>
    <m/>
    <n v="1"/>
    <n v="0"/>
    <s v="No Recorded Promotions"/>
    <s v="1â€“3 years"/>
    <s v="Low"/>
    <s v="3.233333333333333"/>
    <s v="0.4166666666666667"/>
    <n v="0"/>
  </r>
  <r>
    <s v="EMP0174"/>
    <x v="2"/>
    <s v="Support Team Lead"/>
    <n v="5.8"/>
    <s v="G3"/>
    <n v="42"/>
    <s v="Bachelor"/>
    <s v="Hyderabad"/>
    <n v="4"/>
    <n v="1.9"/>
    <n v="4"/>
    <n v="0"/>
    <n v="12"/>
    <n v="0"/>
    <s v="Band C"/>
    <n v="52500"/>
    <n v="13.9"/>
    <n v="2.7"/>
    <n v="1.2"/>
    <n v="0"/>
    <n v="3.4"/>
    <n v="2.8"/>
    <n v="3.5"/>
    <s v="Yes"/>
    <n v="0"/>
    <n v="2"/>
    <n v="4.5"/>
    <n v="0"/>
    <s v="Stayed"/>
    <m/>
    <n v="0"/>
    <n v="0"/>
    <s v="Promoted"/>
    <s v="5+ years"/>
    <s v="Low"/>
    <s v="3.233333333333333"/>
    <s v="0.3333333333333333"/>
    <n v="0"/>
  </r>
  <r>
    <s v="EMP0175"/>
    <x v="3"/>
    <s v="Software Engineer"/>
    <n v="4.4000000000000004"/>
    <s v="G5"/>
    <n v="34"/>
    <s v="Master"/>
    <s v="Chennai"/>
    <n v="3"/>
    <n v="7.2"/>
    <n v="9"/>
    <n v="5"/>
    <n v="12"/>
    <n v="0"/>
    <s v="Band D"/>
    <n v="90800"/>
    <n v="10.7"/>
    <n v="4.2"/>
    <n v="1.2"/>
    <n v="0"/>
    <n v="2.8"/>
    <n v="4.3"/>
    <n v="4.0999999999999996"/>
    <s v="Yes"/>
    <n v="0"/>
    <n v="1"/>
    <n v="3.9"/>
    <n v="0"/>
    <s v="Stayed"/>
    <m/>
    <n v="0"/>
    <n v="0"/>
    <s v="Promoted"/>
    <s v="3â€“5 years"/>
    <s v="Low"/>
    <s v="3.733333333333333"/>
    <n v="0.25"/>
    <n v="0"/>
  </r>
  <r>
    <s v="EMP0176"/>
    <x v="3"/>
    <s v="Data Analyst"/>
    <n v="5.9"/>
    <s v="G5"/>
    <n v="37"/>
    <s v="Bachelor"/>
    <s v="Coimbatore"/>
    <n v="2"/>
    <n v="3.1"/>
    <n v="8"/>
    <n v="0"/>
    <n v="12"/>
    <n v="0"/>
    <s v="Band D"/>
    <n v="76500"/>
    <n v="7.3"/>
    <n v="3.6"/>
    <n v="0.4"/>
    <n v="0"/>
    <n v="2.2000000000000002"/>
    <n v="2.4"/>
    <n v="3.6"/>
    <s v="Yes"/>
    <n v="0"/>
    <n v="0"/>
    <m/>
    <n v="1"/>
    <s v="Stayed"/>
    <m/>
    <n v="1"/>
    <n v="0"/>
    <s v="No Recorded Promotions"/>
    <s v="5+ years"/>
    <s v="Low"/>
    <s v="2.733333333333333"/>
    <s v="0.16666666666666666"/>
    <n v="0"/>
  </r>
  <r>
    <s v="EMP0177"/>
    <x v="1"/>
    <s v="HR Executive"/>
    <n v="2.1"/>
    <s v="G3"/>
    <n v="31"/>
    <s v="Bachelor"/>
    <s v="Chennai"/>
    <n v="1"/>
    <n v="4.4000000000000004"/>
    <n v="8"/>
    <n v="2"/>
    <n v="12"/>
    <n v="0"/>
    <s v="Band B"/>
    <n v="45900"/>
    <n v="17.600000000000001"/>
    <n v="2"/>
    <n v="0.9"/>
    <n v="0"/>
    <n v="3.4"/>
    <n v="2.5"/>
    <n v="5"/>
    <s v="Yes"/>
    <n v="0"/>
    <n v="1"/>
    <m/>
    <n v="2"/>
    <s v="Stayed"/>
    <m/>
    <n v="1"/>
    <n v="0"/>
    <s v="Promoted"/>
    <s v="1â€“3 years"/>
    <s v="Low"/>
    <s v="3.6333333333333333"/>
    <n v="8.3333333333333301E-2"/>
    <n v="0"/>
  </r>
  <r>
    <s v="EMP0178"/>
    <x v="2"/>
    <s v="Support Specialist"/>
    <n v="7.4"/>
    <s v="G4"/>
    <n v="41"/>
    <s v="Bachelor"/>
    <s v="Coimbatore"/>
    <n v="4"/>
    <n v="4.5"/>
    <n v="10"/>
    <n v="3"/>
    <n v="12"/>
    <n v="0"/>
    <s v="Band D"/>
    <n v="76200"/>
    <n v="7.6"/>
    <n v="1"/>
    <n v="1.4"/>
    <n v="0"/>
    <n v="4"/>
    <n v="3.1"/>
    <n v="3.4"/>
    <s v="Yes"/>
    <n v="0"/>
    <n v="0"/>
    <m/>
    <n v="0"/>
    <s v="Stayed"/>
    <m/>
    <n v="1"/>
    <n v="0"/>
    <s v="No Recorded Promotions"/>
    <s v="5+ years"/>
    <s v="Low"/>
    <n v="3.5"/>
    <s v="0.3333333333333333"/>
    <n v="0"/>
  </r>
  <r>
    <s v="EMP0179"/>
    <x v="2"/>
    <s v="Support Specialist"/>
    <n v="1.1000000000000001"/>
    <s v="G4"/>
    <n v="24"/>
    <s v="Bachelor"/>
    <s v="Bengaluru"/>
    <n v="0"/>
    <n v="20.9"/>
    <n v="9"/>
    <n v="5"/>
    <n v="12"/>
    <n v="0"/>
    <s v="Band C"/>
    <n v="64100"/>
    <n v="9.6"/>
    <n v="2"/>
    <n v="1.4"/>
    <n v="0"/>
    <n v="3.3"/>
    <n v="4.0999999999999996"/>
    <n v="2.7"/>
    <s v="Yes"/>
    <n v="0"/>
    <n v="0"/>
    <m/>
    <n v="0"/>
    <s v="Stayed"/>
    <m/>
    <n v="1"/>
    <n v="0"/>
    <s v="No Recorded Promotions"/>
    <s v="1â€“3 years"/>
    <s v="High"/>
    <s v="3.3666666666666667"/>
    <n v="0"/>
    <n v="0"/>
  </r>
  <r>
    <s v="EMP0180"/>
    <x v="0"/>
    <s v="Team Lead"/>
    <n v="1.5"/>
    <s v="G2"/>
    <n v="21"/>
    <s v="Master"/>
    <s v="Coimbatore"/>
    <n v="2"/>
    <n v="2.5"/>
    <n v="11"/>
    <n v="2"/>
    <n v="12"/>
    <n v="0"/>
    <s v="Band A"/>
    <n v="32800"/>
    <n v="14.6"/>
    <n v="3.7"/>
    <n v="1.8"/>
    <n v="0"/>
    <n v="2.2999999999999998"/>
    <n v="2.1"/>
    <n v="3"/>
    <s v="Yes"/>
    <n v="0"/>
    <n v="0"/>
    <m/>
    <n v="0"/>
    <s v="Stayed"/>
    <m/>
    <n v="1"/>
    <n v="0"/>
    <s v="No Recorded Promotions"/>
    <s v="1â€“3 years"/>
    <s v="Low"/>
    <s v="2.466666666666667"/>
    <s v="0.16666666666666666"/>
    <n v="0"/>
  </r>
  <r>
    <s v="EMP0181"/>
    <x v="2"/>
    <s v="Support Team Lead"/>
    <n v="7.3"/>
    <s v="G3"/>
    <n v="32"/>
    <s v="Bachelor"/>
    <s v="Coimbatore"/>
    <n v="5"/>
    <n v="19.399999999999999"/>
    <n v="9"/>
    <n v="1"/>
    <n v="12"/>
    <n v="0"/>
    <s v="Band C"/>
    <n v="56500"/>
    <n v="11.9"/>
    <n v="4"/>
    <n v="0.4"/>
    <n v="0"/>
    <n v="3.7"/>
    <n v="4"/>
    <n v="3.4"/>
    <s v="Yes"/>
    <n v="1"/>
    <n v="2"/>
    <n v="1.4"/>
    <n v="0"/>
    <s v="Stayed"/>
    <m/>
    <n v="0"/>
    <n v="0"/>
    <s v="Promoted"/>
    <s v="5+ years"/>
    <s v="Moderate"/>
    <s v="3.6999999999999997"/>
    <s v="0.4166666666666667"/>
    <n v="0"/>
  </r>
  <r>
    <s v="EMP0182"/>
    <x v="2"/>
    <s v="Support Associate"/>
    <n v="4.2"/>
    <s v="G1"/>
    <n v="32"/>
    <s v="Bachelor"/>
    <s v="Hyderabad"/>
    <n v="4"/>
    <n v="14"/>
    <n v="14"/>
    <n v="4"/>
    <n v="12"/>
    <n v="0"/>
    <s v="Band A"/>
    <n v="33600"/>
    <n v="13.3"/>
    <n v="1.7"/>
    <n v="0.6"/>
    <n v="0"/>
    <n v="4.2"/>
    <n v="3.2"/>
    <n v="3.8"/>
    <s v="Yes"/>
    <n v="0"/>
    <n v="1"/>
    <n v="3.4"/>
    <n v="0"/>
    <s v="Stayed"/>
    <m/>
    <n v="0"/>
    <n v="0"/>
    <s v="Promoted"/>
    <s v="3â€“5 years"/>
    <s v="Moderate"/>
    <s v="3.733333333333333"/>
    <s v="0.3333333333333333"/>
    <n v="0"/>
  </r>
  <r>
    <s v="EMP0183"/>
    <x v="5"/>
    <s v="Financial Analyst"/>
    <n v="5.9"/>
    <s v="G3"/>
    <n v="33"/>
    <s v="Master"/>
    <s v="Hyderabad"/>
    <n v="2"/>
    <n v="13.8"/>
    <n v="10"/>
    <n v="1"/>
    <n v="12"/>
    <n v="0"/>
    <s v="Band C"/>
    <n v="54700"/>
    <n v="4.4000000000000004"/>
    <n v="3.8"/>
    <n v="0.1"/>
    <n v="0"/>
    <n v="5"/>
    <n v="2.8"/>
    <n v="3.6"/>
    <s v="Yes"/>
    <n v="0"/>
    <n v="2"/>
    <n v="5.7"/>
    <n v="1"/>
    <s v="Stayed"/>
    <m/>
    <n v="0"/>
    <n v="0"/>
    <s v="Promoted"/>
    <s v="5+ years"/>
    <s v="Moderate"/>
    <s v="3.8000000000000003"/>
    <s v="0.16666666666666666"/>
    <n v="0"/>
  </r>
  <r>
    <s v="EMP0184"/>
    <x v="4"/>
    <s v="Account Manager"/>
    <n v="4.4000000000000004"/>
    <s v="G5"/>
    <n v="32"/>
    <s v="Master"/>
    <s v="Coimbatore"/>
    <n v="4"/>
    <n v="4.2"/>
    <n v="5"/>
    <n v="3"/>
    <n v="12"/>
    <n v="0"/>
    <s v="Band D"/>
    <n v="85000"/>
    <n v="12.9"/>
    <n v="3.8"/>
    <n v="3.5"/>
    <n v="0"/>
    <n v="3.3"/>
    <n v="4.2"/>
    <n v="2.7"/>
    <s v="Yes"/>
    <n v="1"/>
    <n v="2"/>
    <n v="0.7"/>
    <n v="0"/>
    <s v="Stayed"/>
    <m/>
    <n v="0"/>
    <n v="0"/>
    <s v="Promoted"/>
    <s v="3â€“5 years"/>
    <s v="Low"/>
    <n v="3.4"/>
    <s v="0.3333333333333333"/>
    <n v="0"/>
  </r>
  <r>
    <s v="EMP0185"/>
    <x v="0"/>
    <s v="Team Lead"/>
    <n v="2.4"/>
    <s v="G1"/>
    <n v="34"/>
    <s v="Master"/>
    <s v="Remote"/>
    <n v="3"/>
    <n v="17.600000000000001"/>
    <n v="6"/>
    <n v="0"/>
    <n v="12"/>
    <n v="0"/>
    <s v="Band A"/>
    <n v="32500"/>
    <n v="8.6999999999999993"/>
    <n v="4.5"/>
    <n v="0.8"/>
    <n v="0"/>
    <n v="2.4"/>
    <n v="2.5"/>
    <n v="4.3"/>
    <s v="Yes"/>
    <n v="0"/>
    <n v="0"/>
    <m/>
    <n v="2"/>
    <s v="Stayed"/>
    <m/>
    <n v="1"/>
    <n v="0"/>
    <s v="No Recorded Promotions"/>
    <s v="1â€“3 years"/>
    <s v="Moderate"/>
    <s v="3.0666666666666664"/>
    <n v="0.25"/>
    <n v="0"/>
  </r>
  <r>
    <s v="EMP0186"/>
    <x v="0"/>
    <s v="Operations Associate"/>
    <n v="1.3"/>
    <s v="G4"/>
    <n v="29"/>
    <s v="Diploma"/>
    <s v="Coimbatore"/>
    <n v="4"/>
    <n v="3.7"/>
    <n v="7"/>
    <n v="2"/>
    <n v="12"/>
    <n v="0"/>
    <s v="Band C"/>
    <n v="63500"/>
    <n v="5"/>
    <n v="4.0999999999999996"/>
    <n v="1.5"/>
    <n v="0"/>
    <n v="4.0999999999999996"/>
    <n v="5"/>
    <n v="4.9000000000000004"/>
    <s v="No"/>
    <n v="0"/>
    <n v="0"/>
    <m/>
    <n v="0"/>
    <s v="Stayed"/>
    <m/>
    <n v="1"/>
    <n v="0"/>
    <s v="No Recorded Promotions"/>
    <s v="1â€“3 years"/>
    <s v="Low"/>
    <s v="4.666666666666667"/>
    <s v="0.3333333333333333"/>
    <n v="0"/>
  </r>
  <r>
    <s v="EMP0187"/>
    <x v="4"/>
    <s v="Sales Executive"/>
    <n v="0.6"/>
    <s v="G5"/>
    <n v="30"/>
    <s v="Master"/>
    <s v="Hyderabad"/>
    <n v="0"/>
    <n v="27.2"/>
    <n v="5"/>
    <n v="1"/>
    <n v="12"/>
    <n v="0"/>
    <s v="Band E"/>
    <n v="111900"/>
    <n v="8.9"/>
    <n v="4.4000000000000004"/>
    <n v="1.2"/>
    <n v="0"/>
    <n v="3.5"/>
    <n v="3"/>
    <n v="3.4"/>
    <s v="Yes"/>
    <n v="0"/>
    <n v="4"/>
    <n v="0.3"/>
    <n v="1"/>
    <s v="Stayed"/>
    <m/>
    <n v="0"/>
    <n v="0"/>
    <s v="Promoted"/>
    <s v="0â€“1 years"/>
    <s v="High"/>
    <s v="3.3000000000000003"/>
    <n v="0"/>
    <n v="0"/>
  </r>
  <r>
    <s v="EMP0188"/>
    <x v="3"/>
    <s v="Senior Software Engineer"/>
    <n v="11.2"/>
    <s v="G2"/>
    <n v="33"/>
    <s v="Bachelor"/>
    <s v="Chennai"/>
    <n v="2"/>
    <n v="21.2"/>
    <n v="7"/>
    <n v="3"/>
    <n v="12"/>
    <n v="0"/>
    <s v="Band B"/>
    <n v="41900"/>
    <n v="8.8000000000000007"/>
    <n v="3.6"/>
    <n v="0"/>
    <n v="0"/>
    <n v="2.2999999999999998"/>
    <n v="3.3"/>
    <n v="4.8"/>
    <s v="Yes"/>
    <n v="0"/>
    <n v="2"/>
    <n v="4.8"/>
    <n v="0"/>
    <s v="Stayed"/>
    <m/>
    <n v="0"/>
    <n v="0"/>
    <s v="Promoted"/>
    <s v="5+ years"/>
    <s v="High"/>
    <s v="3.4666666666666663"/>
    <s v="0.16666666666666666"/>
    <n v="0"/>
  </r>
  <r>
    <s v="EMP0189"/>
    <x v="0"/>
    <s v="Team Lead"/>
    <n v="0.8"/>
    <s v="G3"/>
    <n v="22"/>
    <s v="Diploma"/>
    <s v="Chennai"/>
    <n v="2"/>
    <n v="30.5"/>
    <n v="8"/>
    <n v="3"/>
    <n v="12"/>
    <n v="0"/>
    <s v="Band C"/>
    <n v="52600"/>
    <n v="15.5"/>
    <n v="3.6"/>
    <n v="0.3"/>
    <n v="0"/>
    <n v="3.6"/>
    <n v="4.5999999999999996"/>
    <n v="4.0999999999999996"/>
    <s v="Yes"/>
    <n v="0"/>
    <n v="0"/>
    <m/>
    <n v="0"/>
    <s v="Stayed"/>
    <m/>
    <n v="1"/>
    <n v="0"/>
    <s v="No Recorded Promotions"/>
    <s v="0â€“1 years"/>
    <s v="High"/>
    <n v="4.0999999999999996"/>
    <s v="0.16666666666666666"/>
    <n v="0"/>
  </r>
  <r>
    <s v="EMP0190"/>
    <x v="4"/>
    <s v="Account Manager"/>
    <n v="9.1"/>
    <s v="G5"/>
    <n v="42"/>
    <s v="Master"/>
    <s v="Chennai"/>
    <n v="0"/>
    <n v="10.199999999999999"/>
    <n v="8"/>
    <n v="3"/>
    <n v="12"/>
    <n v="0"/>
    <s v="Band E"/>
    <n v="124800"/>
    <n v="9.5"/>
    <n v="2.9"/>
    <n v="1.1000000000000001"/>
    <n v="0"/>
    <n v="5"/>
    <n v="3.4"/>
    <n v="5"/>
    <s v="No"/>
    <n v="0"/>
    <n v="0"/>
    <m/>
    <n v="0"/>
    <s v="Stayed"/>
    <m/>
    <n v="1"/>
    <n v="0"/>
    <s v="No Recorded Promotions"/>
    <s v="5+ years"/>
    <s v="Moderate"/>
    <s v="4.466666666666667"/>
    <n v="0"/>
    <n v="0"/>
  </r>
  <r>
    <s v="EMP0191"/>
    <x v="2"/>
    <s v="Support Specialist"/>
    <n v="4"/>
    <s v="G5"/>
    <n v="30"/>
    <s v="Master"/>
    <s v="Chennai"/>
    <n v="2"/>
    <n v="8.6999999999999993"/>
    <n v="9"/>
    <n v="2"/>
    <n v="12"/>
    <n v="0"/>
    <s v="Band D"/>
    <n v="82000"/>
    <n v="4.9000000000000004"/>
    <n v="3.9"/>
    <n v="1.9"/>
    <n v="0"/>
    <n v="4.4000000000000004"/>
    <n v="4.3"/>
    <n v="3.8"/>
    <s v="Yes"/>
    <n v="0"/>
    <n v="0"/>
    <m/>
    <n v="0"/>
    <s v="Stayed"/>
    <m/>
    <n v="1"/>
    <n v="0"/>
    <s v="No Recorded Promotions"/>
    <s v="3â€“5 years"/>
    <s v="Low"/>
    <s v="4.166666666666667"/>
    <s v="0.16666666666666666"/>
    <n v="0"/>
  </r>
  <r>
    <s v="EMP0192"/>
    <x v="4"/>
    <s v="Account Manager"/>
    <n v="4.5"/>
    <s v="G1"/>
    <n v="28"/>
    <s v="Bachelor"/>
    <s v="Coimbatore"/>
    <n v="3"/>
    <n v="7"/>
    <n v="8"/>
    <n v="4"/>
    <n v="12"/>
    <n v="0"/>
    <s v="Band A"/>
    <n v="25400"/>
    <n v="4"/>
    <n v="2"/>
    <n v="1.8"/>
    <n v="0"/>
    <n v="2.4"/>
    <n v="1.4"/>
    <n v="3.5"/>
    <s v="Yes"/>
    <n v="0"/>
    <n v="0"/>
    <m/>
    <n v="1"/>
    <s v="Stayed"/>
    <m/>
    <n v="1"/>
    <n v="0"/>
    <s v="No Recorded Promotions"/>
    <s v="3â€“5 years"/>
    <s v="Low"/>
    <s v="2.433333333333333"/>
    <n v="0.25"/>
    <n v="0"/>
  </r>
  <r>
    <s v="EMP0193"/>
    <x v="3"/>
    <s v="Senior Software Engineer"/>
    <n v="4.3"/>
    <s v="G2"/>
    <n v="28"/>
    <s v="Master"/>
    <s v="Chennai"/>
    <n v="2"/>
    <n v="40.799999999999997"/>
    <n v="4"/>
    <n v="2"/>
    <n v="12"/>
    <n v="0"/>
    <s v="Band B"/>
    <n v="37800"/>
    <n v="7.8"/>
    <n v="3.1"/>
    <n v="0.2"/>
    <n v="0"/>
    <n v="3.3"/>
    <n v="2.8"/>
    <n v="4.0999999999999996"/>
    <s v="Yes"/>
    <n v="0"/>
    <n v="0"/>
    <m/>
    <n v="0"/>
    <s v="Stayed"/>
    <m/>
    <n v="1"/>
    <n v="0"/>
    <s v="No Recorded Promotions"/>
    <s v="3â€“5 years"/>
    <s v="High"/>
    <n v="3.4"/>
    <s v="0.16666666666666666"/>
    <n v="0"/>
  </r>
  <r>
    <s v="EMP0194"/>
    <x v="2"/>
    <s v="Support Associate"/>
    <n v="5.4"/>
    <s v="G3"/>
    <n v="29"/>
    <s v="Bachelor"/>
    <s v="Bengaluru"/>
    <n v="1"/>
    <n v="15.7"/>
    <n v="9"/>
    <n v="1"/>
    <n v="12"/>
    <n v="0"/>
    <s v="Band C"/>
    <n v="53700"/>
    <n v="2.6"/>
    <n v="3.7"/>
    <n v="0.4"/>
    <n v="0"/>
    <n v="3.7"/>
    <n v="3.6"/>
    <n v="3.1"/>
    <s v="Yes"/>
    <n v="0"/>
    <n v="0"/>
    <m/>
    <n v="0"/>
    <s v="Left"/>
    <d v="2025-11-12T00:00:00"/>
    <n v="1"/>
    <n v="0"/>
    <s v="No Recorded Promotions"/>
    <s v="5+ years"/>
    <s v="Moderate"/>
    <s v="3.466666666666667"/>
    <n v="8.3333333333333301E-2"/>
    <n v="1"/>
  </r>
  <r>
    <s v="EMP0195"/>
    <x v="3"/>
    <s v="QA Engineer"/>
    <n v="2"/>
    <s v="G2"/>
    <n v="25"/>
    <s v="Bachelor"/>
    <s v="Chennai"/>
    <n v="3"/>
    <n v="3.1"/>
    <n v="15"/>
    <n v="2"/>
    <n v="12"/>
    <n v="0"/>
    <s v="Band B"/>
    <n v="50000"/>
    <n v="5.0999999999999996"/>
    <n v="4.5"/>
    <n v="1.7"/>
    <n v="0"/>
    <n v="1.7"/>
    <n v="4.2"/>
    <n v="3.7"/>
    <s v="Yes"/>
    <n v="0"/>
    <n v="2"/>
    <n v="0"/>
    <n v="0"/>
    <s v="Stayed"/>
    <m/>
    <n v="0"/>
    <n v="0"/>
    <s v="Promoted"/>
    <s v="1â€“3 years"/>
    <s v="Low"/>
    <s v="3.2000000000000006"/>
    <n v="0.25"/>
    <n v="0"/>
  </r>
  <r>
    <s v="EMP0196"/>
    <x v="3"/>
    <s v="Data Analyst"/>
    <n v="0.4"/>
    <s v="G2"/>
    <n v="21"/>
    <s v="Bachelor"/>
    <s v="Chennai"/>
    <n v="5"/>
    <n v="25"/>
    <n v="5"/>
    <n v="0"/>
    <n v="12"/>
    <n v="0"/>
    <s v="Band A"/>
    <n v="34000"/>
    <n v="7"/>
    <n v="2.8"/>
    <n v="1.8"/>
    <n v="0"/>
    <n v="1.8"/>
    <n v="3.9"/>
    <n v="4.5"/>
    <s v="Yes"/>
    <n v="0"/>
    <n v="0"/>
    <m/>
    <n v="0"/>
    <s v="Left"/>
    <d v="2024-11-03T00:00:00"/>
    <n v="1"/>
    <n v="0"/>
    <s v="No Recorded Promotions"/>
    <s v="0â€“1 years"/>
    <s v="High"/>
    <n v="3.4"/>
    <s v="0.4166666666666667"/>
    <n v="1"/>
  </r>
  <r>
    <s v="EMP0197"/>
    <x v="5"/>
    <s v="Accountant"/>
    <n v="2.4"/>
    <s v="G1"/>
    <n v="22"/>
    <s v="Bachelor"/>
    <s v="Remote"/>
    <n v="4"/>
    <n v="8.5"/>
    <n v="7"/>
    <n v="2"/>
    <n v="12"/>
    <n v="0"/>
    <s v="Band A"/>
    <n v="23800"/>
    <n v="6.3"/>
    <n v="4.0999999999999996"/>
    <n v="0.2"/>
    <n v="0"/>
    <n v="3.4"/>
    <n v="3.8"/>
    <n v="4.0999999999999996"/>
    <s v="Yes"/>
    <n v="0"/>
    <n v="1"/>
    <n v="1.3"/>
    <n v="1"/>
    <s v="Stayed"/>
    <m/>
    <n v="0"/>
    <n v="0"/>
    <s v="Promoted"/>
    <s v="1â€“3 years"/>
    <s v="Low"/>
    <s v="3.766666666666666"/>
    <s v="0.3333333333333333"/>
    <n v="0"/>
  </r>
  <r>
    <s v="EMP0198"/>
    <x v="2"/>
    <s v="Support Team Lead"/>
    <n v="5.0999999999999996"/>
    <s v="G1"/>
    <n v="30"/>
    <s v="Master"/>
    <s v="Bengaluru"/>
    <n v="2"/>
    <n v="0.4"/>
    <n v="11"/>
    <n v="2"/>
    <n v="12"/>
    <n v="0"/>
    <s v="Band A"/>
    <n v="26000"/>
    <n v="10.9"/>
    <n v="3"/>
    <n v="1.7"/>
    <n v="0"/>
    <n v="3.5"/>
    <n v="4.2"/>
    <n v="3.4"/>
    <s v="Yes"/>
    <n v="0"/>
    <n v="2"/>
    <n v="4.7"/>
    <n v="1"/>
    <s v="Stayed"/>
    <m/>
    <n v="0"/>
    <n v="0"/>
    <s v="Promoted"/>
    <s v="5+ years"/>
    <s v="Low"/>
    <s v="3.6999999999999997"/>
    <s v="0.16666666666666666"/>
    <n v="0"/>
  </r>
  <r>
    <s v="EMP0199"/>
    <x v="3"/>
    <s v="QA Engineer"/>
    <n v="1.5"/>
    <s v="G3"/>
    <n v="25"/>
    <s v="Master"/>
    <s v="Remote"/>
    <n v="4"/>
    <n v="5.0999999999999996"/>
    <n v="11"/>
    <n v="3"/>
    <n v="12"/>
    <n v="0"/>
    <s v="Band C"/>
    <n v="53400"/>
    <n v="5"/>
    <n v="4.0999999999999996"/>
    <n v="1.1000000000000001"/>
    <n v="0"/>
    <n v="1.6"/>
    <n v="3.6"/>
    <n v="3.6"/>
    <s v="Yes"/>
    <n v="0"/>
    <n v="0"/>
    <m/>
    <n v="0"/>
    <s v="Stayed"/>
    <m/>
    <n v="1"/>
    <n v="0"/>
    <s v="No Recorded Promotions"/>
    <s v="1â€“3 years"/>
    <s v="Low"/>
    <s v="2.9333333333333336"/>
    <s v="0.3333333333333333"/>
    <n v="0"/>
  </r>
  <r>
    <s v="EMP0200"/>
    <x v="4"/>
    <s v="Sales Executive"/>
    <n v="7.5"/>
    <s v="G3"/>
    <n v="38"/>
    <s v="Master"/>
    <s v="Coimbatore"/>
    <n v="3"/>
    <n v="21.2"/>
    <n v="11"/>
    <n v="2"/>
    <n v="12"/>
    <n v="0"/>
    <s v="Band C"/>
    <n v="59600"/>
    <n v="0"/>
    <n v="2.5"/>
    <n v="0.9"/>
    <n v="0"/>
    <n v="3.6"/>
    <n v="1.3"/>
    <n v="4"/>
    <s v="Yes"/>
    <n v="0"/>
    <n v="2"/>
    <n v="6.7"/>
    <n v="0"/>
    <s v="Stayed"/>
    <m/>
    <n v="0"/>
    <n v="0"/>
    <s v="Promoted"/>
    <s v="5+ years"/>
    <s v="High"/>
    <s v="2.966666666666667"/>
    <n v="0.25"/>
    <n v="0"/>
  </r>
  <r>
    <s v="EMP0201"/>
    <x v="0"/>
    <s v="Team Lead"/>
    <n v="3.4"/>
    <s v="G3"/>
    <n v="31"/>
    <s v="Bachelor"/>
    <s v="Chennai"/>
    <n v="4"/>
    <n v="14"/>
    <n v="16"/>
    <n v="0"/>
    <n v="12"/>
    <n v="0"/>
    <s v="Band B"/>
    <n v="48600"/>
    <n v="1.3"/>
    <n v="3.9"/>
    <n v="4"/>
    <n v="0"/>
    <n v="4.3"/>
    <n v="4.5"/>
    <n v="4"/>
    <s v="Yes"/>
    <n v="0"/>
    <n v="1"/>
    <n v="2.5"/>
    <n v="1"/>
    <s v="Stayed"/>
    <m/>
    <n v="0"/>
    <n v="0"/>
    <s v="Promoted"/>
    <s v="3â€“5 years"/>
    <s v="Moderate"/>
    <s v="4.266666666666667"/>
    <s v="0.3333333333333333"/>
    <n v="0"/>
  </r>
  <r>
    <s v="EMP0202"/>
    <x v="2"/>
    <s v="Support Associate"/>
    <n v="1.4"/>
    <s v="G4"/>
    <n v="28"/>
    <s v="Bachelor"/>
    <s v="Bengaluru"/>
    <n v="4"/>
    <n v="16.100000000000001"/>
    <n v="10"/>
    <n v="2"/>
    <n v="12"/>
    <n v="0"/>
    <s v="Band C"/>
    <n v="70200"/>
    <n v="7.9"/>
    <n v="3.1"/>
    <n v="1"/>
    <n v="0"/>
    <n v="3.1"/>
    <n v="2.4"/>
    <n v="4"/>
    <s v="Yes"/>
    <n v="0"/>
    <n v="0"/>
    <m/>
    <n v="0"/>
    <s v="Stayed"/>
    <m/>
    <n v="1"/>
    <n v="0"/>
    <s v="No Recorded Promotions"/>
    <s v="1â€“3 years"/>
    <s v="Moderate"/>
    <s v="3.1666666666666665"/>
    <s v="0.3333333333333333"/>
    <n v="0"/>
  </r>
  <r>
    <s v="EMP0203"/>
    <x v="5"/>
    <s v="Accountant"/>
    <n v="4.2"/>
    <s v="G2"/>
    <n v="27"/>
    <s v="Bachelor"/>
    <s v="Coimbatore"/>
    <n v="2"/>
    <n v="24.9"/>
    <n v="7"/>
    <n v="5"/>
    <n v="12"/>
    <n v="0"/>
    <s v="Band B"/>
    <n v="48400"/>
    <n v="5.7"/>
    <n v="2.1"/>
    <n v="0.7"/>
    <n v="0"/>
    <n v="3.4"/>
    <n v="3.5"/>
    <n v="3.7"/>
    <s v="Yes"/>
    <n v="0"/>
    <n v="0"/>
    <m/>
    <n v="0"/>
    <s v="Stayed"/>
    <m/>
    <n v="1"/>
    <n v="0"/>
    <s v="No Recorded Promotions"/>
    <s v="3â€“5 years"/>
    <s v="High"/>
    <s v="3.5333333333333337"/>
    <s v="0.16666666666666666"/>
    <n v="0"/>
  </r>
  <r>
    <s v="EMP0204"/>
    <x v="3"/>
    <s v="Senior Software Engineer"/>
    <n v="5.0999999999999996"/>
    <s v="G2"/>
    <n v="31"/>
    <s v="Master"/>
    <s v="Chennai"/>
    <n v="4"/>
    <n v="1.6"/>
    <n v="8"/>
    <n v="2"/>
    <n v="12"/>
    <n v="0"/>
    <s v="Band B"/>
    <n v="39900"/>
    <n v="3.1"/>
    <n v="3.1"/>
    <n v="2.2999999999999998"/>
    <n v="0"/>
    <n v="3.8"/>
    <n v="3.4"/>
    <n v="2.7"/>
    <s v="Yes"/>
    <n v="0"/>
    <n v="2"/>
    <n v="3.7"/>
    <n v="0"/>
    <s v="Stayed"/>
    <m/>
    <n v="0"/>
    <n v="0"/>
    <s v="Promoted"/>
    <s v="5+ years"/>
    <s v="Low"/>
    <s v="3.2999999999999994"/>
    <s v="0.3333333333333333"/>
    <n v="0"/>
  </r>
  <r>
    <s v="EMP0205"/>
    <x v="3"/>
    <s v="Senior Software Engineer"/>
    <n v="5.3"/>
    <s v="G1"/>
    <n v="33"/>
    <s v="Bachelor"/>
    <s v="Hyderabad"/>
    <n v="2"/>
    <n v="5.2"/>
    <n v="6"/>
    <n v="2"/>
    <n v="12"/>
    <n v="0"/>
    <s v="Band A"/>
    <n v="30500"/>
    <n v="15.8"/>
    <n v="4.4000000000000004"/>
    <n v="2.2000000000000002"/>
    <n v="0"/>
    <n v="3.7"/>
    <n v="3.2"/>
    <n v="2.9"/>
    <s v="Yes"/>
    <n v="0"/>
    <n v="0"/>
    <m/>
    <n v="0"/>
    <s v="Stayed"/>
    <m/>
    <n v="1"/>
    <n v="0"/>
    <s v="No Recorded Promotions"/>
    <s v="5+ years"/>
    <s v="Low"/>
    <s v="3.266666666666667"/>
    <s v="0.16666666666666666"/>
    <n v="0"/>
  </r>
  <r>
    <s v="EMP0206"/>
    <x v="3"/>
    <s v="Data Analyst"/>
    <n v="7.3"/>
    <s v="G1"/>
    <n v="36"/>
    <s v="Bachelor"/>
    <s v="Bengaluru"/>
    <n v="2"/>
    <n v="10.4"/>
    <n v="6"/>
    <n v="2"/>
    <n v="12"/>
    <n v="0"/>
    <s v="Band B"/>
    <n v="37100"/>
    <n v="11.3"/>
    <n v="2.2999999999999998"/>
    <n v="3.3"/>
    <n v="0"/>
    <n v="1.8"/>
    <n v="2.2000000000000002"/>
    <n v="3.8"/>
    <s v="Yes"/>
    <n v="0"/>
    <n v="1"/>
    <m/>
    <n v="1"/>
    <s v="Stayed"/>
    <m/>
    <n v="1"/>
    <n v="0"/>
    <s v="Promoted"/>
    <s v="5+ years"/>
    <s v="Moderate"/>
    <n v="2.6"/>
    <s v="0.16666666666666666"/>
    <n v="0"/>
  </r>
  <r>
    <s v="EMP0207"/>
    <x v="3"/>
    <s v="Software Engineer"/>
    <n v="1"/>
    <s v="G2"/>
    <n v="27"/>
    <s v="Master"/>
    <s v="Bengaluru"/>
    <n v="4"/>
    <n v="21.7"/>
    <n v="7"/>
    <n v="1"/>
    <n v="12"/>
    <n v="0"/>
    <s v="Band A"/>
    <n v="34800"/>
    <n v="7.8"/>
    <n v="1.9"/>
    <n v="2.1"/>
    <n v="0"/>
    <n v="2.5"/>
    <n v="1.5"/>
    <n v="4.0999999999999996"/>
    <s v="Yes"/>
    <n v="0"/>
    <n v="1"/>
    <n v="0.6"/>
    <n v="0"/>
    <s v="Stayed"/>
    <m/>
    <n v="0"/>
    <n v="0"/>
    <s v="Promoted"/>
    <s v="0â€“1 years"/>
    <s v="High"/>
    <s v="2.6999999999999997"/>
    <s v="0.3333333333333333"/>
    <n v="0"/>
  </r>
  <r>
    <s v="EMP0208"/>
    <x v="0"/>
    <s v="Operations Manager"/>
    <n v="7.3"/>
    <s v="G1"/>
    <n v="38"/>
    <s v="Master"/>
    <s v="Coimbatore"/>
    <n v="2"/>
    <n v="3.7"/>
    <n v="9"/>
    <n v="5"/>
    <n v="12"/>
    <n v="0"/>
    <s v="Band A"/>
    <n v="27500"/>
    <n v="8.9"/>
    <n v="3.6"/>
    <n v="2"/>
    <n v="0"/>
    <n v="2.9"/>
    <n v="2.2999999999999998"/>
    <n v="4"/>
    <s v="Yes"/>
    <n v="0"/>
    <n v="2"/>
    <n v="1.7"/>
    <n v="1"/>
    <s v="Stayed"/>
    <m/>
    <n v="0"/>
    <n v="0"/>
    <s v="Promoted"/>
    <s v="5+ years"/>
    <s v="Low"/>
    <s v="3.0666666666666664"/>
    <s v="0.16666666666666666"/>
    <n v="0"/>
  </r>
  <r>
    <s v="EMP0209"/>
    <x v="3"/>
    <s v="Software Engineer"/>
    <n v="7.7"/>
    <s v="G1"/>
    <n v="34"/>
    <s v="Bachelor"/>
    <s v="Bengaluru"/>
    <n v="3"/>
    <n v="7.5"/>
    <n v="9"/>
    <n v="2"/>
    <n v="12"/>
    <n v="0"/>
    <s v="Band A"/>
    <n v="28700"/>
    <n v="6.9"/>
    <n v="1.7"/>
    <n v="1.2"/>
    <n v="0"/>
    <n v="2.5"/>
    <n v="3.9"/>
    <n v="2.9"/>
    <s v="Yes"/>
    <n v="0"/>
    <n v="2"/>
    <n v="3.1"/>
    <n v="0"/>
    <s v="Stayed"/>
    <m/>
    <n v="0"/>
    <n v="0"/>
    <s v="Promoted"/>
    <s v="5+ years"/>
    <s v="Low"/>
    <n v="3.1"/>
    <n v="0.25"/>
    <n v="0"/>
  </r>
  <r>
    <s v="EMP0210"/>
    <x v="5"/>
    <s v="Accountant"/>
    <n v="1.3"/>
    <s v="G1"/>
    <n v="30"/>
    <s v="Bachelor"/>
    <s v="Chennai"/>
    <n v="6"/>
    <n v="9.9"/>
    <n v="9"/>
    <n v="1"/>
    <n v="12"/>
    <n v="0"/>
    <s v="Band A"/>
    <n v="26200"/>
    <n v="3"/>
    <n v="4.5999999999999996"/>
    <n v="0.4"/>
    <n v="0"/>
    <n v="4.5999999999999996"/>
    <n v="1.9"/>
    <n v="3.3"/>
    <s v="Yes"/>
    <n v="0"/>
    <n v="0"/>
    <m/>
    <n v="0"/>
    <s v="Stayed"/>
    <m/>
    <n v="1"/>
    <n v="0"/>
    <s v="No Recorded Promotions"/>
    <s v="1â€“3 years"/>
    <s v="Low"/>
    <s v="3.266666666666667"/>
    <n v="0.5"/>
    <n v="0"/>
  </r>
  <r>
    <s v="EMP0211"/>
    <x v="0"/>
    <s v="Operations Manager"/>
    <n v="1.6"/>
    <s v="G3"/>
    <n v="26"/>
    <s v="Bachelor"/>
    <s v="Remote"/>
    <n v="1"/>
    <n v="4.9000000000000004"/>
    <n v="12"/>
    <n v="3"/>
    <n v="12"/>
    <n v="0"/>
    <s v="Band B"/>
    <n v="40600"/>
    <n v="12.1"/>
    <n v="4.5999999999999996"/>
    <n v="1.8"/>
    <n v="0"/>
    <n v="3.9"/>
    <n v="2.4"/>
    <n v="2.5"/>
    <s v="Yes"/>
    <n v="0"/>
    <n v="2"/>
    <n v="0.7"/>
    <n v="0"/>
    <s v="Stayed"/>
    <m/>
    <n v="0"/>
    <n v="0"/>
    <s v="Promoted"/>
    <s v="1â€“3 years"/>
    <s v="Low"/>
    <s v="2.9333333333333336"/>
    <n v="8.3333333333333301E-2"/>
    <n v="0"/>
  </r>
  <r>
    <s v="EMP0212"/>
    <x v="5"/>
    <s v="Finance Manager"/>
    <n v="6.1"/>
    <s v="G3"/>
    <n v="25"/>
    <s v="Bachelor"/>
    <s v="Coimbatore"/>
    <n v="4"/>
    <n v="9.8000000000000007"/>
    <n v="10"/>
    <n v="0"/>
    <n v="12"/>
    <n v="0"/>
    <s v="Band C"/>
    <n v="56100"/>
    <n v="11.4"/>
    <n v="4.0999999999999996"/>
    <n v="0.4"/>
    <n v="0"/>
    <n v="2.2999999999999998"/>
    <n v="3.6"/>
    <n v="2.2999999999999998"/>
    <s v="Yes"/>
    <n v="0"/>
    <n v="0"/>
    <m/>
    <n v="0"/>
    <s v="Stayed"/>
    <m/>
    <n v="1"/>
    <n v="0"/>
    <s v="No Recorded Promotions"/>
    <s v="5+ years"/>
    <s v="Low"/>
    <s v="2.733333333333333"/>
    <s v="0.3333333333333333"/>
    <n v="0"/>
  </r>
  <r>
    <s v="EMP0213"/>
    <x v="3"/>
    <s v="QA Engineer"/>
    <n v="2.7"/>
    <s v="G5"/>
    <n v="30"/>
    <s v="Diploma"/>
    <s v="Chennai"/>
    <n v="0"/>
    <n v="8.6999999999999993"/>
    <n v="9"/>
    <n v="3"/>
    <n v="12"/>
    <n v="0"/>
    <s v="Band D"/>
    <n v="98500"/>
    <n v="0.1"/>
    <n v="3.2"/>
    <n v="1.2"/>
    <n v="0"/>
    <n v="3.1"/>
    <n v="2.2999999999999998"/>
    <n v="3.5"/>
    <s v="Yes"/>
    <n v="0"/>
    <n v="2"/>
    <n v="2.2999999999999998"/>
    <n v="0"/>
    <s v="Stayed"/>
    <m/>
    <n v="0"/>
    <n v="0"/>
    <s v="Promoted"/>
    <s v="1â€“3 years"/>
    <s v="Low"/>
    <s v="2.966666666666667"/>
    <n v="0"/>
    <n v="0"/>
  </r>
  <r>
    <s v="EMP0214"/>
    <x v="0"/>
    <s v="Operations Associate"/>
    <n v="8.5"/>
    <s v="G4"/>
    <n v="37"/>
    <s v="Master"/>
    <s v="Chennai"/>
    <n v="4"/>
    <n v="6.2"/>
    <n v="13"/>
    <n v="0"/>
    <n v="12"/>
    <n v="0"/>
    <s v="Band D"/>
    <n v="75100"/>
    <n v="8.9"/>
    <n v="4.7"/>
    <n v="1.2"/>
    <n v="0"/>
    <n v="4.3"/>
    <n v="2.7"/>
    <n v="4.5"/>
    <s v="Yes"/>
    <n v="0"/>
    <n v="0"/>
    <m/>
    <n v="0"/>
    <s v="Stayed"/>
    <m/>
    <n v="1"/>
    <n v="0"/>
    <s v="No Recorded Promotions"/>
    <s v="5+ years"/>
    <s v="Low"/>
    <s v="3.8333333333333335"/>
    <s v="0.3333333333333333"/>
    <n v="0"/>
  </r>
  <r>
    <s v="EMP0215"/>
    <x v="0"/>
    <s v="Operations Associate"/>
    <n v="10.1"/>
    <s v="G3"/>
    <n v="38"/>
    <s v="Bachelor"/>
    <s v="Bengaluru"/>
    <n v="2"/>
    <n v="17.600000000000001"/>
    <n v="11"/>
    <n v="1"/>
    <n v="12"/>
    <n v="0"/>
    <s v="Band C"/>
    <n v="60000"/>
    <n v="9.3000000000000007"/>
    <n v="4.4000000000000004"/>
    <n v="1.2"/>
    <n v="0"/>
    <n v="2.7"/>
    <n v="3.3"/>
    <n v="3.5"/>
    <s v="Yes"/>
    <n v="1"/>
    <n v="0"/>
    <m/>
    <n v="0"/>
    <s v="Stayed"/>
    <m/>
    <n v="1"/>
    <n v="0"/>
    <s v="No Recorded Promotions"/>
    <s v="5+ years"/>
    <s v="Moderate"/>
    <s v="3.1666666666666665"/>
    <s v="0.16666666666666666"/>
    <n v="0"/>
  </r>
  <r>
    <s v="EMP0216"/>
    <x v="0"/>
    <s v="Team Lead"/>
    <n v="1.4"/>
    <s v="G1"/>
    <n v="29"/>
    <s v="Bachelor"/>
    <s v="Remote"/>
    <n v="5"/>
    <n v="15.3"/>
    <n v="8"/>
    <n v="3"/>
    <n v="12"/>
    <n v="0"/>
    <s v="Band A"/>
    <n v="28900"/>
    <n v="6.7"/>
    <n v="2.7"/>
    <n v="0.1"/>
    <n v="0"/>
    <n v="4.0999999999999996"/>
    <n v="3.5"/>
    <n v="4.9000000000000004"/>
    <s v="Yes"/>
    <n v="0"/>
    <n v="1"/>
    <n v="1.4"/>
    <n v="0"/>
    <s v="Stayed"/>
    <m/>
    <n v="0"/>
    <n v="0"/>
    <s v="Promoted"/>
    <s v="1â€“3 years"/>
    <s v="Moderate"/>
    <s v="4.166666666666667"/>
    <s v="0.4166666666666667"/>
    <n v="0"/>
  </r>
  <r>
    <s v="EMP0217"/>
    <x v="3"/>
    <s v="Senior Software Engineer"/>
    <n v="1.9"/>
    <s v="G3"/>
    <n v="27"/>
    <s v="Bachelor"/>
    <s v="Hyderabad"/>
    <n v="5"/>
    <n v="18.100000000000001"/>
    <n v="9"/>
    <n v="3"/>
    <n v="12"/>
    <n v="0"/>
    <s v="Band B"/>
    <n v="43800"/>
    <n v="16.399999999999999"/>
    <n v="4.5"/>
    <n v="0.8"/>
    <n v="0"/>
    <n v="4.5"/>
    <n v="2.2999999999999998"/>
    <n v="3.3"/>
    <s v="No"/>
    <n v="0"/>
    <n v="1"/>
    <n v="0.1"/>
    <n v="0"/>
    <s v="Stayed"/>
    <m/>
    <n v="0"/>
    <n v="0"/>
    <s v="Promoted"/>
    <s v="1â€“3 years"/>
    <s v="Moderate"/>
    <s v="3.3666666666666667"/>
    <s v="0.4166666666666667"/>
    <n v="0"/>
  </r>
  <r>
    <s v="EMP0218"/>
    <x v="3"/>
    <s v="Data Analyst"/>
    <n v="4"/>
    <s v="G1"/>
    <n v="27"/>
    <s v="Bachelor"/>
    <s v="Bengaluru"/>
    <n v="2"/>
    <n v="19.3"/>
    <n v="7"/>
    <n v="6"/>
    <n v="12"/>
    <n v="0"/>
    <s v="Band A"/>
    <n v="29800"/>
    <n v="16"/>
    <n v="2.4"/>
    <n v="6.7"/>
    <n v="0"/>
    <n v="4.4000000000000004"/>
    <n v="3.3"/>
    <n v="3.4"/>
    <s v="Yes"/>
    <n v="0"/>
    <n v="1"/>
    <m/>
    <n v="0"/>
    <s v="Stayed"/>
    <m/>
    <n v="1"/>
    <n v="0"/>
    <s v="Promoted"/>
    <s v="3â€“5 years"/>
    <s v="Moderate"/>
    <s v="3.6999999999999997"/>
    <s v="0.16666666666666666"/>
    <n v="0"/>
  </r>
  <r>
    <s v="EMP0219"/>
    <x v="2"/>
    <s v="Support Associate"/>
    <n v="0.4"/>
    <s v="G2"/>
    <n v="29"/>
    <s v="Bachelor"/>
    <s v="Remote"/>
    <n v="2"/>
    <n v="2.1"/>
    <n v="9"/>
    <n v="0"/>
    <n v="12"/>
    <n v="0"/>
    <s v="Band B"/>
    <n v="40500"/>
    <n v="6.5"/>
    <n v="3"/>
    <n v="1.3"/>
    <n v="0"/>
    <n v="3.5"/>
    <n v="3.6"/>
    <n v="2.6"/>
    <s v="Yes"/>
    <n v="0"/>
    <n v="1"/>
    <n v="0.1"/>
    <n v="0"/>
    <s v="Stayed"/>
    <m/>
    <n v="0"/>
    <n v="0"/>
    <s v="Promoted"/>
    <s v="0â€“1 years"/>
    <s v="Low"/>
    <s v="3.233333333333333"/>
    <s v="0.16666666666666666"/>
    <n v="0"/>
  </r>
  <r>
    <s v="EMP0220"/>
    <x v="4"/>
    <s v="Sales Executive"/>
    <n v="0.7"/>
    <s v="G2"/>
    <n v="28"/>
    <s v="Bachelor"/>
    <s v="Bengaluru"/>
    <n v="6"/>
    <n v="2.4"/>
    <n v="4"/>
    <n v="3"/>
    <n v="12"/>
    <n v="0"/>
    <s v="Band A"/>
    <n v="30700"/>
    <n v="7.1"/>
    <n v="1.6"/>
    <n v="2.7"/>
    <n v="0"/>
    <n v="4.4000000000000004"/>
    <n v="2.1"/>
    <n v="3.1"/>
    <s v="No"/>
    <n v="0"/>
    <n v="2"/>
    <n v="0.6"/>
    <n v="0"/>
    <s v="Stayed"/>
    <m/>
    <n v="0"/>
    <n v="0"/>
    <s v="Promoted"/>
    <s v="0â€“1 years"/>
    <s v="Low"/>
    <s v="3.1999999999999997"/>
    <n v="0.5"/>
    <n v="0"/>
  </r>
  <r>
    <s v="EMP0221"/>
    <x v="4"/>
    <s v="Sales Manager"/>
    <n v="1.8"/>
    <s v="G2"/>
    <n v="26"/>
    <s v="Bachelor"/>
    <s v="Chennai"/>
    <n v="2"/>
    <n v="16.5"/>
    <n v="11"/>
    <n v="4"/>
    <n v="12"/>
    <n v="0"/>
    <s v="Band B"/>
    <n v="44700"/>
    <n v="6.6"/>
    <n v="3.3"/>
    <n v="1.6"/>
    <n v="0"/>
    <n v="2.8"/>
    <n v="3.4"/>
    <n v="2.4"/>
    <s v="Yes"/>
    <n v="0"/>
    <n v="0"/>
    <m/>
    <n v="0"/>
    <s v="Left"/>
    <d v="2025-06-09T00:00:00"/>
    <n v="1"/>
    <n v="0"/>
    <s v="No Recorded Promotions"/>
    <s v="1â€“3 years"/>
    <s v="Moderate"/>
    <s v="2.8666666666666667"/>
    <s v="0.16666666666666666"/>
    <n v="1"/>
  </r>
  <r>
    <s v="EMP0222"/>
    <x v="1"/>
    <s v="HR Executive"/>
    <n v="12.3"/>
    <s v="G2"/>
    <n v="43"/>
    <s v="Bachelor"/>
    <s v="Bengaluru"/>
    <n v="6"/>
    <n v="6.7"/>
    <n v="6"/>
    <n v="4"/>
    <n v="12"/>
    <n v="0"/>
    <s v="Band B"/>
    <n v="37400"/>
    <n v="5.6"/>
    <n v="2.9"/>
    <n v="5.4"/>
    <n v="0"/>
    <n v="5"/>
    <n v="3.3"/>
    <n v="2.2000000000000002"/>
    <s v="Yes"/>
    <n v="1"/>
    <n v="0"/>
    <m/>
    <n v="0"/>
    <s v="Stayed"/>
    <m/>
    <n v="1"/>
    <n v="0"/>
    <s v="No Recorded Promotions"/>
    <s v="5+ years"/>
    <s v="Low"/>
    <n v="3.5"/>
    <n v="0.5"/>
    <n v="0"/>
  </r>
  <r>
    <s v="EMP0223"/>
    <x v="0"/>
    <s v="Operations Associate"/>
    <n v="4.4000000000000004"/>
    <s v="G3"/>
    <n v="27"/>
    <s v="Master"/>
    <s v="Chennai"/>
    <n v="1"/>
    <n v="6"/>
    <n v="6"/>
    <n v="3"/>
    <n v="12"/>
    <n v="0"/>
    <s v="Band B"/>
    <n v="46500"/>
    <n v="4.3"/>
    <n v="2.8"/>
    <n v="1.7"/>
    <n v="0"/>
    <n v="3.5"/>
    <n v="3.3"/>
    <n v="2.5"/>
    <s v="Yes"/>
    <n v="0"/>
    <n v="1"/>
    <n v="0.9"/>
    <n v="1"/>
    <s v="Stayed"/>
    <m/>
    <n v="0"/>
    <n v="0"/>
    <s v="Promoted"/>
    <s v="3â€“5 years"/>
    <s v="Low"/>
    <n v="3.1"/>
    <n v="8.3333333333333301E-2"/>
    <n v="0"/>
  </r>
  <r>
    <s v="EMP0224"/>
    <x v="2"/>
    <s v="Support Specialist"/>
    <n v="2.2000000000000002"/>
    <s v="G4"/>
    <n v="26"/>
    <s v="Master"/>
    <s v="Chennai"/>
    <n v="3"/>
    <n v="5.2"/>
    <n v="10"/>
    <n v="4"/>
    <n v="12"/>
    <n v="0"/>
    <s v="Band C"/>
    <n v="71900"/>
    <n v="10"/>
    <n v="3.1"/>
    <n v="1.3"/>
    <n v="0"/>
    <n v="4.3"/>
    <n v="3.9"/>
    <n v="3.5"/>
    <s v="Yes"/>
    <n v="0"/>
    <n v="0"/>
    <m/>
    <n v="0"/>
    <s v="Stayed"/>
    <m/>
    <n v="1"/>
    <n v="0"/>
    <s v="No Recorded Promotions"/>
    <s v="1â€“3 years"/>
    <s v="Low"/>
    <n v="3.9"/>
    <n v="0.25"/>
    <n v="0"/>
  </r>
  <r>
    <s v="EMP0225"/>
    <x v="4"/>
    <s v="Account Manager"/>
    <n v="1.6"/>
    <s v="G3"/>
    <n v="34"/>
    <s v="Bachelor"/>
    <s v="Coimbatore"/>
    <n v="5"/>
    <n v="18.600000000000001"/>
    <n v="10"/>
    <n v="4"/>
    <n v="12"/>
    <n v="0"/>
    <s v="Band C"/>
    <n v="55300"/>
    <n v="15.8"/>
    <n v="2.7"/>
    <n v="0.3"/>
    <n v="0"/>
    <n v="3"/>
    <n v="3"/>
    <n v="2.8"/>
    <s v="Yes"/>
    <n v="0"/>
    <n v="1"/>
    <n v="0.1"/>
    <n v="0"/>
    <s v="Stayed"/>
    <m/>
    <n v="0"/>
    <n v="0"/>
    <s v="Promoted"/>
    <s v="1â€“3 years"/>
    <s v="Moderate"/>
    <s v="2.9333333333333336"/>
    <s v="0.4166666666666667"/>
    <n v="0"/>
  </r>
  <r>
    <s v="EMP0226"/>
    <x v="2"/>
    <s v="Support Specialist"/>
    <n v="1.3"/>
    <s v="G3"/>
    <n v="31"/>
    <s v="Diploma"/>
    <s v="Chennai"/>
    <n v="2"/>
    <n v="39.1"/>
    <n v="11"/>
    <n v="1"/>
    <n v="12"/>
    <n v="0"/>
    <s v="Band C"/>
    <n v="56900"/>
    <n v="14.2"/>
    <n v="3.2"/>
    <n v="0.3"/>
    <n v="0"/>
    <n v="3.7"/>
    <n v="4"/>
    <n v="3"/>
    <s v="Yes"/>
    <n v="0"/>
    <n v="1"/>
    <n v="0.5"/>
    <n v="0"/>
    <s v="Stayed"/>
    <m/>
    <n v="0"/>
    <n v="0"/>
    <s v="Promoted"/>
    <s v="1â€“3 years"/>
    <s v="High"/>
    <s v="3.5666666666666664"/>
    <s v="0.16666666666666666"/>
    <n v="0"/>
  </r>
  <r>
    <s v="EMP0227"/>
    <x v="3"/>
    <s v="Data Analyst"/>
    <n v="2.2999999999999998"/>
    <s v="G3"/>
    <n v="27"/>
    <s v="Master"/>
    <s v="Remote"/>
    <n v="5"/>
    <n v="19.2"/>
    <n v="7"/>
    <n v="7"/>
    <n v="12"/>
    <n v="0"/>
    <s v="Band C"/>
    <n v="55800"/>
    <n v="11.2"/>
    <n v="4.4000000000000004"/>
    <n v="0.7"/>
    <n v="0"/>
    <n v="3.8"/>
    <n v="3.9"/>
    <n v="3.7"/>
    <s v="Yes"/>
    <n v="0"/>
    <n v="3"/>
    <n v="2"/>
    <n v="0"/>
    <s v="Stayed"/>
    <m/>
    <n v="0"/>
    <n v="0"/>
    <s v="Promoted"/>
    <s v="1â€“3 years"/>
    <s v="Moderate"/>
    <s v="3.7999999999999994"/>
    <s v="0.4166666666666667"/>
    <n v="0"/>
  </r>
  <r>
    <s v="EMP0228"/>
    <x v="5"/>
    <s v="Finance Manager"/>
    <n v="2.2000000000000002"/>
    <s v="G1"/>
    <n v="29"/>
    <s v="Doctorate"/>
    <s v="Remote"/>
    <n v="5"/>
    <n v="6.5"/>
    <n v="11"/>
    <n v="1"/>
    <n v="12"/>
    <n v="0"/>
    <s v="Band A"/>
    <n v="26300"/>
    <n v="0"/>
    <n v="2.2000000000000002"/>
    <n v="1"/>
    <n v="0"/>
    <n v="2.5"/>
    <n v="4"/>
    <n v="2.2000000000000002"/>
    <s v="Yes"/>
    <n v="0"/>
    <n v="0"/>
    <m/>
    <n v="1"/>
    <s v="Stayed"/>
    <m/>
    <n v="1"/>
    <n v="0"/>
    <s v="No Recorded Promotions"/>
    <s v="1â€“3 years"/>
    <s v="Low"/>
    <n v="2.9"/>
    <s v="0.4166666666666667"/>
    <n v="0"/>
  </r>
  <r>
    <s v="EMP0229"/>
    <x v="0"/>
    <s v="Operations Associate"/>
    <n v="3.1"/>
    <s v="G3"/>
    <n v="30"/>
    <s v="Master"/>
    <s v="Coimbatore"/>
    <n v="2"/>
    <n v="17.899999999999999"/>
    <n v="7"/>
    <n v="0"/>
    <n v="12"/>
    <n v="0"/>
    <s v="Band C"/>
    <n v="53500"/>
    <n v="0.5"/>
    <n v="4"/>
    <n v="0.3"/>
    <n v="0"/>
    <n v="2.4"/>
    <n v="3.6"/>
    <n v="3.5"/>
    <s v="No"/>
    <n v="0"/>
    <n v="1"/>
    <n v="2.2000000000000002"/>
    <n v="0"/>
    <s v="Stayed"/>
    <m/>
    <n v="0"/>
    <n v="0"/>
    <s v="Promoted"/>
    <s v="3â€“5 years"/>
    <s v="Moderate"/>
    <s v="3.1666666666666665"/>
    <s v="0.16666666666666666"/>
    <n v="0"/>
  </r>
  <r>
    <s v="EMP0230"/>
    <x v="3"/>
    <s v="Data Analyst"/>
    <n v="5.2"/>
    <s v="G3"/>
    <n v="21"/>
    <s v="Diploma"/>
    <s v="Bengaluru"/>
    <n v="4"/>
    <n v="2.4"/>
    <n v="7"/>
    <n v="1"/>
    <n v="12"/>
    <n v="0"/>
    <s v="Band C"/>
    <n v="52400"/>
    <n v="12.3"/>
    <n v="3.4"/>
    <n v="1.3"/>
    <n v="0"/>
    <n v="3.1"/>
    <n v="4.2"/>
    <n v="4.0999999999999996"/>
    <s v="Yes"/>
    <n v="0"/>
    <n v="0"/>
    <m/>
    <n v="0"/>
    <s v="Stayed"/>
    <m/>
    <n v="1"/>
    <n v="0"/>
    <s v="No Recorded Promotions"/>
    <s v="5+ years"/>
    <s v="Low"/>
    <s v="3.8000000000000003"/>
    <s v="0.3333333333333333"/>
    <n v="0"/>
  </r>
  <r>
    <s v="EMP0231"/>
    <x v="3"/>
    <s v="QA Engineer"/>
    <n v="3.5"/>
    <s v="G2"/>
    <n v="26"/>
    <s v="Bachelor"/>
    <s v="Coimbatore"/>
    <n v="3"/>
    <n v="8.1999999999999993"/>
    <n v="17"/>
    <n v="5"/>
    <n v="12"/>
    <n v="0"/>
    <s v="Band B"/>
    <n v="39700"/>
    <n v="14.5"/>
    <n v="3.5"/>
    <n v="1.3"/>
    <n v="0"/>
    <n v="4.3"/>
    <n v="3.5"/>
    <n v="4.0999999999999996"/>
    <s v="No"/>
    <n v="0"/>
    <n v="0"/>
    <m/>
    <n v="1"/>
    <s v="Stayed"/>
    <m/>
    <n v="1"/>
    <n v="0"/>
    <s v="No Recorded Promotions"/>
    <s v="3â€“5 years"/>
    <s v="Low"/>
    <s v="3.9666666666666663"/>
    <n v="0.25"/>
    <n v="0"/>
  </r>
  <r>
    <s v="EMP0232"/>
    <x v="4"/>
    <s v="Sales Executive"/>
    <n v="6.4"/>
    <s v="G2"/>
    <n v="32"/>
    <s v="Diploma"/>
    <s v="Chennai"/>
    <n v="5"/>
    <n v="1.6"/>
    <n v="8"/>
    <n v="1"/>
    <n v="12"/>
    <n v="0"/>
    <s v="Band B"/>
    <n v="40800"/>
    <n v="10.199999999999999"/>
    <n v="3.2"/>
    <n v="4.4000000000000004"/>
    <n v="0"/>
    <n v="1.7"/>
    <n v="1.7"/>
    <n v="3.8"/>
    <s v="Yes"/>
    <n v="0"/>
    <n v="2"/>
    <n v="0.7"/>
    <n v="0"/>
    <s v="Stayed"/>
    <m/>
    <n v="0"/>
    <n v="0"/>
    <s v="Promoted"/>
    <s v="5+ years"/>
    <s v="Low"/>
    <n v="2.4"/>
    <s v="0.4166666666666667"/>
    <n v="0"/>
  </r>
  <r>
    <s v="EMP0233"/>
    <x v="2"/>
    <s v="Support Team Lead"/>
    <n v="3"/>
    <s v="G5"/>
    <n v="28"/>
    <s v="Master"/>
    <s v="Chennai"/>
    <n v="1"/>
    <n v="6.7"/>
    <n v="17"/>
    <n v="4"/>
    <n v="12"/>
    <n v="0"/>
    <s v="Band D"/>
    <n v="90600"/>
    <n v="6.8"/>
    <n v="2.6"/>
    <n v="4.9000000000000004"/>
    <n v="0"/>
    <n v="3"/>
    <n v="2.5"/>
    <n v="3.4"/>
    <s v="Yes"/>
    <n v="0"/>
    <n v="1"/>
    <m/>
    <n v="0"/>
    <s v="Stayed"/>
    <m/>
    <n v="1"/>
    <n v="0"/>
    <s v="Promoted"/>
    <s v="1â€“3 years"/>
    <s v="Low"/>
    <s v="2.966666666666667"/>
    <n v="8.3333333333333301E-2"/>
    <n v="0"/>
  </r>
  <r>
    <s v="EMP0234"/>
    <x v="5"/>
    <s v="Accountant"/>
    <n v="10.6"/>
    <s v="G3"/>
    <n v="38"/>
    <s v="Bachelor"/>
    <s v="Chennai"/>
    <n v="6"/>
    <n v="11.3"/>
    <n v="7"/>
    <n v="1"/>
    <n v="12"/>
    <n v="0"/>
    <s v="Band C"/>
    <n v="56300"/>
    <n v="13.4"/>
    <n v="3.6"/>
    <n v="2.2999999999999998"/>
    <n v="0"/>
    <n v="3.3"/>
    <n v="3"/>
    <n v="3.4"/>
    <s v="Yes"/>
    <n v="1"/>
    <n v="0"/>
    <m/>
    <n v="1"/>
    <s v="Stayed"/>
    <m/>
    <n v="1"/>
    <n v="0"/>
    <s v="No Recorded Promotions"/>
    <s v="5+ years"/>
    <s v="Moderate"/>
    <s v="3.233333333333333"/>
    <n v="0.5"/>
    <n v="0"/>
  </r>
  <r>
    <s v="EMP0235"/>
    <x v="2"/>
    <s v="Support Specialist"/>
    <n v="6.3"/>
    <s v="G2"/>
    <n v="37"/>
    <s v="Bachelor"/>
    <s v="Chennai"/>
    <n v="5"/>
    <n v="44"/>
    <n v="6"/>
    <n v="1"/>
    <n v="12"/>
    <n v="0"/>
    <s v="Band A"/>
    <n v="31500"/>
    <n v="11"/>
    <n v="3.7"/>
    <n v="2.2999999999999998"/>
    <n v="0"/>
    <n v="2.2000000000000002"/>
    <n v="3.1"/>
    <n v="3.3"/>
    <s v="Yes"/>
    <n v="0"/>
    <n v="0"/>
    <m/>
    <n v="1"/>
    <s v="Stayed"/>
    <m/>
    <n v="1"/>
    <n v="0"/>
    <s v="No Recorded Promotions"/>
    <s v="5+ years"/>
    <s v="High"/>
    <s v="2.866666666666667"/>
    <s v="0.4166666666666667"/>
    <n v="0"/>
  </r>
  <r>
    <s v="EMP0236"/>
    <x v="0"/>
    <s v="Operations Manager"/>
    <n v="4.4000000000000004"/>
    <s v="G3"/>
    <n v="29"/>
    <s v="Bachelor"/>
    <s v="Chennai"/>
    <n v="3"/>
    <n v="22.9"/>
    <n v="8"/>
    <n v="5"/>
    <n v="12"/>
    <n v="0"/>
    <s v="Band C"/>
    <n v="59200"/>
    <n v="12.5"/>
    <n v="2.5"/>
    <n v="3"/>
    <n v="0"/>
    <n v="4.4000000000000004"/>
    <n v="3.5"/>
    <n v="4.7"/>
    <s v="No"/>
    <n v="0"/>
    <n v="0"/>
    <m/>
    <n v="0"/>
    <s v="Stayed"/>
    <m/>
    <n v="1"/>
    <n v="0"/>
    <s v="No Recorded Promotions"/>
    <s v="3â€“5 years"/>
    <s v="High"/>
    <n v="4.2"/>
    <n v="0.25"/>
    <n v="0"/>
  </r>
  <r>
    <s v="EMP0237"/>
    <x v="1"/>
    <s v="HR Executive"/>
    <n v="5.2"/>
    <s v="G2"/>
    <n v="27"/>
    <s v="Bachelor"/>
    <s v="Chennai"/>
    <n v="5"/>
    <n v="1.6"/>
    <n v="4"/>
    <n v="2"/>
    <n v="12"/>
    <n v="0"/>
    <s v="Band B"/>
    <n v="41200"/>
    <n v="0.6"/>
    <n v="2"/>
    <n v="1.7"/>
    <n v="0"/>
    <n v="2.2999999999999998"/>
    <n v="2.5"/>
    <n v="3.6"/>
    <s v="Yes"/>
    <n v="0"/>
    <n v="1"/>
    <n v="4.3"/>
    <n v="0"/>
    <s v="Stayed"/>
    <m/>
    <n v="0"/>
    <n v="0"/>
    <s v="Promoted"/>
    <s v="5+ years"/>
    <s v="Low"/>
    <s v="2.8000000000000003"/>
    <s v="0.4166666666666667"/>
    <n v="0"/>
  </r>
  <r>
    <s v="EMP0238"/>
    <x v="0"/>
    <s v="Operations Associate"/>
    <n v="2.4"/>
    <s v="G2"/>
    <n v="30"/>
    <s v="Bachelor"/>
    <s v="Chennai"/>
    <n v="4"/>
    <n v="1.8"/>
    <n v="6"/>
    <n v="2"/>
    <n v="12"/>
    <n v="0"/>
    <s v="Band A"/>
    <n v="27600"/>
    <n v="9.4"/>
    <n v="3.3"/>
    <n v="3.2"/>
    <n v="0"/>
    <n v="2.5"/>
    <n v="5"/>
    <n v="3.3"/>
    <s v="Yes"/>
    <n v="0"/>
    <n v="0"/>
    <m/>
    <n v="1"/>
    <s v="Stayed"/>
    <m/>
    <n v="1"/>
    <n v="0"/>
    <s v="No Recorded Promotions"/>
    <s v="1â€“3 years"/>
    <s v="Low"/>
    <n v="3.6"/>
    <s v="0.3333333333333333"/>
    <n v="0"/>
  </r>
  <r>
    <s v="EMP0239"/>
    <x v="3"/>
    <s v="Senior Software Engineer"/>
    <n v="3.1"/>
    <s v="G2"/>
    <n v="28"/>
    <s v="Diploma"/>
    <s v="Remote"/>
    <n v="2"/>
    <n v="5"/>
    <n v="13"/>
    <n v="0"/>
    <n v="12"/>
    <n v="0"/>
    <s v="Band B"/>
    <n v="42300"/>
    <n v="15.1"/>
    <n v="3.9"/>
    <n v="0.2"/>
    <n v="0"/>
    <n v="3.2"/>
    <n v="3.1"/>
    <n v="3.9"/>
    <s v="No"/>
    <n v="0"/>
    <n v="0"/>
    <m/>
    <n v="0"/>
    <s v="Stayed"/>
    <m/>
    <n v="1"/>
    <n v="0"/>
    <s v="No Recorded Promotions"/>
    <s v="3â€“5 years"/>
    <s v="Low"/>
    <s v="3.4000000000000004"/>
    <s v="0.16666666666666666"/>
    <n v="0"/>
  </r>
  <r>
    <s v="EMP0240"/>
    <x v="3"/>
    <s v="Data Analyst"/>
    <n v="3"/>
    <s v="G2"/>
    <n v="28"/>
    <s v="Bachelor"/>
    <s v="Chennai"/>
    <n v="1"/>
    <n v="33.1"/>
    <n v="10"/>
    <n v="2"/>
    <n v="12"/>
    <n v="0"/>
    <s v="Band B"/>
    <n v="38300"/>
    <n v="10.1"/>
    <n v="4.0999999999999996"/>
    <n v="2.6"/>
    <n v="0"/>
    <n v="5"/>
    <n v="3.2"/>
    <n v="3.4"/>
    <s v="Yes"/>
    <n v="0"/>
    <n v="2"/>
    <m/>
    <n v="0"/>
    <s v="Stayed"/>
    <m/>
    <n v="1"/>
    <n v="0"/>
    <s v="Promoted"/>
    <s v="1â€“3 years"/>
    <s v="High"/>
    <s v="3.8666666666666667"/>
    <n v="8.3333333333333301E-2"/>
    <n v="0"/>
  </r>
  <r>
    <s v="EMP0241"/>
    <x v="2"/>
    <s v="Support Associate"/>
    <n v="2"/>
    <s v="G3"/>
    <n v="27"/>
    <s v="Master"/>
    <s v="Chennai"/>
    <n v="3"/>
    <n v="1.7"/>
    <n v="7"/>
    <n v="3"/>
    <n v="12"/>
    <n v="0"/>
    <s v="Band B"/>
    <n v="46200"/>
    <n v="11.8"/>
    <n v="4.3"/>
    <n v="0.4"/>
    <n v="0"/>
    <n v="2.7"/>
    <n v="2.6"/>
    <n v="3.6"/>
    <s v="No"/>
    <n v="0"/>
    <n v="1"/>
    <n v="1.5"/>
    <n v="0"/>
    <s v="Stayed"/>
    <m/>
    <n v="0"/>
    <n v="0"/>
    <s v="Promoted"/>
    <s v="1â€“3 years"/>
    <s v="Low"/>
    <s v="2.966666666666667"/>
    <n v="0.25"/>
    <n v="0"/>
  </r>
  <r>
    <s v="EMP0242"/>
    <x v="0"/>
    <s v="Team Lead"/>
    <n v="1.1000000000000001"/>
    <s v="G1"/>
    <n v="36"/>
    <s v="Master"/>
    <s v="Coimbatore"/>
    <n v="8"/>
    <n v="5.2"/>
    <n v="10"/>
    <n v="1"/>
    <n v="12"/>
    <n v="0"/>
    <s v="Band A"/>
    <n v="24600"/>
    <n v="8.1"/>
    <n v="3.5"/>
    <n v="0.4"/>
    <n v="0"/>
    <n v="1.7"/>
    <n v="2.2999999999999998"/>
    <n v="3.2"/>
    <s v="Yes"/>
    <n v="0"/>
    <n v="1"/>
    <n v="0.4"/>
    <n v="0"/>
    <s v="Stayed"/>
    <m/>
    <n v="0"/>
    <n v="0"/>
    <s v="Promoted"/>
    <s v="1â€“3 years"/>
    <s v="Low"/>
    <n v="2.4"/>
    <s v="0.6666666666666666"/>
    <n v="0"/>
  </r>
  <r>
    <s v="EMP0243"/>
    <x v="3"/>
    <s v="Senior Software Engineer"/>
    <n v="5.4"/>
    <s v="G4"/>
    <n v="22"/>
    <s v="Bachelor"/>
    <s v="Chennai"/>
    <n v="3"/>
    <n v="5.2"/>
    <n v="7"/>
    <n v="1"/>
    <n v="12"/>
    <n v="0"/>
    <s v="Band C"/>
    <n v="67500"/>
    <n v="8.4"/>
    <n v="3"/>
    <n v="3"/>
    <n v="0"/>
    <n v="2"/>
    <n v="3.1"/>
    <n v="3.1"/>
    <s v="Yes"/>
    <n v="0"/>
    <n v="0"/>
    <m/>
    <n v="0"/>
    <s v="Stayed"/>
    <m/>
    <n v="1"/>
    <n v="0"/>
    <s v="No Recorded Promotions"/>
    <s v="5+ years"/>
    <s v="Low"/>
    <s v="2.733333333333333"/>
    <n v="0.25"/>
    <n v="0"/>
  </r>
  <r>
    <s v="EMP0244"/>
    <x v="5"/>
    <s v="Accountant"/>
    <n v="7"/>
    <s v="G2"/>
    <n v="31"/>
    <s v="Master"/>
    <s v="Coimbatore"/>
    <n v="4"/>
    <n v="13.5"/>
    <n v="10"/>
    <n v="4"/>
    <n v="12"/>
    <n v="0"/>
    <s v="Band B"/>
    <n v="36300"/>
    <n v="13.6"/>
    <n v="3.2"/>
    <n v="0.6"/>
    <n v="0"/>
    <n v="4.0999999999999996"/>
    <n v="3.2"/>
    <n v="4.2"/>
    <s v="Yes"/>
    <n v="0"/>
    <n v="0"/>
    <m/>
    <n v="0"/>
    <s v="Stayed"/>
    <m/>
    <n v="1"/>
    <n v="0"/>
    <s v="No Recorded Promotions"/>
    <s v="5+ years"/>
    <s v="Moderate"/>
    <s v="3.8333333333333335"/>
    <s v="0.3333333333333333"/>
    <n v="0"/>
  </r>
  <r>
    <s v="EMP0245"/>
    <x v="0"/>
    <s v="Operations Manager"/>
    <n v="4.9000000000000004"/>
    <s v="G3"/>
    <n v="31"/>
    <s v="Master"/>
    <s v="Chennai"/>
    <n v="3"/>
    <n v="18.3"/>
    <n v="5"/>
    <n v="2"/>
    <n v="12"/>
    <n v="0"/>
    <s v="Band B"/>
    <n v="49100"/>
    <n v="5.3"/>
    <n v="2.1"/>
    <n v="0.4"/>
    <n v="0"/>
    <n v="2.1"/>
    <n v="3.1"/>
    <n v="1.8"/>
    <s v="Yes"/>
    <n v="0"/>
    <n v="0"/>
    <m/>
    <n v="0"/>
    <s v="Stayed"/>
    <m/>
    <n v="1"/>
    <n v="0"/>
    <s v="No Recorded Promotions"/>
    <s v="3â€“5 years"/>
    <s v="Moderate"/>
    <s v="2.3333333333333335"/>
    <n v="0.25"/>
    <n v="0"/>
  </r>
  <r>
    <s v="EMP0246"/>
    <x v="2"/>
    <s v="Support Team Lead"/>
    <n v="3.5"/>
    <s v="G3"/>
    <n v="26"/>
    <s v="Bachelor"/>
    <s v="Bengaluru"/>
    <n v="2"/>
    <n v="15.4"/>
    <n v="10"/>
    <n v="4"/>
    <n v="12"/>
    <n v="0"/>
    <s v="Band C"/>
    <n v="64000"/>
    <n v="4.9000000000000004"/>
    <n v="2.6"/>
    <n v="1.8"/>
    <n v="0"/>
    <n v="4.4000000000000004"/>
    <n v="4.7"/>
    <n v="3.8"/>
    <s v="Yes"/>
    <n v="0"/>
    <n v="0"/>
    <m/>
    <n v="0"/>
    <s v="Stayed"/>
    <m/>
    <n v="1"/>
    <n v="0"/>
    <s v="No Recorded Promotions"/>
    <s v="3â€“5 years"/>
    <s v="Moderate"/>
    <s v="4.300000000000001"/>
    <s v="0.16666666666666666"/>
    <n v="0"/>
  </r>
  <r>
    <s v="EMP0247"/>
    <x v="0"/>
    <s v="Team Lead"/>
    <n v="13.6"/>
    <s v="G3"/>
    <n v="43"/>
    <s v="Bachelor"/>
    <s v="Bengaluru"/>
    <n v="5"/>
    <n v="12.1"/>
    <n v="6"/>
    <n v="3"/>
    <n v="12"/>
    <n v="0"/>
    <s v="Band C"/>
    <n v="63800"/>
    <n v="6.1"/>
    <n v="3.2"/>
    <n v="0.5"/>
    <n v="0"/>
    <n v="3.4"/>
    <n v="3.1"/>
    <n v="3"/>
    <s v="Yes"/>
    <n v="0"/>
    <n v="1"/>
    <n v="5.6"/>
    <n v="1"/>
    <s v="Stayed"/>
    <m/>
    <n v="0"/>
    <n v="0"/>
    <s v="Promoted"/>
    <s v="5+ years"/>
    <s v="Moderate"/>
    <s v="3.1666666666666665"/>
    <s v="0.4166666666666667"/>
    <n v="0"/>
  </r>
  <r>
    <s v="EMP0248"/>
    <x v="4"/>
    <s v="Sales Executive"/>
    <n v="2.2000000000000002"/>
    <s v="G3"/>
    <n v="31"/>
    <s v="Bachelor"/>
    <s v="Bengaluru"/>
    <n v="0"/>
    <n v="2.2000000000000002"/>
    <n v="9"/>
    <n v="1"/>
    <n v="12"/>
    <n v="0"/>
    <s v="Band C"/>
    <n v="64900"/>
    <n v="8.1"/>
    <n v="3"/>
    <n v="0.4"/>
    <n v="0"/>
    <n v="3.3"/>
    <n v="3.1"/>
    <n v="1.9"/>
    <s v="Yes"/>
    <n v="0"/>
    <n v="0"/>
    <m/>
    <n v="1"/>
    <s v="Stayed"/>
    <m/>
    <n v="1"/>
    <n v="0"/>
    <s v="No Recorded Promotions"/>
    <s v="1â€“3 years"/>
    <s v="Low"/>
    <s v="2.766666666666667"/>
    <n v="0"/>
    <n v="0"/>
  </r>
  <r>
    <s v="EMP0249"/>
    <x v="4"/>
    <s v="Sales Executive"/>
    <n v="4.5"/>
    <s v="G5"/>
    <n v="30"/>
    <s v="Bachelor"/>
    <s v="Bengaluru"/>
    <n v="1"/>
    <n v="10.6"/>
    <n v="9"/>
    <n v="0"/>
    <n v="12"/>
    <n v="0"/>
    <s v="Band D"/>
    <n v="101200"/>
    <n v="1.6"/>
    <n v="3.3"/>
    <n v="0.2"/>
    <n v="0"/>
    <n v="3.6"/>
    <n v="3.9"/>
    <n v="2.6"/>
    <s v="Yes"/>
    <n v="0"/>
    <n v="1"/>
    <n v="2.8"/>
    <n v="2"/>
    <s v="Stayed"/>
    <m/>
    <n v="0"/>
    <n v="0"/>
    <s v="Promoted"/>
    <s v="3â€“5 years"/>
    <s v="Moderate"/>
    <s v="3.3666666666666667"/>
    <n v="8.3333333333333301E-2"/>
    <n v="0"/>
  </r>
  <r>
    <s v="EMP0250"/>
    <x v="1"/>
    <s v="Recruiter"/>
    <n v="7.7"/>
    <s v="G2"/>
    <n v="33"/>
    <s v="Diploma"/>
    <s v="Coimbatore"/>
    <n v="2"/>
    <n v="25.4"/>
    <n v="4"/>
    <n v="4"/>
    <n v="12"/>
    <n v="0"/>
    <s v="Band B"/>
    <n v="44100"/>
    <n v="10.9"/>
    <n v="2"/>
    <n v="0.8"/>
    <n v="0"/>
    <n v="2.6"/>
    <n v="3"/>
    <n v="3.4"/>
    <s v="Yes"/>
    <n v="0"/>
    <n v="1"/>
    <n v="2"/>
    <n v="0"/>
    <s v="Stayed"/>
    <m/>
    <n v="0"/>
    <n v="0"/>
    <s v="Promoted"/>
    <s v="5+ years"/>
    <s v="High"/>
    <n v="3"/>
    <s v="0.16666666666666666"/>
    <n v="0"/>
  </r>
  <r>
    <s v="EMP0251"/>
    <x v="0"/>
    <s v="Team Lead"/>
    <n v="1.4"/>
    <s v="G3"/>
    <n v="27"/>
    <s v="Bachelor"/>
    <s v="Chennai"/>
    <n v="5"/>
    <n v="31.5"/>
    <n v="3"/>
    <n v="2"/>
    <n v="12"/>
    <n v="0"/>
    <s v="Band B"/>
    <n v="46500"/>
    <n v="7.3"/>
    <n v="2.2000000000000002"/>
    <n v="2.2999999999999998"/>
    <n v="0"/>
    <n v="3.4"/>
    <n v="3.7"/>
    <n v="3.5"/>
    <s v="Yes"/>
    <n v="0"/>
    <n v="2"/>
    <n v="0.2"/>
    <n v="0"/>
    <s v="Stayed"/>
    <m/>
    <n v="0"/>
    <n v="0"/>
    <s v="Promoted"/>
    <s v="1â€“3 years"/>
    <s v="High"/>
    <s v="3.533333333333333"/>
    <s v="0.4166666666666667"/>
    <n v="0"/>
  </r>
  <r>
    <s v="EMP0252"/>
    <x v="2"/>
    <s v="Support Specialist"/>
    <n v="5.7"/>
    <s v="G3"/>
    <n v="31"/>
    <s v="Bachelor"/>
    <s v="Chennai"/>
    <n v="6"/>
    <n v="13.2"/>
    <n v="14"/>
    <n v="3"/>
    <n v="12"/>
    <n v="0"/>
    <s v="Band C"/>
    <n v="53800"/>
    <n v="11.4"/>
    <n v="3.9"/>
    <n v="2.6"/>
    <n v="0"/>
    <n v="2.2000000000000002"/>
    <n v="2"/>
    <n v="4"/>
    <s v="Yes"/>
    <n v="0"/>
    <n v="0"/>
    <m/>
    <n v="0"/>
    <s v="Stayed"/>
    <m/>
    <n v="1"/>
    <n v="0"/>
    <s v="No Recorded Promotions"/>
    <s v="5+ years"/>
    <s v="Moderate"/>
    <s v="2.733333333333333"/>
    <n v="0.5"/>
    <n v="0"/>
  </r>
  <r>
    <s v="EMP0253"/>
    <x v="1"/>
    <s v="HR Executive"/>
    <n v="11"/>
    <s v="G2"/>
    <n v="37"/>
    <s v="Bachelor"/>
    <s v="Coimbatore"/>
    <n v="6"/>
    <n v="1.6"/>
    <n v="9"/>
    <n v="4"/>
    <n v="12"/>
    <n v="0"/>
    <s v="Band B"/>
    <n v="42700"/>
    <n v="0"/>
    <n v="2.4"/>
    <n v="1"/>
    <n v="0"/>
    <n v="4.5"/>
    <n v="2.1"/>
    <n v="4"/>
    <s v="Yes"/>
    <n v="0"/>
    <n v="0"/>
    <m/>
    <n v="1"/>
    <s v="Stayed"/>
    <m/>
    <n v="1"/>
    <n v="0"/>
    <s v="No Recorded Promotions"/>
    <s v="5+ years"/>
    <s v="Low"/>
    <s v="3.533333333333333"/>
    <n v="0.5"/>
    <n v="0"/>
  </r>
  <r>
    <s v="EMP0254"/>
    <x v="4"/>
    <s v="Account Manager"/>
    <n v="3.7"/>
    <s v="G2"/>
    <n v="29"/>
    <s v="Bachelor"/>
    <s v="Chennai"/>
    <n v="2"/>
    <n v="13.4"/>
    <n v="8"/>
    <n v="0"/>
    <n v="12"/>
    <n v="0"/>
    <s v="Band B"/>
    <n v="41900"/>
    <n v="11.4"/>
    <n v="2.6"/>
    <n v="4.3"/>
    <n v="0"/>
    <n v="2.4"/>
    <n v="3.3"/>
    <n v="2.2000000000000002"/>
    <s v="Yes"/>
    <n v="0"/>
    <n v="0"/>
    <m/>
    <n v="0"/>
    <s v="Stayed"/>
    <m/>
    <n v="1"/>
    <n v="0"/>
    <s v="No Recorded Promotions"/>
    <s v="3â€“5 years"/>
    <s v="Moderate"/>
    <s v="2.6333333333333333"/>
    <s v="0.16666666666666666"/>
    <n v="0"/>
  </r>
  <r>
    <s v="EMP0255"/>
    <x v="3"/>
    <s v="Senior Software Engineer"/>
    <n v="4.2"/>
    <s v="G2"/>
    <n v="31"/>
    <s v="Bachelor"/>
    <s v="Chennai"/>
    <n v="6"/>
    <n v="8.6999999999999993"/>
    <n v="7"/>
    <n v="5"/>
    <n v="12"/>
    <n v="0"/>
    <s v="Band B"/>
    <n v="39000"/>
    <n v="13.3"/>
    <n v="3.3"/>
    <n v="1.9"/>
    <n v="0"/>
    <n v="3.3"/>
    <n v="3"/>
    <n v="3.7"/>
    <s v="Yes"/>
    <n v="1"/>
    <n v="2"/>
    <n v="1.2"/>
    <n v="0"/>
    <s v="Stayed"/>
    <m/>
    <n v="0"/>
    <n v="0"/>
    <s v="Promoted"/>
    <s v="3â€“5 years"/>
    <s v="Low"/>
    <s v="3.3333333333333335"/>
    <n v="0.5"/>
    <n v="0"/>
  </r>
  <r>
    <s v="EMP0256"/>
    <x v="0"/>
    <s v="Operations Manager"/>
    <n v="2.2000000000000002"/>
    <s v="G2"/>
    <n v="31"/>
    <s v="Master"/>
    <s v="Bengaluru"/>
    <n v="4"/>
    <n v="2"/>
    <n v="7"/>
    <n v="1"/>
    <n v="12"/>
    <n v="0"/>
    <s v="Band B"/>
    <n v="39700"/>
    <n v="9.8000000000000007"/>
    <n v="2.4"/>
    <n v="3.1"/>
    <n v="0"/>
    <n v="2.4"/>
    <n v="2.5"/>
    <n v="4"/>
    <s v="Yes"/>
    <n v="0"/>
    <n v="0"/>
    <m/>
    <n v="1"/>
    <s v="Stayed"/>
    <m/>
    <n v="1"/>
    <n v="0"/>
    <s v="No Recorded Promotions"/>
    <s v="1â€“3 years"/>
    <s v="Low"/>
    <s v="2.966666666666667"/>
    <s v="0.3333333333333333"/>
    <n v="0"/>
  </r>
  <r>
    <s v="EMP0257"/>
    <x v="0"/>
    <s v="Operations Manager"/>
    <n v="5.2"/>
    <s v="G2"/>
    <n v="26"/>
    <s v="Bachelor"/>
    <s v="Chennai"/>
    <n v="5"/>
    <n v="3.5"/>
    <n v="11"/>
    <n v="3"/>
    <n v="12"/>
    <n v="0"/>
    <s v="Band B"/>
    <n v="41300"/>
    <n v="8.1"/>
    <n v="4.2"/>
    <n v="0.7"/>
    <n v="0"/>
    <n v="2.8"/>
    <n v="3.3"/>
    <n v="3.6"/>
    <s v="Yes"/>
    <n v="0"/>
    <n v="1"/>
    <n v="3.3"/>
    <n v="0"/>
    <s v="Stayed"/>
    <m/>
    <n v="0"/>
    <n v="0"/>
    <s v="Promoted"/>
    <s v="5+ years"/>
    <s v="Low"/>
    <s v="3.233333333333333"/>
    <s v="0.4166666666666667"/>
    <n v="0"/>
  </r>
  <r>
    <s v="EMP0258"/>
    <x v="3"/>
    <s v="QA Engineer"/>
    <n v="2"/>
    <s v="G2"/>
    <n v="24"/>
    <s v="Bachelor"/>
    <s v="Chennai"/>
    <n v="4"/>
    <n v="4.2"/>
    <n v="11"/>
    <n v="2"/>
    <n v="12"/>
    <n v="0"/>
    <s v="Band B"/>
    <n v="36600"/>
    <n v="11.5"/>
    <n v="2.1"/>
    <n v="0.9"/>
    <n v="0"/>
    <n v="3"/>
    <n v="3.4"/>
    <n v="3.4"/>
    <s v="Yes"/>
    <n v="1"/>
    <n v="2"/>
    <n v="1.4"/>
    <n v="1"/>
    <s v="Stayed"/>
    <m/>
    <n v="0"/>
    <n v="0"/>
    <s v="Promoted"/>
    <s v="1â€“3 years"/>
    <s v="Low"/>
    <s v="3.266666666666667"/>
    <s v="0.3333333333333333"/>
    <n v="0"/>
  </r>
  <r>
    <s v="EMP0259"/>
    <x v="3"/>
    <s v="Software Engineer"/>
    <n v="3.5"/>
    <s v="G3"/>
    <n v="23"/>
    <s v="Bachelor"/>
    <s v="Bengaluru"/>
    <n v="2"/>
    <n v="16.5"/>
    <n v="7"/>
    <n v="0"/>
    <n v="12"/>
    <n v="0"/>
    <s v="Band C"/>
    <n v="50600"/>
    <n v="13.1"/>
    <n v="3.2"/>
    <n v="1"/>
    <n v="0"/>
    <n v="5"/>
    <n v="2.6"/>
    <n v="1.9"/>
    <s v="Yes"/>
    <n v="0"/>
    <n v="1"/>
    <n v="1.4"/>
    <n v="0"/>
    <s v="Stayed"/>
    <m/>
    <n v="0"/>
    <n v="0"/>
    <s v="Promoted"/>
    <s v="3â€“5 years"/>
    <s v="Moderate"/>
    <s v="3.1666666666666665"/>
    <s v="0.16666666666666666"/>
    <n v="0"/>
  </r>
  <r>
    <s v="EMP0260"/>
    <x v="5"/>
    <s v="Finance Manager"/>
    <n v="1"/>
    <s v="G1"/>
    <n v="30"/>
    <s v="Master"/>
    <s v="Coimbatore"/>
    <n v="0"/>
    <n v="30.5"/>
    <n v="10"/>
    <n v="3"/>
    <n v="12"/>
    <n v="0"/>
    <s v="Band A"/>
    <n v="25800"/>
    <n v="10.1"/>
    <n v="2.5"/>
    <n v="0.9"/>
    <n v="0"/>
    <n v="3.3"/>
    <n v="2.7"/>
    <n v="2.6"/>
    <s v="Yes"/>
    <n v="0"/>
    <n v="0"/>
    <m/>
    <n v="0"/>
    <s v="Stayed"/>
    <m/>
    <n v="1"/>
    <n v="0"/>
    <s v="No Recorded Promotions"/>
    <s v="0â€“1 years"/>
    <s v="High"/>
    <s v="2.8666666666666667"/>
    <n v="0"/>
    <n v="0"/>
  </r>
  <r>
    <s v="EMP0261"/>
    <x v="3"/>
    <s v="Software Engineer"/>
    <n v="0.2"/>
    <s v="G4"/>
    <n v="27"/>
    <s v="Master"/>
    <s v="Hyderabad"/>
    <n v="7"/>
    <n v="14.7"/>
    <n v="15"/>
    <n v="2"/>
    <n v="12"/>
    <n v="0"/>
    <s v="Band D"/>
    <n v="79100"/>
    <n v="10.4"/>
    <n v="3.3"/>
    <n v="0"/>
    <n v="0"/>
    <n v="2.6"/>
    <n v="3.3"/>
    <n v="4.5"/>
    <s v="No"/>
    <n v="1"/>
    <n v="0"/>
    <m/>
    <n v="1"/>
    <s v="Stayed"/>
    <m/>
    <n v="1"/>
    <n v="0"/>
    <s v="No Recorded Promotions"/>
    <s v="0â€“1 years"/>
    <s v="Moderate"/>
    <s v="3.466666666666667"/>
    <s v="0.5833333333333334"/>
    <n v="0"/>
  </r>
  <r>
    <s v="EMP0262"/>
    <x v="2"/>
    <s v="Support Team Lead"/>
    <n v="2.6"/>
    <s v="G2"/>
    <n v="31"/>
    <s v="Bachelor"/>
    <s v="Remote"/>
    <n v="0"/>
    <n v="16.899999999999999"/>
    <n v="7"/>
    <n v="1"/>
    <n v="12"/>
    <n v="0"/>
    <s v="Band B"/>
    <n v="37000"/>
    <n v="14.6"/>
    <n v="2.8"/>
    <n v="1.3"/>
    <n v="0"/>
    <n v="2.9"/>
    <n v="2.2999999999999998"/>
    <n v="3.2"/>
    <s v="Yes"/>
    <n v="0"/>
    <n v="1"/>
    <n v="1.2"/>
    <n v="1"/>
    <s v="Stayed"/>
    <m/>
    <n v="0"/>
    <n v="0"/>
    <s v="Promoted"/>
    <s v="1â€“3 years"/>
    <s v="Moderate"/>
    <s v="2.7999999999999994"/>
    <n v="0"/>
    <n v="0"/>
  </r>
  <r>
    <s v="EMP0263"/>
    <x v="4"/>
    <s v="Sales Executive"/>
    <n v="2.5"/>
    <s v="G3"/>
    <n v="23"/>
    <s v="Diploma"/>
    <s v="Remote"/>
    <n v="4"/>
    <n v="9.1999999999999993"/>
    <n v="11"/>
    <n v="2"/>
    <n v="12"/>
    <n v="0"/>
    <s v="Band C"/>
    <n v="54500"/>
    <n v="11"/>
    <n v="3.2"/>
    <n v="1.7"/>
    <n v="0"/>
    <n v="1.9"/>
    <n v="2.7"/>
    <n v="5"/>
    <s v="Yes"/>
    <n v="0"/>
    <n v="0"/>
    <m/>
    <n v="0"/>
    <s v="Stayed"/>
    <m/>
    <n v="1"/>
    <n v="0"/>
    <s v="No Recorded Promotions"/>
    <s v="1â€“3 years"/>
    <s v="Low"/>
    <s v="3.1999999999999997"/>
    <s v="0.3333333333333333"/>
    <n v="0"/>
  </r>
  <r>
    <s v="EMP0264"/>
    <x v="3"/>
    <s v="QA Engineer"/>
    <n v="2.8"/>
    <s v="G1"/>
    <n v="36"/>
    <s v="Bachelor"/>
    <s v="Coimbatore"/>
    <n v="5"/>
    <n v="5.9"/>
    <n v="3"/>
    <n v="1"/>
    <n v="12"/>
    <n v="0"/>
    <s v="Band A"/>
    <n v="27800"/>
    <n v="4.8"/>
    <n v="4.3"/>
    <n v="1.6"/>
    <n v="0"/>
    <n v="3.2"/>
    <n v="3.7"/>
    <n v="2.4"/>
    <s v="Yes"/>
    <n v="0"/>
    <n v="0"/>
    <m/>
    <n v="0"/>
    <s v="Stayed"/>
    <m/>
    <n v="1"/>
    <n v="0"/>
    <s v="No Recorded Promotions"/>
    <s v="1â€“3 years"/>
    <s v="Low"/>
    <n v="3.1"/>
    <s v="0.4166666666666667"/>
    <n v="0"/>
  </r>
  <r>
    <s v="EMP0265"/>
    <x v="2"/>
    <s v="Support Associate"/>
    <n v="6.1"/>
    <s v="G2"/>
    <n v="30"/>
    <s v="Bachelor"/>
    <s v="Chennai"/>
    <n v="6"/>
    <n v="15"/>
    <n v="10"/>
    <n v="0"/>
    <n v="12"/>
    <n v="0"/>
    <s v="Band B"/>
    <n v="45500"/>
    <n v="13.1"/>
    <n v="2.6"/>
    <n v="4.7"/>
    <n v="0"/>
    <n v="5"/>
    <n v="3.2"/>
    <n v="4.7"/>
    <s v="Yes"/>
    <n v="0"/>
    <n v="1"/>
    <n v="3.5"/>
    <n v="0"/>
    <s v="Stayed"/>
    <m/>
    <n v="0"/>
    <n v="0"/>
    <s v="Promoted"/>
    <s v="5+ years"/>
    <s v="Moderate"/>
    <n v="4.3"/>
    <n v="0.5"/>
    <n v="0"/>
  </r>
  <r>
    <s v="EMP0266"/>
    <x v="3"/>
    <s v="Software Engineer"/>
    <n v="7.2"/>
    <s v="G1"/>
    <n v="34"/>
    <s v="Master"/>
    <s v="Bengaluru"/>
    <n v="3"/>
    <n v="12.2"/>
    <n v="8"/>
    <n v="3"/>
    <n v="12"/>
    <n v="0"/>
    <s v="Band A"/>
    <n v="23000"/>
    <n v="7.5"/>
    <n v="2.6"/>
    <n v="5"/>
    <n v="0"/>
    <n v="3.6"/>
    <n v="2.8"/>
    <n v="2.9"/>
    <s v="Yes"/>
    <n v="0"/>
    <n v="0"/>
    <m/>
    <n v="0"/>
    <s v="Stayed"/>
    <m/>
    <n v="1"/>
    <n v="0"/>
    <s v="No Recorded Promotions"/>
    <s v="5+ years"/>
    <s v="Moderate"/>
    <n v="3.1"/>
    <n v="0.25"/>
    <n v="0"/>
  </r>
  <r>
    <s v="EMP0267"/>
    <x v="4"/>
    <s v="Sales Manager"/>
    <n v="4.5999999999999996"/>
    <s v="G3"/>
    <n v="34"/>
    <s v="Diploma"/>
    <s v="Bengaluru"/>
    <n v="6"/>
    <n v="4.5999999999999996"/>
    <n v="11"/>
    <n v="3"/>
    <n v="12"/>
    <n v="0"/>
    <s v="Band C"/>
    <n v="56000"/>
    <n v="8.1"/>
    <n v="2.9"/>
    <n v="0.1"/>
    <n v="0"/>
    <n v="4.0999999999999996"/>
    <n v="2.4"/>
    <n v="4.0999999999999996"/>
    <s v="Yes"/>
    <n v="0"/>
    <n v="0"/>
    <m/>
    <n v="0"/>
    <s v="Stayed"/>
    <m/>
    <n v="1"/>
    <n v="0"/>
    <s v="No Recorded Promotions"/>
    <s v="3â€“5 years"/>
    <s v="Low"/>
    <s v="3.533333333333333"/>
    <n v="0.5"/>
    <n v="0"/>
  </r>
  <r>
    <s v="EMP0268"/>
    <x v="3"/>
    <s v="QA Engineer"/>
    <n v="5.8"/>
    <s v="G2"/>
    <n v="28"/>
    <s v="Doctorate"/>
    <s v="Bengaluru"/>
    <n v="4"/>
    <n v="11.6"/>
    <n v="8"/>
    <n v="3"/>
    <n v="12"/>
    <n v="0"/>
    <s v="Band A"/>
    <n v="34100"/>
    <n v="8.4"/>
    <n v="4.5"/>
    <n v="3.7"/>
    <n v="0"/>
    <n v="2.5"/>
    <n v="2.2999999999999998"/>
    <n v="3.2"/>
    <s v="Yes"/>
    <n v="0"/>
    <n v="0"/>
    <m/>
    <n v="0"/>
    <s v="Stayed"/>
    <m/>
    <n v="1"/>
    <n v="0"/>
    <s v="No Recorded Promotions"/>
    <s v="5+ years"/>
    <s v="Moderate"/>
    <s v="2.6666666666666665"/>
    <s v="0.3333333333333333"/>
    <n v="0"/>
  </r>
  <r>
    <s v="EMP0269"/>
    <x v="3"/>
    <s v="Software Engineer"/>
    <n v="2"/>
    <s v="G5"/>
    <n v="26"/>
    <s v="Bachelor"/>
    <s v="Chennai"/>
    <n v="4"/>
    <n v="9.6999999999999993"/>
    <n v="13"/>
    <n v="2"/>
    <n v="12"/>
    <n v="0"/>
    <s v="Band D"/>
    <n v="99500"/>
    <n v="11.9"/>
    <n v="3.1"/>
    <n v="4.5"/>
    <n v="0"/>
    <n v="3.1"/>
    <n v="3.1"/>
    <n v="3.5"/>
    <s v="Yes"/>
    <n v="0"/>
    <n v="2"/>
    <n v="1.1000000000000001"/>
    <n v="0"/>
    <s v="Stayed"/>
    <m/>
    <n v="0"/>
    <n v="0"/>
    <s v="Promoted"/>
    <s v="1â€“3 years"/>
    <s v="Low"/>
    <s v="3.233333333333333"/>
    <s v="0.3333333333333333"/>
    <n v="0"/>
  </r>
  <r>
    <s v="EMP0270"/>
    <x v="3"/>
    <s v="Data Analyst"/>
    <n v="1.6"/>
    <s v="G2"/>
    <n v="28"/>
    <s v="Bachelor"/>
    <s v="Chennai"/>
    <n v="3"/>
    <n v="7.5"/>
    <n v="12"/>
    <n v="1"/>
    <n v="12"/>
    <n v="0"/>
    <s v="Band B"/>
    <n v="37300"/>
    <n v="15"/>
    <n v="4.3"/>
    <n v="0.1"/>
    <n v="0"/>
    <n v="3.5"/>
    <n v="5"/>
    <n v="3.9"/>
    <s v="Yes"/>
    <n v="0"/>
    <n v="2"/>
    <n v="0.1"/>
    <n v="0"/>
    <s v="Stayed"/>
    <m/>
    <n v="0"/>
    <n v="0"/>
    <s v="Promoted"/>
    <s v="1â€“3 years"/>
    <s v="Low"/>
    <s v="4.133333333333334"/>
    <n v="0.25"/>
    <n v="0"/>
  </r>
  <r>
    <s v="EMP0271"/>
    <x v="3"/>
    <s v="Senior Software Engineer"/>
    <n v="5.3"/>
    <s v="G3"/>
    <n v="43"/>
    <s v="Master"/>
    <s v="Chennai"/>
    <n v="5"/>
    <n v="5.7"/>
    <n v="11"/>
    <n v="1"/>
    <n v="12"/>
    <n v="0"/>
    <s v="Band B"/>
    <n v="44900"/>
    <n v="8.1"/>
    <n v="3"/>
    <n v="2.2000000000000002"/>
    <n v="0"/>
    <n v="2.6"/>
    <n v="3.7"/>
    <n v="2.9"/>
    <s v="Yes"/>
    <n v="0"/>
    <n v="1"/>
    <n v="2.4"/>
    <n v="0"/>
    <s v="Stayed"/>
    <m/>
    <n v="0"/>
    <n v="0"/>
    <s v="Promoted"/>
    <s v="5+ years"/>
    <s v="Low"/>
    <s v="3.066666666666667"/>
    <s v="0.4166666666666667"/>
    <n v="0"/>
  </r>
  <r>
    <s v="EMP0272"/>
    <x v="3"/>
    <s v="Senior Software Engineer"/>
    <n v="1.4"/>
    <s v="G2"/>
    <n v="29"/>
    <s v="Diploma"/>
    <s v="Chennai"/>
    <n v="2"/>
    <n v="13.2"/>
    <n v="4"/>
    <n v="0"/>
    <n v="12"/>
    <n v="0"/>
    <s v="Band B"/>
    <n v="39500"/>
    <n v="14.9"/>
    <n v="4.3"/>
    <n v="1.3"/>
    <n v="0"/>
    <n v="3.7"/>
    <n v="2"/>
    <n v="4"/>
    <s v="Yes"/>
    <n v="0"/>
    <n v="1"/>
    <n v="0.1"/>
    <n v="1"/>
    <s v="Stayed"/>
    <m/>
    <n v="0"/>
    <n v="0"/>
    <s v="Promoted"/>
    <s v="1â€“3 years"/>
    <s v="Moderate"/>
    <s v="3.233333333333333"/>
    <s v="0.16666666666666666"/>
    <n v="0"/>
  </r>
  <r>
    <s v="EMP0273"/>
    <x v="3"/>
    <s v="Senior Software Engineer"/>
    <n v="1.3"/>
    <s v="G3"/>
    <n v="34"/>
    <s v="Master"/>
    <s v="Chennai"/>
    <n v="4"/>
    <n v="6.1"/>
    <n v="12"/>
    <n v="2"/>
    <n v="12"/>
    <n v="0"/>
    <s v="Band C"/>
    <n v="53400"/>
    <n v="8.6999999999999993"/>
    <n v="3.6"/>
    <n v="4.3"/>
    <n v="0"/>
    <n v="3.9"/>
    <n v="3.8"/>
    <n v="3.2"/>
    <s v="No"/>
    <n v="0"/>
    <n v="1"/>
    <n v="0.5"/>
    <n v="1"/>
    <s v="Stayed"/>
    <m/>
    <n v="0"/>
    <n v="0"/>
    <s v="Promoted"/>
    <s v="1â€“3 years"/>
    <s v="Low"/>
    <s v="3.633333333333333"/>
    <s v="0.3333333333333333"/>
    <n v="0"/>
  </r>
  <r>
    <s v="EMP0274"/>
    <x v="5"/>
    <s v="Financial Analyst"/>
    <n v="18.2"/>
    <s v="G2"/>
    <n v="49"/>
    <s v="Diploma"/>
    <s v="Remote"/>
    <n v="5"/>
    <n v="39.1"/>
    <n v="7"/>
    <n v="1"/>
    <n v="12"/>
    <n v="0"/>
    <s v="Band B"/>
    <n v="45900"/>
    <n v="13.6"/>
    <n v="3.7"/>
    <n v="4.0999999999999996"/>
    <n v="0"/>
    <n v="3.8"/>
    <n v="2.5"/>
    <n v="3.5"/>
    <s v="Yes"/>
    <n v="0"/>
    <n v="0"/>
    <m/>
    <n v="1"/>
    <s v="Stayed"/>
    <m/>
    <n v="1"/>
    <n v="0"/>
    <s v="No Recorded Promotions"/>
    <s v="5+ years"/>
    <s v="High"/>
    <s v="3.266666666666667"/>
    <s v="0.4166666666666667"/>
    <n v="0"/>
  </r>
  <r>
    <s v="EMP0275"/>
    <x v="0"/>
    <s v="Operations Associate"/>
    <n v="3.9"/>
    <s v="G2"/>
    <n v="31"/>
    <s v="Master"/>
    <s v="Chennai"/>
    <n v="2"/>
    <n v="14.3"/>
    <n v="10"/>
    <n v="0"/>
    <n v="12"/>
    <n v="0"/>
    <s v="Band B"/>
    <n v="38600"/>
    <n v="8.8000000000000007"/>
    <n v="1.9"/>
    <n v="8"/>
    <n v="0"/>
    <n v="3.2"/>
    <n v="3.2"/>
    <n v="1.3"/>
    <s v="Yes"/>
    <n v="0"/>
    <n v="0"/>
    <m/>
    <n v="0"/>
    <s v="Stayed"/>
    <m/>
    <n v="1"/>
    <n v="0"/>
    <s v="No Recorded Promotions"/>
    <s v="3â€“5 years"/>
    <s v="Moderate"/>
    <s v="2.566666666666667"/>
    <s v="0.16666666666666666"/>
    <n v="0"/>
  </r>
  <r>
    <s v="EMP0276"/>
    <x v="4"/>
    <s v="Account Manager"/>
    <n v="2.5"/>
    <s v="G1"/>
    <n v="25"/>
    <s v="Bachelor"/>
    <s v="Bengaluru"/>
    <n v="3"/>
    <n v="13.4"/>
    <n v="14"/>
    <n v="0"/>
    <n v="12"/>
    <n v="0"/>
    <s v="Band A"/>
    <n v="28800"/>
    <n v="6"/>
    <n v="1.8"/>
    <n v="2.2999999999999998"/>
    <n v="0"/>
    <n v="4.3"/>
    <n v="2.7"/>
    <n v="3.1"/>
    <s v="Yes"/>
    <n v="0"/>
    <n v="0"/>
    <m/>
    <n v="0"/>
    <s v="Stayed"/>
    <m/>
    <n v="1"/>
    <n v="0"/>
    <s v="No Recorded Promotions"/>
    <s v="1â€“3 years"/>
    <s v="Moderate"/>
    <s v="3.3666666666666667"/>
    <n v="0.25"/>
    <n v="0"/>
  </r>
  <r>
    <s v="EMP0277"/>
    <x v="4"/>
    <s v="Sales Executive"/>
    <n v="2.2999999999999998"/>
    <s v="G1"/>
    <n v="33"/>
    <s v="Diploma"/>
    <s v="Remote"/>
    <n v="1"/>
    <n v="8.4"/>
    <n v="12"/>
    <n v="3"/>
    <n v="12"/>
    <n v="0"/>
    <s v="Band A"/>
    <n v="32100"/>
    <n v="15.7"/>
    <n v="4.2"/>
    <n v="1.9"/>
    <n v="0"/>
    <n v="3.1"/>
    <n v="5"/>
    <n v="4.4000000000000004"/>
    <s v="Yes"/>
    <n v="0"/>
    <n v="0"/>
    <m/>
    <n v="0"/>
    <s v="Stayed"/>
    <m/>
    <n v="1"/>
    <n v="0"/>
    <s v="No Recorded Promotions"/>
    <s v="1â€“3 years"/>
    <s v="Low"/>
    <s v="4.166666666666667"/>
    <n v="8.3333333333333301E-2"/>
    <n v="0"/>
  </r>
  <r>
    <s v="EMP0278"/>
    <x v="5"/>
    <s v="Accountant"/>
    <n v="1"/>
    <s v="G1"/>
    <n v="21"/>
    <s v="Master"/>
    <s v="Coimbatore"/>
    <n v="3"/>
    <n v="6.9"/>
    <n v="10"/>
    <n v="0"/>
    <n v="12"/>
    <n v="0"/>
    <s v="Band A"/>
    <n v="26900"/>
    <n v="5.6"/>
    <n v="4.2"/>
    <n v="0.5"/>
    <n v="0"/>
    <n v="3"/>
    <n v="2.2000000000000002"/>
    <n v="4"/>
    <s v="Yes"/>
    <n v="0"/>
    <n v="0"/>
    <m/>
    <n v="1"/>
    <s v="Stayed"/>
    <m/>
    <n v="1"/>
    <n v="0"/>
    <s v="No Recorded Promotions"/>
    <s v="0â€“1 years"/>
    <s v="Low"/>
    <s v="3.0666666666666664"/>
    <n v="0.25"/>
    <n v="0"/>
  </r>
  <r>
    <s v="EMP0279"/>
    <x v="2"/>
    <s v="Support Specialist"/>
    <n v="4.5"/>
    <s v="G5"/>
    <n v="37"/>
    <s v="Diploma"/>
    <s v="Coimbatore"/>
    <n v="3"/>
    <n v="1.2"/>
    <n v="8"/>
    <n v="1"/>
    <n v="12"/>
    <n v="0"/>
    <s v="Band E"/>
    <n v="110500"/>
    <n v="5.4"/>
    <n v="5"/>
    <n v="0.7"/>
    <n v="0"/>
    <n v="4.5999999999999996"/>
    <n v="3.5"/>
    <n v="4.0999999999999996"/>
    <s v="No"/>
    <n v="0"/>
    <n v="0"/>
    <m/>
    <n v="0"/>
    <s v="Stayed"/>
    <m/>
    <n v="1"/>
    <n v="0"/>
    <s v="No Recorded Promotions"/>
    <s v="3â€“5 years"/>
    <s v="Low"/>
    <s v="4.066666666666666"/>
    <n v="0.25"/>
    <n v="0"/>
  </r>
  <r>
    <s v="EMP0280"/>
    <x v="2"/>
    <s v="Support Team Lead"/>
    <n v="3"/>
    <s v="G2"/>
    <n v="30"/>
    <s v="Bachelor"/>
    <s v="Bengaluru"/>
    <n v="2"/>
    <n v="4.9000000000000004"/>
    <n v="11"/>
    <n v="2"/>
    <n v="12"/>
    <n v="0"/>
    <s v="Band B"/>
    <n v="38400"/>
    <n v="3"/>
    <n v="1.9"/>
    <n v="2"/>
    <n v="0"/>
    <n v="2.2999999999999998"/>
    <n v="2.6"/>
    <n v="3.4"/>
    <s v="No"/>
    <n v="0"/>
    <n v="0"/>
    <m/>
    <n v="0"/>
    <s v="Stayed"/>
    <m/>
    <n v="1"/>
    <n v="0"/>
    <s v="No Recorded Promotions"/>
    <s v="1â€“3 years"/>
    <s v="Low"/>
    <s v="2.766666666666667"/>
    <s v="0.16666666666666666"/>
    <n v="0"/>
  </r>
  <r>
    <s v="EMP0281"/>
    <x v="3"/>
    <s v="Data Analyst"/>
    <n v="7"/>
    <s v="G1"/>
    <n v="22"/>
    <s v="Master"/>
    <s v="Chennai"/>
    <n v="2"/>
    <n v="1.6"/>
    <n v="5"/>
    <n v="3"/>
    <n v="12"/>
    <n v="0"/>
    <s v="Band A"/>
    <n v="34800"/>
    <n v="13.1"/>
    <n v="3.6"/>
    <n v="0.7"/>
    <n v="0"/>
    <n v="1.8"/>
    <n v="3.9"/>
    <n v="4.7"/>
    <s v="Yes"/>
    <n v="0"/>
    <n v="2"/>
    <n v="0.2"/>
    <n v="0"/>
    <s v="Stayed"/>
    <m/>
    <n v="0"/>
    <n v="0"/>
    <s v="Promoted"/>
    <s v="5+ years"/>
    <s v="Low"/>
    <s v="3.466666666666667"/>
    <s v="0.16666666666666666"/>
    <n v="0"/>
  </r>
  <r>
    <s v="EMP0282"/>
    <x v="3"/>
    <s v="Senior Software Engineer"/>
    <n v="5.4"/>
    <s v="G5"/>
    <n v="30"/>
    <s v="Bachelor"/>
    <s v="Coimbatore"/>
    <n v="3"/>
    <n v="1.6"/>
    <n v="9"/>
    <n v="0"/>
    <n v="12"/>
    <n v="0"/>
    <s v="Band D"/>
    <n v="97000"/>
    <n v="14"/>
    <n v="2.2999999999999998"/>
    <n v="1.3"/>
    <n v="0"/>
    <n v="2.5"/>
    <n v="3.5"/>
    <n v="3.6"/>
    <s v="Yes"/>
    <n v="0"/>
    <n v="1"/>
    <n v="0.5"/>
    <n v="0"/>
    <s v="Stayed"/>
    <m/>
    <n v="0"/>
    <n v="0"/>
    <s v="Promoted"/>
    <s v="5+ years"/>
    <s v="Low"/>
    <s v="3.1999999999999997"/>
    <n v="0.25"/>
    <n v="0"/>
  </r>
  <r>
    <s v="EMP0283"/>
    <x v="3"/>
    <s v="Senior Software Engineer"/>
    <n v="2.9"/>
    <s v="G1"/>
    <n v="32"/>
    <s v="Master"/>
    <s v="Hyderabad"/>
    <n v="2"/>
    <n v="3"/>
    <n v="12"/>
    <n v="2"/>
    <n v="12"/>
    <n v="0"/>
    <s v="Band A"/>
    <n v="26100"/>
    <n v="9.5"/>
    <n v="2.5"/>
    <n v="0.2"/>
    <n v="0"/>
    <n v="3.6"/>
    <n v="4.3"/>
    <n v="3.4"/>
    <s v="Yes"/>
    <n v="1"/>
    <n v="0"/>
    <m/>
    <n v="0"/>
    <s v="Stayed"/>
    <m/>
    <n v="1"/>
    <n v="0"/>
    <s v="No Recorded Promotions"/>
    <s v="1â€“3 years"/>
    <s v="Low"/>
    <s v="3.766666666666667"/>
    <s v="0.16666666666666666"/>
    <n v="0"/>
  </r>
  <r>
    <s v="EMP0284"/>
    <x v="4"/>
    <s v="Sales Manager"/>
    <n v="0.5"/>
    <s v="G2"/>
    <n v="26"/>
    <s v="Bachelor"/>
    <s v="Bengaluru"/>
    <n v="5"/>
    <n v="23.5"/>
    <n v="6"/>
    <n v="2"/>
    <n v="12"/>
    <n v="0"/>
    <s v="Band A"/>
    <n v="33000"/>
    <n v="4.0999999999999996"/>
    <n v="2.7"/>
    <n v="1.4"/>
    <n v="0"/>
    <n v="4.5"/>
    <n v="3.8"/>
    <n v="4.0999999999999996"/>
    <s v="Yes"/>
    <n v="0"/>
    <n v="1"/>
    <n v="0.4"/>
    <n v="0"/>
    <s v="Stayed"/>
    <m/>
    <n v="0"/>
    <n v="0"/>
    <s v="Promoted"/>
    <s v="0â€“1 years"/>
    <s v="High"/>
    <s v="4.133333333333334"/>
    <s v="0.4166666666666667"/>
    <n v="0"/>
  </r>
  <r>
    <s v="EMP0285"/>
    <x v="5"/>
    <s v="Finance Manager"/>
    <n v="3.9"/>
    <s v="G3"/>
    <n v="33"/>
    <s v="Bachelor"/>
    <s v="Hyderabad"/>
    <n v="0"/>
    <n v="23.4"/>
    <n v="9"/>
    <n v="3"/>
    <n v="12"/>
    <n v="0"/>
    <s v="Band C"/>
    <n v="53300"/>
    <n v="8"/>
    <n v="3.5"/>
    <n v="0.1"/>
    <n v="0"/>
    <n v="2.7"/>
    <n v="2.6"/>
    <n v="4.0999999999999996"/>
    <s v="Yes"/>
    <n v="0"/>
    <n v="1"/>
    <n v="0.2"/>
    <n v="0"/>
    <s v="Stayed"/>
    <m/>
    <n v="0"/>
    <n v="0"/>
    <s v="Promoted"/>
    <s v="3â€“5 years"/>
    <s v="High"/>
    <s v="3.1333333333333333"/>
    <n v="0"/>
    <n v="0"/>
  </r>
  <r>
    <s v="EMP0286"/>
    <x v="4"/>
    <s v="Sales Manager"/>
    <n v="3.6"/>
    <s v="G4"/>
    <n v="26"/>
    <s v="Bachelor"/>
    <s v="Remote"/>
    <n v="3"/>
    <n v="5"/>
    <n v="7"/>
    <n v="3"/>
    <n v="12"/>
    <n v="0"/>
    <s v="Band C"/>
    <n v="64900"/>
    <n v="6.8"/>
    <n v="2.6"/>
    <n v="3"/>
    <n v="0"/>
    <n v="4.9000000000000004"/>
    <n v="5"/>
    <n v="3.9"/>
    <s v="Yes"/>
    <n v="0"/>
    <n v="0"/>
    <m/>
    <n v="0"/>
    <s v="Stayed"/>
    <m/>
    <n v="1"/>
    <n v="0"/>
    <s v="No Recorded Promotions"/>
    <s v="3â€“5 years"/>
    <s v="Low"/>
    <s v="4.6000000000000005"/>
    <n v="0.25"/>
    <n v="0"/>
  </r>
  <r>
    <s v="EMP0287"/>
    <x v="3"/>
    <s v="Data Analyst"/>
    <n v="0.4"/>
    <s v="G3"/>
    <n v="21"/>
    <s v="Bachelor"/>
    <s v="Coimbatore"/>
    <n v="2"/>
    <n v="2.2000000000000002"/>
    <n v="7"/>
    <n v="2"/>
    <n v="12"/>
    <n v="0"/>
    <s v="Band C"/>
    <n v="60800"/>
    <n v="3.9"/>
    <n v="3.2"/>
    <n v="1.4"/>
    <n v="0"/>
    <n v="3.3"/>
    <n v="3.7"/>
    <n v="3.1"/>
    <s v="Yes"/>
    <n v="0"/>
    <n v="0"/>
    <m/>
    <n v="0"/>
    <s v="Stayed"/>
    <m/>
    <n v="1"/>
    <n v="0"/>
    <s v="No Recorded Promotions"/>
    <s v="0â€“1 years"/>
    <s v="Low"/>
    <s v="3.3666666666666667"/>
    <s v="0.16666666666666666"/>
    <n v="0"/>
  </r>
  <r>
    <s v="EMP0288"/>
    <x v="4"/>
    <s v="Sales Manager"/>
    <n v="5"/>
    <s v="G2"/>
    <n v="31"/>
    <s v="Doctorate"/>
    <s v="Bengaluru"/>
    <n v="5"/>
    <n v="6.6"/>
    <n v="12"/>
    <n v="3"/>
    <n v="12"/>
    <n v="0"/>
    <s v="Band B"/>
    <n v="35600"/>
    <n v="6"/>
    <n v="3.9"/>
    <n v="0.6"/>
    <n v="0"/>
    <n v="3.2"/>
    <n v="3.3"/>
    <n v="3.6"/>
    <s v="Yes"/>
    <n v="1"/>
    <n v="0"/>
    <m/>
    <n v="1"/>
    <s v="Stayed"/>
    <m/>
    <n v="1"/>
    <n v="0"/>
    <s v="No Recorded Promotions"/>
    <s v="3â€“5 years"/>
    <s v="Low"/>
    <s v="3.3666666666666667"/>
    <s v="0.4166666666666667"/>
    <n v="0"/>
  </r>
  <r>
    <s v="EMP0289"/>
    <x v="5"/>
    <s v="Finance Manager"/>
    <n v="1.4"/>
    <s v="G5"/>
    <n v="28"/>
    <s v="Diploma"/>
    <s v="Bengaluru"/>
    <n v="2"/>
    <n v="16.399999999999999"/>
    <n v="6"/>
    <n v="5"/>
    <n v="12"/>
    <n v="0"/>
    <s v="Band D"/>
    <n v="87100"/>
    <n v="10"/>
    <n v="4.2"/>
    <n v="1.1000000000000001"/>
    <n v="0"/>
    <n v="2.5"/>
    <n v="3.4"/>
    <n v="4.5"/>
    <s v="Yes"/>
    <n v="0"/>
    <n v="1"/>
    <n v="0.3"/>
    <n v="0"/>
    <s v="Stayed"/>
    <m/>
    <n v="0"/>
    <n v="0"/>
    <s v="Promoted"/>
    <s v="1â€“3 years"/>
    <s v="Moderate"/>
    <s v="3.466666666666667"/>
    <s v="0.16666666666666666"/>
    <n v="0"/>
  </r>
  <r>
    <s v="EMP0290"/>
    <x v="3"/>
    <s v="Senior Software Engineer"/>
    <n v="7.3"/>
    <s v="G1"/>
    <n v="32"/>
    <s v="Bachelor"/>
    <s v="Bengaluru"/>
    <n v="4"/>
    <n v="20.100000000000001"/>
    <n v="6"/>
    <n v="2"/>
    <n v="12"/>
    <n v="0"/>
    <s v="Band A"/>
    <n v="32300"/>
    <n v="5.6"/>
    <n v="3.8"/>
    <n v="0.7"/>
    <n v="0"/>
    <n v="5"/>
    <n v="3.8"/>
    <n v="3.8"/>
    <s v="Yes"/>
    <n v="0"/>
    <n v="0"/>
    <m/>
    <n v="2"/>
    <s v="Stayed"/>
    <m/>
    <n v="1"/>
    <n v="0"/>
    <s v="No Recorded Promotions"/>
    <s v="5+ years"/>
    <s v="High"/>
    <n v="4.2"/>
    <s v="0.3333333333333333"/>
    <n v="0"/>
  </r>
  <r>
    <s v="EMP0291"/>
    <x v="2"/>
    <s v="Support Specialist"/>
    <n v="3.5"/>
    <s v="G5"/>
    <n v="34"/>
    <s v="Bachelor"/>
    <s v="Bengaluru"/>
    <n v="6"/>
    <n v="11.4"/>
    <n v="11"/>
    <n v="2"/>
    <n v="12"/>
    <n v="0"/>
    <s v="Band E"/>
    <n v="111000"/>
    <n v="9.1999999999999993"/>
    <n v="3.6"/>
    <n v="0.5"/>
    <n v="0"/>
    <n v="3.2"/>
    <n v="3.7"/>
    <n v="2.2000000000000002"/>
    <s v="Yes"/>
    <n v="0"/>
    <n v="0"/>
    <m/>
    <n v="0"/>
    <s v="Stayed"/>
    <m/>
    <n v="1"/>
    <n v="0"/>
    <s v="No Recorded Promotions"/>
    <s v="3â€“5 years"/>
    <s v="Moderate"/>
    <s v="3.0333333333333337"/>
    <n v="0.5"/>
    <n v="0"/>
  </r>
  <r>
    <s v="EMP0292"/>
    <x v="3"/>
    <s v="Senior Software Engineer"/>
    <n v="2.2999999999999998"/>
    <s v="G4"/>
    <n v="25"/>
    <s v="Bachelor"/>
    <s v="Bengaluru"/>
    <n v="3"/>
    <n v="13.1"/>
    <n v="5"/>
    <n v="1"/>
    <n v="12"/>
    <n v="0"/>
    <s v="Band D"/>
    <n v="76500"/>
    <n v="0.9"/>
    <n v="3.1"/>
    <n v="0.8"/>
    <n v="0"/>
    <n v="2.1"/>
    <n v="3.6"/>
    <n v="2.9"/>
    <s v="Yes"/>
    <n v="0"/>
    <n v="1"/>
    <n v="0.9"/>
    <n v="1"/>
    <s v="Stayed"/>
    <m/>
    <n v="0"/>
    <n v="0"/>
    <s v="Promoted"/>
    <s v="1â€“3 years"/>
    <s v="Moderate"/>
    <s v="2.8666666666666667"/>
    <n v="0.25"/>
    <n v="0"/>
  </r>
  <r>
    <s v="EMP0293"/>
    <x v="2"/>
    <s v="Support Associate"/>
    <n v="4.3"/>
    <s v="G5"/>
    <n v="32"/>
    <s v="Bachelor"/>
    <s v="Hyderabad"/>
    <n v="2"/>
    <n v="12.1"/>
    <n v="4"/>
    <n v="1"/>
    <n v="12"/>
    <n v="0"/>
    <s v="Band E"/>
    <n v="110800"/>
    <n v="14.7"/>
    <n v="2.7"/>
    <n v="0.8"/>
    <n v="0"/>
    <n v="5"/>
    <n v="4.0999999999999996"/>
    <n v="2.9"/>
    <s v="Yes"/>
    <n v="0"/>
    <n v="1"/>
    <n v="2.2000000000000002"/>
    <n v="1"/>
    <s v="Stayed"/>
    <m/>
    <n v="0"/>
    <n v="0"/>
    <s v="Promoted"/>
    <s v="3â€“5 years"/>
    <s v="Moderate"/>
    <n v="4"/>
    <s v="0.16666666666666666"/>
    <n v="0"/>
  </r>
  <r>
    <s v="EMP0294"/>
    <x v="3"/>
    <s v="QA Engineer"/>
    <n v="4.0999999999999996"/>
    <s v="G2"/>
    <n v="30"/>
    <s v="Master"/>
    <s v="Chennai"/>
    <n v="1"/>
    <n v="1.7"/>
    <n v="11"/>
    <n v="0"/>
    <n v="12"/>
    <n v="0"/>
    <s v="Band B"/>
    <n v="38800"/>
    <n v="6.4"/>
    <n v="3.7"/>
    <n v="1"/>
    <n v="0"/>
    <n v="3.7"/>
    <n v="4"/>
    <n v="3.4"/>
    <s v="Yes"/>
    <n v="1"/>
    <n v="1"/>
    <n v="3.3"/>
    <n v="0"/>
    <s v="Stayed"/>
    <m/>
    <n v="0"/>
    <n v="0"/>
    <s v="Promoted"/>
    <s v="3â€“5 years"/>
    <s v="Low"/>
    <s v="3.6999999999999997"/>
    <n v="8.3333333333333301E-2"/>
    <n v="0"/>
  </r>
  <r>
    <s v="EMP0295"/>
    <x v="2"/>
    <s v="Support Team Lead"/>
    <n v="4"/>
    <s v="G1"/>
    <n v="24"/>
    <s v="Master"/>
    <s v="Bengaluru"/>
    <n v="4"/>
    <n v="2.4"/>
    <n v="11"/>
    <n v="3"/>
    <n v="12"/>
    <n v="0"/>
    <s v="Band A"/>
    <n v="28600"/>
    <n v="11.5"/>
    <n v="2.2999999999999998"/>
    <n v="0"/>
    <n v="0"/>
    <n v="4"/>
    <n v="2.4"/>
    <n v="1.7"/>
    <s v="Yes"/>
    <n v="0"/>
    <n v="1"/>
    <n v="2.6"/>
    <n v="1"/>
    <s v="Stayed"/>
    <m/>
    <n v="0"/>
    <n v="0"/>
    <s v="Promoted"/>
    <s v="3â€“5 years"/>
    <s v="Low"/>
    <s v="2.6999999999999997"/>
    <s v="0.3333333333333333"/>
    <n v="0"/>
  </r>
  <r>
    <s v="EMP0296"/>
    <x v="2"/>
    <s v="Support Team Lead"/>
    <n v="6.7"/>
    <s v="G3"/>
    <n v="27"/>
    <s v="Master"/>
    <s v="Chennai"/>
    <n v="4"/>
    <n v="31.4"/>
    <n v="9"/>
    <n v="1"/>
    <n v="12"/>
    <n v="0"/>
    <s v="Band C"/>
    <n v="69100"/>
    <n v="8.8000000000000007"/>
    <n v="3.3"/>
    <n v="3.2"/>
    <n v="0"/>
    <n v="4.8"/>
    <n v="5"/>
    <n v="4.9000000000000004"/>
    <s v="Yes"/>
    <n v="0"/>
    <n v="0"/>
    <m/>
    <n v="1"/>
    <s v="Stayed"/>
    <m/>
    <n v="1"/>
    <n v="0"/>
    <s v="No Recorded Promotions"/>
    <s v="5+ years"/>
    <s v="High"/>
    <n v="4.9000000000000004"/>
    <s v="0.3333333333333333"/>
    <n v="0"/>
  </r>
  <r>
    <s v="EMP0297"/>
    <x v="2"/>
    <s v="Support Associate"/>
    <n v="4.5"/>
    <s v="G2"/>
    <n v="31"/>
    <s v="Bachelor"/>
    <s v="Bengaluru"/>
    <n v="4"/>
    <n v="11.4"/>
    <n v="12"/>
    <n v="4"/>
    <n v="12"/>
    <n v="0"/>
    <s v="Band B"/>
    <n v="47400"/>
    <n v="9.6"/>
    <n v="2.2000000000000002"/>
    <n v="3.2"/>
    <n v="0"/>
    <n v="3.9"/>
    <n v="5"/>
    <n v="2.7"/>
    <s v="Yes"/>
    <n v="0"/>
    <n v="3"/>
    <n v="0.4"/>
    <n v="0"/>
    <s v="Stayed"/>
    <m/>
    <n v="0"/>
    <n v="0"/>
    <s v="Promoted"/>
    <s v="3â€“5 years"/>
    <s v="Moderate"/>
    <s v="3.866666666666667"/>
    <s v="0.3333333333333333"/>
    <n v="0"/>
  </r>
  <r>
    <s v="EMP0298"/>
    <x v="0"/>
    <s v="Team Lead"/>
    <n v="2.1"/>
    <s v="G3"/>
    <n v="36"/>
    <s v="Bachelor"/>
    <s v="Bengaluru"/>
    <n v="4"/>
    <n v="0.8"/>
    <n v="12"/>
    <n v="6"/>
    <n v="12"/>
    <n v="0"/>
    <s v="Band C"/>
    <n v="56500"/>
    <n v="3.5"/>
    <n v="3.2"/>
    <n v="1.2"/>
    <n v="0"/>
    <n v="4.2"/>
    <n v="3.9"/>
    <n v="2.8"/>
    <s v="Yes"/>
    <n v="0"/>
    <n v="1"/>
    <n v="1.3"/>
    <n v="0"/>
    <s v="Left"/>
    <d v="2025-01-04T00:00:00"/>
    <n v="0"/>
    <n v="0"/>
    <s v="Promoted"/>
    <s v="1â€“3 years"/>
    <s v="Low"/>
    <s v="3.633333333333333"/>
    <s v="0.3333333333333333"/>
    <n v="1"/>
  </r>
  <r>
    <s v="EMP0299"/>
    <x v="0"/>
    <s v="Operations Associate"/>
    <n v="3"/>
    <s v="G5"/>
    <n v="31"/>
    <s v="Diploma"/>
    <s v="Hyderabad"/>
    <n v="1"/>
    <n v="13.7"/>
    <n v="6"/>
    <n v="2"/>
    <n v="12"/>
    <n v="0"/>
    <s v="Band D"/>
    <n v="109200"/>
    <n v="5"/>
    <n v="2.2999999999999998"/>
    <n v="5.0999999999999996"/>
    <n v="0"/>
    <n v="3.3"/>
    <n v="3.2"/>
    <n v="1.8"/>
    <s v="No"/>
    <n v="0"/>
    <n v="1"/>
    <n v="1.8"/>
    <n v="0"/>
    <s v="Stayed"/>
    <m/>
    <n v="0"/>
    <n v="0"/>
    <s v="Promoted"/>
    <s v="1â€“3 years"/>
    <s v="Moderate"/>
    <s v="2.766666666666667"/>
    <n v="8.3333333333333301E-2"/>
    <n v="0"/>
  </r>
  <r>
    <s v="EMP0300"/>
    <x v="0"/>
    <s v="Operations Manager"/>
    <n v="9"/>
    <s v="G3"/>
    <n v="28"/>
    <s v="Master"/>
    <s v="Coimbatore"/>
    <n v="5"/>
    <n v="4"/>
    <n v="10"/>
    <n v="3"/>
    <n v="12"/>
    <n v="0"/>
    <s v="Band C"/>
    <n v="63400"/>
    <n v="5"/>
    <n v="2.8"/>
    <n v="0.9"/>
    <n v="0"/>
    <n v="4"/>
    <n v="3.3"/>
    <n v="4.0999999999999996"/>
    <s v="Yes"/>
    <n v="0"/>
    <n v="0"/>
    <m/>
    <n v="0"/>
    <s v="Stayed"/>
    <m/>
    <n v="1"/>
    <n v="0"/>
    <s v="No Recorded Promotions"/>
    <s v="5+ years"/>
    <s v="Low"/>
    <s v="3.7999999999999994"/>
    <s v="0.4166666666666667"/>
    <n v="0"/>
  </r>
  <r>
    <s v="EMP0301"/>
    <x v="0"/>
    <s v="Operations Associate"/>
    <n v="1.9"/>
    <s v="G2"/>
    <n v="21"/>
    <s v="Bachelor"/>
    <s v="Coimbatore"/>
    <n v="1"/>
    <n v="21.3"/>
    <n v="7"/>
    <n v="1"/>
    <n v="12"/>
    <n v="0"/>
    <s v="Band A"/>
    <n v="32500"/>
    <n v="8.1"/>
    <n v="2.6"/>
    <n v="1.3"/>
    <n v="0"/>
    <n v="3.3"/>
    <n v="2.9"/>
    <n v="3.3"/>
    <s v="Yes"/>
    <n v="0"/>
    <n v="0"/>
    <m/>
    <n v="0"/>
    <s v="Stayed"/>
    <m/>
    <n v="1"/>
    <n v="0"/>
    <s v="No Recorded Promotions"/>
    <s v="1â€“3 years"/>
    <s v="High"/>
    <s v="3.1666666666666665"/>
    <n v="8.3333333333333301E-2"/>
    <n v="0"/>
  </r>
  <r>
    <s v="EMP0302"/>
    <x v="3"/>
    <s v="Software Engineer"/>
    <n v="4.9000000000000004"/>
    <s v="G2"/>
    <n v="34"/>
    <s v="Bachelor"/>
    <s v="Chennai"/>
    <n v="1"/>
    <n v="19.7"/>
    <n v="10"/>
    <n v="2"/>
    <n v="12"/>
    <n v="0"/>
    <s v="Band B"/>
    <n v="39500"/>
    <n v="13.3"/>
    <n v="2.5"/>
    <n v="1.9"/>
    <n v="0"/>
    <n v="3.3"/>
    <n v="3"/>
    <n v="3.1"/>
    <s v="Yes"/>
    <n v="0"/>
    <n v="1"/>
    <n v="3.5"/>
    <n v="0"/>
    <s v="Stayed"/>
    <m/>
    <n v="0"/>
    <n v="0"/>
    <s v="Promoted"/>
    <s v="3â€“5 years"/>
    <s v="Moderate"/>
    <s v="3.1333333333333333"/>
    <n v="8.3333333333333301E-2"/>
    <n v="0"/>
  </r>
  <r>
    <s v="EMP0303"/>
    <x v="5"/>
    <s v="Financial Analyst"/>
    <n v="6.8"/>
    <s v="G1"/>
    <n v="32"/>
    <s v="Bachelor"/>
    <s v="Chennai"/>
    <n v="3"/>
    <n v="15.7"/>
    <n v="13"/>
    <n v="2"/>
    <n v="12"/>
    <n v="0"/>
    <s v="Band B"/>
    <n v="35400"/>
    <n v="9.6999999999999993"/>
    <n v="3.1"/>
    <n v="1.3"/>
    <n v="0"/>
    <n v="3.4"/>
    <n v="1.2"/>
    <n v="3.4"/>
    <s v="Yes"/>
    <n v="1"/>
    <n v="0"/>
    <m/>
    <n v="1"/>
    <s v="Stayed"/>
    <m/>
    <n v="1"/>
    <n v="0"/>
    <s v="No Recorded Promotions"/>
    <s v="5+ years"/>
    <s v="Moderate"/>
    <s v="2.6666666666666665"/>
    <n v="0.25"/>
    <n v="0"/>
  </r>
  <r>
    <s v="EMP0304"/>
    <x v="5"/>
    <s v="Finance Manager"/>
    <n v="5.2"/>
    <s v="G1"/>
    <n v="36"/>
    <s v="Master"/>
    <s v="Chennai"/>
    <n v="1"/>
    <n v="11.3"/>
    <n v="13"/>
    <n v="1"/>
    <n v="12"/>
    <n v="0"/>
    <s v="Band A"/>
    <n v="31900"/>
    <n v="4.4000000000000004"/>
    <n v="1"/>
    <n v="0.6"/>
    <n v="0"/>
    <n v="2.9"/>
    <n v="4.5999999999999996"/>
    <n v="3.4"/>
    <s v="Yes"/>
    <n v="1"/>
    <n v="0"/>
    <m/>
    <n v="1"/>
    <s v="Stayed"/>
    <m/>
    <n v="1"/>
    <n v="0"/>
    <s v="No Recorded Promotions"/>
    <s v="5+ years"/>
    <s v="Moderate"/>
    <s v="3.6333333333333333"/>
    <n v="8.3333333333333301E-2"/>
    <n v="0"/>
  </r>
  <r>
    <s v="EMP0305"/>
    <x v="2"/>
    <s v="Support Team Lead"/>
    <n v="3.9"/>
    <s v="G1"/>
    <n v="26"/>
    <s v="Master"/>
    <s v="Remote"/>
    <n v="0"/>
    <n v="25.1"/>
    <n v="8"/>
    <n v="0"/>
    <n v="12"/>
    <n v="0"/>
    <s v="Band A"/>
    <n v="28600"/>
    <n v="8.3000000000000007"/>
    <n v="1.6"/>
    <n v="1.3"/>
    <n v="0"/>
    <n v="3.8"/>
    <n v="4.3"/>
    <n v="3"/>
    <s v="Yes"/>
    <n v="0"/>
    <n v="0"/>
    <m/>
    <n v="1"/>
    <s v="Stayed"/>
    <m/>
    <n v="1"/>
    <n v="0"/>
    <s v="No Recorded Promotions"/>
    <s v="3â€“5 years"/>
    <s v="High"/>
    <s v="3.6999999999999997"/>
    <n v="0"/>
    <n v="0"/>
  </r>
  <r>
    <s v="EMP0306"/>
    <x v="1"/>
    <s v="HR Executive"/>
    <n v="4.4000000000000004"/>
    <s v="G4"/>
    <n v="32"/>
    <s v="Master"/>
    <s v="Chennai"/>
    <n v="9"/>
    <n v="27"/>
    <n v="12"/>
    <n v="2"/>
    <n v="12"/>
    <n v="0"/>
    <s v="Band D"/>
    <n v="85600"/>
    <n v="7.7"/>
    <n v="3.9"/>
    <n v="0.2"/>
    <n v="0"/>
    <n v="3.8"/>
    <n v="1.7"/>
    <n v="1.8"/>
    <s v="Yes"/>
    <n v="0"/>
    <n v="0"/>
    <m/>
    <n v="0"/>
    <s v="Stayed"/>
    <m/>
    <n v="1"/>
    <n v="0"/>
    <s v="No Recorded Promotions"/>
    <s v="3â€“5 years"/>
    <s v="High"/>
    <s v="2.433333333333333"/>
    <n v="0.75"/>
    <n v="0"/>
  </r>
  <r>
    <s v="EMP0307"/>
    <x v="4"/>
    <s v="Sales Executive"/>
    <n v="5.5"/>
    <s v="G3"/>
    <n v="35"/>
    <s v="Diploma"/>
    <s v="Remote"/>
    <n v="1"/>
    <n v="4.0999999999999996"/>
    <n v="6"/>
    <n v="1"/>
    <n v="12"/>
    <n v="0"/>
    <s v="Band C"/>
    <n v="57200"/>
    <n v="6.6"/>
    <n v="3.3"/>
    <n v="0.5"/>
    <n v="0"/>
    <n v="4"/>
    <n v="3.3"/>
    <n v="2.4"/>
    <s v="Yes"/>
    <n v="1"/>
    <n v="1"/>
    <n v="0.9"/>
    <n v="0"/>
    <s v="Stayed"/>
    <m/>
    <n v="0"/>
    <n v="0"/>
    <s v="Promoted"/>
    <s v="5+ years"/>
    <s v="Low"/>
    <s v="3.233333333333333"/>
    <n v="8.3333333333333301E-2"/>
    <n v="0"/>
  </r>
  <r>
    <s v="EMP0308"/>
    <x v="0"/>
    <s v="Operations Associate"/>
    <n v="1.9"/>
    <s v="G3"/>
    <n v="26"/>
    <s v="Doctorate"/>
    <s v="Chennai"/>
    <n v="4"/>
    <n v="15.6"/>
    <n v="12"/>
    <n v="2"/>
    <n v="12"/>
    <n v="0"/>
    <s v="Band C"/>
    <n v="56700"/>
    <n v="7.9"/>
    <n v="2.5"/>
    <n v="2.7"/>
    <n v="0"/>
    <n v="3.9"/>
    <n v="3.2"/>
    <n v="2.2999999999999998"/>
    <s v="Yes"/>
    <n v="0"/>
    <n v="0"/>
    <m/>
    <n v="1"/>
    <s v="Stayed"/>
    <m/>
    <n v="1"/>
    <n v="0"/>
    <s v="No Recorded Promotions"/>
    <s v="1â€“3 years"/>
    <s v="Moderate"/>
    <s v="3.133333333333333"/>
    <s v="0.3333333333333333"/>
    <n v="0"/>
  </r>
  <r>
    <s v="EMP0309"/>
    <x v="4"/>
    <s v="Sales Executive"/>
    <n v="3.7"/>
    <s v="G2"/>
    <n v="28"/>
    <s v="Bachelor"/>
    <s v="Bengaluru"/>
    <n v="4"/>
    <n v="5.8"/>
    <n v="14"/>
    <n v="2"/>
    <n v="12"/>
    <n v="0"/>
    <s v="Band B"/>
    <n v="40700"/>
    <n v="11.1"/>
    <n v="4.0999999999999996"/>
    <n v="7.5"/>
    <n v="0"/>
    <n v="5"/>
    <n v="3"/>
    <n v="3.6"/>
    <s v="Yes"/>
    <n v="0"/>
    <n v="0"/>
    <m/>
    <n v="1"/>
    <s v="Stayed"/>
    <m/>
    <n v="1"/>
    <n v="0"/>
    <s v="No Recorded Promotions"/>
    <s v="3â€“5 years"/>
    <s v="Low"/>
    <s v="3.8666666666666667"/>
    <s v="0.3333333333333333"/>
    <n v="0"/>
  </r>
  <r>
    <s v="EMP0310"/>
    <x v="3"/>
    <s v="QA Engineer"/>
    <n v="13.6"/>
    <s v="G3"/>
    <n v="40"/>
    <s v="Bachelor"/>
    <s v="Bengaluru"/>
    <n v="4"/>
    <n v="3.5"/>
    <n v="9"/>
    <n v="4"/>
    <n v="12"/>
    <n v="0"/>
    <s v="Band C"/>
    <n v="65000"/>
    <n v="5.0999999999999996"/>
    <n v="2.6"/>
    <n v="0.6"/>
    <n v="0"/>
    <n v="4.2"/>
    <n v="3.6"/>
    <n v="4.0999999999999996"/>
    <s v="Yes"/>
    <n v="0"/>
    <n v="0"/>
    <m/>
    <n v="0"/>
    <s v="Stayed"/>
    <m/>
    <n v="1"/>
    <n v="0"/>
    <s v="No Recorded Promotions"/>
    <s v="5+ years"/>
    <s v="Low"/>
    <s v="3.966666666666667"/>
    <s v="0.3333333333333333"/>
    <n v="0"/>
  </r>
  <r>
    <s v="EMP0311"/>
    <x v="1"/>
    <s v="HR Executive"/>
    <n v="5"/>
    <s v="G4"/>
    <n v="33"/>
    <s v="Bachelor"/>
    <s v="Bengaluru"/>
    <n v="3"/>
    <n v="27"/>
    <n v="12"/>
    <n v="3"/>
    <n v="12"/>
    <n v="0"/>
    <s v="Band D"/>
    <n v="78500"/>
    <n v="6.6"/>
    <n v="2.7"/>
    <n v="1"/>
    <n v="0"/>
    <n v="3.1"/>
    <n v="1.6"/>
    <n v="4.5999999999999996"/>
    <s v="Yes"/>
    <n v="0"/>
    <n v="1"/>
    <n v="4.5"/>
    <n v="1"/>
    <s v="Stayed"/>
    <m/>
    <n v="0"/>
    <n v="0"/>
    <s v="Promoted"/>
    <s v="3â€“5 years"/>
    <s v="High"/>
    <n v="3.1"/>
    <n v="0.25"/>
    <n v="0"/>
  </r>
  <r>
    <s v="EMP0312"/>
    <x v="4"/>
    <s v="Sales Executive"/>
    <n v="4"/>
    <s v="G4"/>
    <n v="30"/>
    <s v="Bachelor"/>
    <s v="Bengaluru"/>
    <n v="9"/>
    <n v="17.5"/>
    <n v="7"/>
    <n v="2"/>
    <n v="12"/>
    <n v="0"/>
    <s v="Band D"/>
    <n v="83300"/>
    <n v="11.9"/>
    <n v="2.5"/>
    <n v="1"/>
    <n v="0"/>
    <n v="3.7"/>
    <n v="3.2"/>
    <n v="2.1"/>
    <s v="Yes"/>
    <n v="0"/>
    <n v="1"/>
    <n v="3.6"/>
    <n v="2"/>
    <s v="Stayed"/>
    <m/>
    <n v="0"/>
    <n v="0"/>
    <s v="Promoted"/>
    <s v="3â€“5 years"/>
    <s v="Moderate"/>
    <n v="3"/>
    <n v="0.75"/>
    <n v="0"/>
  </r>
  <r>
    <s v="EMP0313"/>
    <x v="3"/>
    <s v="QA Engineer"/>
    <n v="2.8"/>
    <s v="G3"/>
    <n v="33"/>
    <s v="Bachelor"/>
    <s v="Bengaluru"/>
    <n v="3"/>
    <n v="12"/>
    <n v="9"/>
    <n v="2"/>
    <n v="12"/>
    <n v="0"/>
    <s v="Band C"/>
    <n v="61700"/>
    <n v="9.9"/>
    <n v="4.9000000000000004"/>
    <n v="1.5"/>
    <n v="0"/>
    <n v="4.5999999999999996"/>
    <n v="3.3"/>
    <n v="3.9"/>
    <s v="Yes"/>
    <n v="0"/>
    <n v="0"/>
    <m/>
    <n v="1"/>
    <s v="Stayed"/>
    <m/>
    <n v="1"/>
    <n v="0"/>
    <s v="No Recorded Promotions"/>
    <s v="1â€“3 years"/>
    <s v="Moderate"/>
    <s v="3.933333333333333"/>
    <n v="0.25"/>
    <n v="0"/>
  </r>
  <r>
    <s v="EMP0314"/>
    <x v="4"/>
    <s v="Sales Executive"/>
    <n v="1.9"/>
    <s v="G4"/>
    <n v="26"/>
    <s v="Bachelor"/>
    <s v="Remote"/>
    <n v="7"/>
    <n v="4.5"/>
    <n v="9"/>
    <n v="4"/>
    <n v="12"/>
    <n v="0"/>
    <s v="Band C"/>
    <n v="66200"/>
    <n v="13.1"/>
    <n v="3.4"/>
    <n v="3"/>
    <n v="0"/>
    <n v="2.4"/>
    <n v="3.3"/>
    <n v="2.9"/>
    <s v="Yes"/>
    <n v="1"/>
    <n v="0"/>
    <m/>
    <n v="0"/>
    <s v="Stayed"/>
    <m/>
    <n v="1"/>
    <n v="0"/>
    <s v="No Recorded Promotions"/>
    <s v="1â€“3 years"/>
    <s v="Low"/>
    <s v="2.8666666666666667"/>
    <s v="0.5833333333333334"/>
    <n v="0"/>
  </r>
  <r>
    <s v="EMP0315"/>
    <x v="4"/>
    <s v="Sales Executive"/>
    <n v="4.5"/>
    <s v="G2"/>
    <n v="25"/>
    <s v="Bachelor"/>
    <s v="Bengaluru"/>
    <n v="4"/>
    <n v="27.5"/>
    <n v="9"/>
    <n v="3"/>
    <n v="12"/>
    <n v="0"/>
    <s v="Band B"/>
    <n v="41100"/>
    <n v="13.7"/>
    <n v="3.4"/>
    <n v="1.4"/>
    <n v="0"/>
    <n v="5"/>
    <n v="2"/>
    <n v="5"/>
    <s v="Yes"/>
    <n v="0"/>
    <n v="1"/>
    <n v="1.2"/>
    <n v="0"/>
    <s v="Stayed"/>
    <m/>
    <n v="0"/>
    <n v="0"/>
    <s v="Promoted"/>
    <s v="3â€“5 years"/>
    <s v="High"/>
    <n v="4"/>
    <s v="0.3333333333333333"/>
    <n v="0"/>
  </r>
  <r>
    <s v="EMP0316"/>
    <x v="4"/>
    <s v="Sales Executive"/>
    <n v="4.7"/>
    <s v="G2"/>
    <n v="39"/>
    <s v="Bachelor"/>
    <s v="Chennai"/>
    <n v="7"/>
    <n v="4"/>
    <n v="7"/>
    <n v="3"/>
    <n v="12"/>
    <n v="0"/>
    <s v="Band B"/>
    <n v="45600"/>
    <n v="2.6"/>
    <n v="3.6"/>
    <n v="0.3"/>
    <n v="0"/>
    <n v="3.3"/>
    <n v="3.6"/>
    <n v="4.5"/>
    <s v="Yes"/>
    <n v="1"/>
    <n v="1"/>
    <n v="2.2000000000000002"/>
    <n v="1"/>
    <s v="Left"/>
    <d v="2025-01-28T00:00:00"/>
    <n v="0"/>
    <n v="0"/>
    <s v="Promoted"/>
    <s v="3â€“5 years"/>
    <s v="Low"/>
    <s v="3.8000000000000003"/>
    <s v="0.5833333333333334"/>
    <n v="1"/>
  </r>
  <r>
    <s v="EMP0317"/>
    <x v="4"/>
    <s v="Sales Executive"/>
    <n v="3.5"/>
    <s v="G4"/>
    <n v="27"/>
    <s v="Master"/>
    <s v="Chennai"/>
    <n v="3"/>
    <n v="3.1"/>
    <n v="7"/>
    <n v="0"/>
    <n v="12"/>
    <n v="0"/>
    <s v="Band C"/>
    <n v="70400"/>
    <n v="9.1999999999999993"/>
    <n v="1.5"/>
    <n v="0.7"/>
    <n v="0"/>
    <n v="4.0999999999999996"/>
    <n v="4.2"/>
    <n v="4.8"/>
    <s v="Yes"/>
    <n v="0"/>
    <n v="0"/>
    <m/>
    <n v="0"/>
    <s v="Stayed"/>
    <m/>
    <n v="1"/>
    <n v="0"/>
    <s v="No Recorded Promotions"/>
    <s v="3â€“5 years"/>
    <s v="Low"/>
    <s v="4.366666666666667"/>
    <n v="0.25"/>
    <n v="0"/>
  </r>
  <r>
    <s v="EMP0318"/>
    <x v="0"/>
    <s v="Team Lead"/>
    <n v="17.100000000000001"/>
    <s v="G2"/>
    <n v="41"/>
    <s v="Master"/>
    <s v="Bengaluru"/>
    <n v="3"/>
    <n v="9.6999999999999993"/>
    <n v="9"/>
    <n v="2"/>
    <n v="12"/>
    <n v="0"/>
    <s v="Band B"/>
    <n v="39300"/>
    <n v="6"/>
    <n v="2.7"/>
    <n v="1.7"/>
    <n v="0"/>
    <n v="3.3"/>
    <n v="3.6"/>
    <n v="4"/>
    <s v="No"/>
    <n v="0"/>
    <n v="0"/>
    <m/>
    <n v="0"/>
    <s v="Stayed"/>
    <m/>
    <n v="1"/>
    <n v="0"/>
    <s v="No Recorded Promotions"/>
    <s v="5+ years"/>
    <s v="Low"/>
    <s v="3.6333333333333333"/>
    <n v="0.25"/>
    <n v="0"/>
  </r>
  <r>
    <s v="EMP0319"/>
    <x v="4"/>
    <s v="Sales Manager"/>
    <n v="2.1"/>
    <s v="G2"/>
    <n v="28"/>
    <s v="Bachelor"/>
    <s v="Coimbatore"/>
    <n v="1"/>
    <n v="16.399999999999999"/>
    <n v="12"/>
    <n v="0"/>
    <n v="12"/>
    <n v="0"/>
    <s v="Band A"/>
    <n v="33900"/>
    <n v="3.2"/>
    <n v="3.6"/>
    <n v="0.9"/>
    <n v="0"/>
    <n v="3.3"/>
    <n v="3"/>
    <n v="3.7"/>
    <s v="Yes"/>
    <n v="0"/>
    <n v="0"/>
    <m/>
    <n v="0"/>
    <s v="Stayed"/>
    <m/>
    <n v="1"/>
    <n v="0"/>
    <s v="No Recorded Promotions"/>
    <s v="1â€“3 years"/>
    <s v="Moderate"/>
    <s v="3.3333333333333335"/>
    <n v="8.3333333333333301E-2"/>
    <n v="0"/>
  </r>
  <r>
    <s v="EMP0320"/>
    <x v="2"/>
    <s v="Support Team Lead"/>
    <n v="1.7"/>
    <s v="G2"/>
    <n v="28"/>
    <s v="Bachelor"/>
    <s v="Coimbatore"/>
    <n v="2"/>
    <n v="7.2"/>
    <n v="2"/>
    <n v="6"/>
    <n v="12"/>
    <n v="0"/>
    <s v="Band A"/>
    <n v="34200"/>
    <n v="4.8"/>
    <n v="3.2"/>
    <n v="0.9"/>
    <n v="0"/>
    <n v="2.1"/>
    <n v="5"/>
    <n v="3.1"/>
    <s v="Yes"/>
    <n v="0"/>
    <n v="0"/>
    <m/>
    <n v="0"/>
    <s v="Stayed"/>
    <m/>
    <n v="1"/>
    <n v="0"/>
    <s v="No Recorded Promotions"/>
    <s v="1â€“3 years"/>
    <s v="Low"/>
    <n v="3.4"/>
    <s v="0.16666666666666666"/>
    <n v="0"/>
  </r>
  <r>
    <s v="EMP0321"/>
    <x v="2"/>
    <s v="Support Associate"/>
    <n v="2.8"/>
    <s v="G2"/>
    <n v="27"/>
    <s v="Master"/>
    <s v="Bengaluru"/>
    <n v="6"/>
    <n v="11.1"/>
    <n v="11"/>
    <n v="2"/>
    <n v="12"/>
    <n v="0"/>
    <s v="Band B"/>
    <n v="36300"/>
    <n v="6.8"/>
    <n v="5"/>
    <n v="0.9"/>
    <n v="0"/>
    <n v="4.0999999999999996"/>
    <n v="2.4"/>
    <n v="2.9"/>
    <s v="Yes"/>
    <n v="0"/>
    <n v="0"/>
    <m/>
    <n v="1"/>
    <s v="Stayed"/>
    <m/>
    <n v="1"/>
    <n v="0"/>
    <s v="No Recorded Promotions"/>
    <s v="1â€“3 years"/>
    <s v="Moderate"/>
    <s v="3.1333333333333333"/>
    <n v="0.5"/>
    <n v="0"/>
  </r>
  <r>
    <s v="EMP0322"/>
    <x v="1"/>
    <s v="HR Executive"/>
    <n v="3.6"/>
    <s v="G3"/>
    <n v="30"/>
    <s v="Diploma"/>
    <s v="Coimbatore"/>
    <n v="7"/>
    <n v="5.8"/>
    <n v="15"/>
    <n v="2"/>
    <n v="12"/>
    <n v="0"/>
    <s v="Band B"/>
    <n v="48500"/>
    <n v="6.8"/>
    <n v="2.7"/>
    <n v="3.3"/>
    <n v="0"/>
    <n v="2.1"/>
    <n v="3.9"/>
    <n v="2.8"/>
    <s v="Yes"/>
    <n v="0"/>
    <n v="1"/>
    <n v="2.4"/>
    <n v="0"/>
    <s v="Stayed"/>
    <m/>
    <n v="0"/>
    <n v="0"/>
    <s v="Promoted"/>
    <s v="3â€“5 years"/>
    <s v="Low"/>
    <s v="2.9333333333333336"/>
    <s v="0.5833333333333334"/>
    <n v="0"/>
  </r>
  <r>
    <s v="EMP0323"/>
    <x v="4"/>
    <s v="Account Manager"/>
    <n v="1.9"/>
    <s v="G3"/>
    <n v="28"/>
    <s v="Bachelor"/>
    <s v="Hyderabad"/>
    <n v="5"/>
    <n v="6.4"/>
    <n v="10"/>
    <n v="2"/>
    <n v="12"/>
    <n v="0"/>
    <s v="Band C"/>
    <n v="58400"/>
    <n v="5.6"/>
    <n v="4"/>
    <n v="0.3"/>
    <n v="0"/>
    <n v="2"/>
    <n v="3.4"/>
    <n v="3.9"/>
    <s v="Yes"/>
    <n v="0"/>
    <n v="1"/>
    <n v="0.9"/>
    <n v="0"/>
    <s v="Stayed"/>
    <m/>
    <n v="0"/>
    <n v="0"/>
    <s v="Promoted"/>
    <s v="1â€“3 years"/>
    <s v="Low"/>
    <n v="3.1"/>
    <s v="0.4166666666666667"/>
    <n v="0"/>
  </r>
  <r>
    <s v="EMP0324"/>
    <x v="5"/>
    <s v="Financial Analyst"/>
    <n v="4.4000000000000004"/>
    <s v="G2"/>
    <n v="31"/>
    <s v="Diploma"/>
    <s v="Bengaluru"/>
    <n v="5"/>
    <n v="33.9"/>
    <n v="9"/>
    <n v="3"/>
    <n v="12"/>
    <n v="0"/>
    <s v="Band B"/>
    <n v="38100"/>
    <n v="7.9"/>
    <n v="3.9"/>
    <n v="2.4"/>
    <n v="0"/>
    <n v="4.3"/>
    <n v="5"/>
    <n v="4.5999999999999996"/>
    <s v="Yes"/>
    <n v="0"/>
    <n v="0"/>
    <m/>
    <n v="1"/>
    <s v="Stayed"/>
    <m/>
    <n v="1"/>
    <n v="0"/>
    <s v="No Recorded Promotions"/>
    <s v="3â€“5 years"/>
    <s v="High"/>
    <s v="4.633333333333334"/>
    <s v="0.4166666666666667"/>
    <n v="0"/>
  </r>
  <r>
    <s v="EMP0325"/>
    <x v="2"/>
    <s v="Support Team Lead"/>
    <n v="4.7"/>
    <s v="G1"/>
    <n v="21"/>
    <s v="Bachelor"/>
    <s v="Bengaluru"/>
    <n v="4"/>
    <n v="9"/>
    <n v="11"/>
    <n v="3"/>
    <n v="12"/>
    <n v="0"/>
    <s v="Band A"/>
    <n v="33500"/>
    <n v="17.8"/>
    <n v="3.3"/>
    <n v="0.7"/>
    <n v="0"/>
    <n v="4.9000000000000004"/>
    <n v="3.5"/>
    <n v="3.1"/>
    <s v="Yes"/>
    <n v="0"/>
    <n v="1"/>
    <n v="1.1000000000000001"/>
    <n v="0"/>
    <s v="Stayed"/>
    <m/>
    <n v="0"/>
    <n v="0"/>
    <s v="Promoted"/>
    <s v="3â€“5 years"/>
    <s v="Low"/>
    <s v="3.8333333333333335"/>
    <s v="0.3333333333333333"/>
    <n v="0"/>
  </r>
  <r>
    <s v="EMP0326"/>
    <x v="0"/>
    <s v="Operations Manager"/>
    <n v="5.9"/>
    <s v="G4"/>
    <n v="39"/>
    <s v="Bachelor"/>
    <s v="Bengaluru"/>
    <n v="5"/>
    <n v="26.3"/>
    <n v="6"/>
    <n v="1"/>
    <n v="12"/>
    <n v="0"/>
    <s v="Band C"/>
    <n v="64000"/>
    <n v="1.1000000000000001"/>
    <n v="3.5"/>
    <n v="1.4"/>
    <n v="0"/>
    <n v="2.7"/>
    <n v="3.7"/>
    <n v="2.8"/>
    <s v="Yes"/>
    <n v="0"/>
    <n v="1"/>
    <n v="0.3"/>
    <n v="0"/>
    <s v="Stayed"/>
    <m/>
    <n v="0"/>
    <n v="0"/>
    <s v="Promoted"/>
    <s v="5+ years"/>
    <s v="High"/>
    <s v="3.0666666666666664"/>
    <s v="0.4166666666666667"/>
    <n v="0"/>
  </r>
  <r>
    <s v="EMP0327"/>
    <x v="0"/>
    <s v="Team Lead"/>
    <n v="2.5"/>
    <s v="G2"/>
    <n v="28"/>
    <s v="Bachelor"/>
    <s v="Hyderabad"/>
    <n v="1"/>
    <n v="1.5"/>
    <n v="9"/>
    <n v="1"/>
    <n v="12"/>
    <n v="0"/>
    <s v="Band B"/>
    <n v="36700"/>
    <n v="12.5"/>
    <n v="2.9"/>
    <n v="2.1"/>
    <n v="0"/>
    <n v="4.2"/>
    <n v="3.7"/>
    <n v="2.2000000000000002"/>
    <s v="Yes"/>
    <n v="0"/>
    <n v="0"/>
    <m/>
    <n v="0"/>
    <s v="Stayed"/>
    <m/>
    <n v="1"/>
    <n v="0"/>
    <s v="No Recorded Promotions"/>
    <s v="1â€“3 years"/>
    <s v="Low"/>
    <s v="3.366666666666667"/>
    <n v="8.3333333333333301E-2"/>
    <n v="0"/>
  </r>
  <r>
    <s v="EMP0328"/>
    <x v="5"/>
    <s v="Accountant"/>
    <n v="8.5"/>
    <s v="G5"/>
    <n v="37"/>
    <s v="Bachelor"/>
    <s v="Bengaluru"/>
    <n v="4"/>
    <n v="21.6"/>
    <n v="10"/>
    <n v="4"/>
    <n v="12"/>
    <n v="0"/>
    <s v="Band D"/>
    <n v="105600"/>
    <n v="7.9"/>
    <n v="1.4"/>
    <n v="1.1000000000000001"/>
    <n v="0"/>
    <n v="4"/>
    <n v="2.2000000000000002"/>
    <n v="3.4"/>
    <s v="Yes"/>
    <n v="1"/>
    <n v="0"/>
    <m/>
    <n v="0"/>
    <s v="Stayed"/>
    <m/>
    <n v="1"/>
    <n v="0"/>
    <s v="No Recorded Promotions"/>
    <s v="5+ years"/>
    <s v="High"/>
    <s v="3.1999999999999997"/>
    <s v="0.3333333333333333"/>
    <n v="0"/>
  </r>
  <r>
    <s v="EMP0329"/>
    <x v="0"/>
    <s v="Operations Associate"/>
    <n v="5.6"/>
    <s v="G1"/>
    <n v="26"/>
    <s v="Bachelor"/>
    <s v="Remote"/>
    <n v="7"/>
    <n v="4.7"/>
    <n v="5"/>
    <n v="3"/>
    <n v="12"/>
    <n v="0"/>
    <s v="Band A"/>
    <n v="32400"/>
    <n v="6.2"/>
    <n v="3.5"/>
    <n v="2.8"/>
    <n v="0"/>
    <n v="3.2"/>
    <n v="2.4"/>
    <n v="4.4000000000000004"/>
    <s v="Yes"/>
    <n v="0"/>
    <n v="1"/>
    <n v="0.2"/>
    <n v="1"/>
    <s v="Left"/>
    <d v="2025-12-30T00:00:00"/>
    <n v="0"/>
    <n v="0"/>
    <s v="Promoted"/>
    <s v="5+ years"/>
    <s v="Low"/>
    <s v="3.3333333333333335"/>
    <s v="0.5833333333333334"/>
    <n v="1"/>
  </r>
  <r>
    <s v="EMP0330"/>
    <x v="4"/>
    <s v="Sales Executive"/>
    <n v="2.1"/>
    <s v="G3"/>
    <n v="26"/>
    <s v="Bachelor"/>
    <s v="Chennai"/>
    <n v="4"/>
    <n v="17.8"/>
    <n v="6"/>
    <n v="1"/>
    <n v="12"/>
    <n v="0"/>
    <s v="Band C"/>
    <n v="59200"/>
    <n v="0"/>
    <n v="3.6"/>
    <n v="4.3"/>
    <n v="0"/>
    <n v="4.5"/>
    <n v="3"/>
    <n v="4.4000000000000004"/>
    <s v="Yes"/>
    <n v="0"/>
    <n v="0"/>
    <m/>
    <n v="0"/>
    <s v="Stayed"/>
    <m/>
    <n v="1"/>
    <n v="0"/>
    <s v="No Recorded Promotions"/>
    <s v="1â€“3 years"/>
    <s v="Moderate"/>
    <s v="3.966666666666667"/>
    <s v="0.3333333333333333"/>
    <n v="0"/>
  </r>
  <r>
    <s v="EMP0331"/>
    <x v="0"/>
    <s v="Operations Associate"/>
    <n v="1.9"/>
    <s v="G3"/>
    <n v="25"/>
    <s v="Diploma"/>
    <s v="Bengaluru"/>
    <n v="4"/>
    <n v="4.7"/>
    <n v="7"/>
    <n v="1"/>
    <n v="12"/>
    <n v="0"/>
    <s v="Band B"/>
    <n v="48600"/>
    <n v="11.1"/>
    <n v="3.7"/>
    <n v="4.9000000000000004"/>
    <n v="0"/>
    <n v="3.2"/>
    <n v="4.0999999999999996"/>
    <n v="4.5"/>
    <s v="Yes"/>
    <n v="0"/>
    <n v="0"/>
    <m/>
    <n v="0"/>
    <s v="Stayed"/>
    <m/>
    <n v="1"/>
    <n v="0"/>
    <s v="No Recorded Promotions"/>
    <s v="1â€“3 years"/>
    <s v="Low"/>
    <s v="3.9333333333333336"/>
    <s v="0.3333333333333333"/>
    <n v="0"/>
  </r>
  <r>
    <s v="EMP0332"/>
    <x v="3"/>
    <s v="Data Analyst"/>
    <n v="3"/>
    <s v="G4"/>
    <n v="35"/>
    <s v="Bachelor"/>
    <s v="Bengaluru"/>
    <n v="1"/>
    <n v="6.8"/>
    <n v="7"/>
    <n v="3"/>
    <n v="12"/>
    <n v="0"/>
    <s v="Band D"/>
    <n v="79500"/>
    <n v="2.2000000000000002"/>
    <n v="3.3"/>
    <n v="1.8"/>
    <n v="0"/>
    <n v="3.8"/>
    <n v="3.4"/>
    <n v="3.7"/>
    <s v="Yes"/>
    <n v="0"/>
    <n v="0"/>
    <m/>
    <n v="0"/>
    <s v="Stayed"/>
    <m/>
    <n v="1"/>
    <n v="0"/>
    <s v="No Recorded Promotions"/>
    <s v="1â€“3 years"/>
    <s v="Low"/>
    <s v="3.633333333333333"/>
    <n v="8.3333333333333301E-2"/>
    <n v="0"/>
  </r>
  <r>
    <s v="EMP0333"/>
    <x v="0"/>
    <s v="Operations Associate"/>
    <n v="4.7"/>
    <s v="G1"/>
    <n v="28"/>
    <s v="Bachelor"/>
    <s v="Coimbatore"/>
    <n v="4"/>
    <n v="3.4"/>
    <n v="7"/>
    <n v="2"/>
    <n v="12"/>
    <n v="0"/>
    <s v="Band A"/>
    <n v="23300"/>
    <n v="11.3"/>
    <n v="4.0999999999999996"/>
    <n v="0.7"/>
    <n v="0"/>
    <n v="3.3"/>
    <n v="3"/>
    <n v="3.5"/>
    <s v="Yes"/>
    <n v="1"/>
    <n v="1"/>
    <n v="3.9"/>
    <n v="0"/>
    <s v="Stayed"/>
    <m/>
    <n v="0"/>
    <n v="0"/>
    <s v="Promoted"/>
    <s v="3â€“5 years"/>
    <s v="Low"/>
    <s v="3.266666666666667"/>
    <s v="0.3333333333333333"/>
    <n v="0"/>
  </r>
  <r>
    <s v="EMP0334"/>
    <x v="2"/>
    <s v="Support Team Lead"/>
    <n v="5.2"/>
    <s v="G4"/>
    <n v="34"/>
    <s v="Bachelor"/>
    <s v="Chennai"/>
    <n v="2"/>
    <n v="18.100000000000001"/>
    <n v="7"/>
    <n v="3"/>
    <n v="12"/>
    <n v="0"/>
    <s v="Band D"/>
    <n v="81000"/>
    <n v="15"/>
    <n v="2.4"/>
    <n v="0.2"/>
    <n v="0"/>
    <n v="2.2000000000000002"/>
    <n v="4.4000000000000004"/>
    <n v="3.4"/>
    <s v="Yes"/>
    <n v="1"/>
    <n v="3"/>
    <n v="2.5"/>
    <n v="0"/>
    <s v="Stayed"/>
    <m/>
    <n v="0"/>
    <n v="0"/>
    <s v="Promoted"/>
    <s v="5+ years"/>
    <s v="Moderate"/>
    <s v="3.3333333333333335"/>
    <s v="0.16666666666666666"/>
    <n v="0"/>
  </r>
  <r>
    <s v="EMP0335"/>
    <x v="3"/>
    <s v="QA Engineer"/>
    <n v="5.6"/>
    <s v="G3"/>
    <n v="29"/>
    <s v="Diploma"/>
    <s v="Coimbatore"/>
    <n v="3"/>
    <n v="20.2"/>
    <n v="12"/>
    <n v="1"/>
    <n v="12"/>
    <n v="0"/>
    <s v="Band B"/>
    <n v="46000"/>
    <n v="2.9"/>
    <n v="4.5"/>
    <n v="0.4"/>
    <n v="0"/>
    <n v="4.4000000000000004"/>
    <n v="1.4"/>
    <n v="2.5"/>
    <s v="Yes"/>
    <n v="0"/>
    <n v="0"/>
    <m/>
    <n v="1"/>
    <s v="Stayed"/>
    <m/>
    <n v="1"/>
    <n v="0"/>
    <s v="No Recorded Promotions"/>
    <s v="5+ years"/>
    <s v="High"/>
    <s v="2.766666666666667"/>
    <n v="0.25"/>
    <n v="0"/>
  </r>
  <r>
    <s v="EMP0336"/>
    <x v="0"/>
    <s v="Team Lead"/>
    <n v="13"/>
    <s v="G3"/>
    <n v="37"/>
    <s v="Bachelor"/>
    <s v="Coimbatore"/>
    <n v="3"/>
    <n v="4.9000000000000004"/>
    <n v="4"/>
    <n v="3"/>
    <n v="12"/>
    <n v="0"/>
    <s v="Band C"/>
    <n v="63800"/>
    <n v="12.7"/>
    <n v="2.2999999999999998"/>
    <n v="3.9"/>
    <n v="0"/>
    <n v="3.8"/>
    <n v="2"/>
    <n v="3"/>
    <s v="Yes"/>
    <n v="0"/>
    <n v="2"/>
    <n v="6.7"/>
    <n v="0"/>
    <s v="Stayed"/>
    <m/>
    <n v="0"/>
    <n v="0"/>
    <s v="Promoted"/>
    <s v="5+ years"/>
    <s v="Low"/>
    <s v="2.9333333333333336"/>
    <n v="0.25"/>
    <n v="0"/>
  </r>
  <r>
    <s v="EMP0337"/>
    <x v="3"/>
    <s v="Senior Software Engineer"/>
    <n v="0.7"/>
    <s v="G2"/>
    <n v="26"/>
    <s v="Bachelor"/>
    <s v="Remote"/>
    <n v="3"/>
    <n v="2"/>
    <n v="9"/>
    <n v="5"/>
    <n v="12"/>
    <n v="0"/>
    <s v="Band B"/>
    <n v="43100"/>
    <n v="8.1"/>
    <n v="3.1"/>
    <n v="1.8"/>
    <n v="0"/>
    <n v="3.2"/>
    <n v="1"/>
    <n v="3.4"/>
    <s v="No"/>
    <n v="1"/>
    <n v="1"/>
    <n v="0.2"/>
    <n v="0"/>
    <s v="Stayed"/>
    <m/>
    <n v="0"/>
    <n v="0"/>
    <s v="Promoted"/>
    <s v="0â€“1 years"/>
    <s v="Low"/>
    <s v="2.533333333333333"/>
    <n v="0.25"/>
    <n v="0"/>
  </r>
  <r>
    <s v="EMP0338"/>
    <x v="0"/>
    <s v="Operations Manager"/>
    <n v="3.4"/>
    <s v="G1"/>
    <n v="35"/>
    <s v="Diploma"/>
    <s v="Chennai"/>
    <n v="4"/>
    <n v="26"/>
    <n v="10"/>
    <n v="0"/>
    <n v="12"/>
    <n v="0"/>
    <s v="Band A"/>
    <n v="31600"/>
    <n v="0"/>
    <n v="3.8"/>
    <n v="1.1000000000000001"/>
    <n v="0"/>
    <n v="5"/>
    <n v="4.3"/>
    <n v="2.5"/>
    <s v="Yes"/>
    <n v="0"/>
    <n v="3"/>
    <n v="1.5"/>
    <n v="0"/>
    <s v="Stayed"/>
    <m/>
    <n v="0"/>
    <n v="0"/>
    <s v="Promoted"/>
    <s v="3â€“5 years"/>
    <s v="High"/>
    <s v="3.9333333333333336"/>
    <s v="0.3333333333333333"/>
    <n v="0"/>
  </r>
  <r>
    <s v="EMP0339"/>
    <x v="3"/>
    <s v="Software Engineer"/>
    <n v="12.4"/>
    <s v="G2"/>
    <n v="31"/>
    <s v="Bachelor"/>
    <s v="Chennai"/>
    <n v="4"/>
    <n v="5.5"/>
    <n v="13"/>
    <n v="1"/>
    <n v="12"/>
    <n v="0"/>
    <s v="Band B"/>
    <n v="35300"/>
    <n v="3.2"/>
    <n v="2.7"/>
    <n v="0.2"/>
    <n v="0"/>
    <n v="5"/>
    <n v="3.1"/>
    <n v="3.4"/>
    <s v="Yes"/>
    <n v="0"/>
    <n v="0"/>
    <m/>
    <n v="0"/>
    <s v="Stayed"/>
    <m/>
    <n v="1"/>
    <n v="0"/>
    <s v="No Recorded Promotions"/>
    <s v="5+ years"/>
    <s v="Low"/>
    <s v="3.8333333333333335"/>
    <s v="0.3333333333333333"/>
    <n v="0"/>
  </r>
  <r>
    <s v="EMP0340"/>
    <x v="2"/>
    <s v="Support Associate"/>
    <n v="6.1"/>
    <s v="G2"/>
    <n v="27"/>
    <s v="Bachelor"/>
    <s v="Bengaluru"/>
    <n v="2"/>
    <n v="8.6"/>
    <n v="9"/>
    <n v="1"/>
    <n v="12"/>
    <n v="0"/>
    <s v="Band B"/>
    <n v="38200"/>
    <n v="8.6999999999999993"/>
    <n v="3.9"/>
    <n v="0.9"/>
    <n v="0"/>
    <n v="3.7"/>
    <n v="4.0999999999999996"/>
    <n v="3.9"/>
    <s v="No"/>
    <n v="0"/>
    <n v="1"/>
    <n v="2.2000000000000002"/>
    <n v="0"/>
    <s v="Stayed"/>
    <m/>
    <n v="0"/>
    <n v="0"/>
    <s v="Promoted"/>
    <s v="5+ years"/>
    <s v="Low"/>
    <n v="3.9"/>
    <s v="0.16666666666666666"/>
    <n v="0"/>
  </r>
  <r>
    <s v="EMP0341"/>
    <x v="3"/>
    <s v="Senior Software Engineer"/>
    <n v="1.6"/>
    <s v="G2"/>
    <n v="21"/>
    <s v="Bachelor"/>
    <s v="Coimbatore"/>
    <n v="6"/>
    <n v="4.0999999999999996"/>
    <n v="11"/>
    <n v="0"/>
    <n v="12"/>
    <n v="0"/>
    <s v="Band B"/>
    <n v="41300"/>
    <n v="9.6"/>
    <n v="2.9"/>
    <n v="3.8"/>
    <n v="0"/>
    <n v="2"/>
    <n v="3.1"/>
    <n v="3.5"/>
    <s v="Yes"/>
    <n v="0"/>
    <n v="1"/>
    <n v="0.3"/>
    <n v="1"/>
    <s v="Stayed"/>
    <m/>
    <n v="0"/>
    <n v="0"/>
    <s v="Promoted"/>
    <s v="1â€“3 years"/>
    <s v="Low"/>
    <s v="2.8666666666666667"/>
    <n v="0.5"/>
    <n v="0"/>
  </r>
  <r>
    <s v="EMP0342"/>
    <x v="2"/>
    <s v="Support Specialist"/>
    <n v="4.2"/>
    <s v="G3"/>
    <n v="26"/>
    <s v="Master"/>
    <s v="Chennai"/>
    <n v="2"/>
    <n v="16.8"/>
    <n v="9"/>
    <n v="2"/>
    <n v="12"/>
    <n v="0"/>
    <s v="Band C"/>
    <n v="58200"/>
    <n v="1.7"/>
    <n v="3.3"/>
    <n v="1.4"/>
    <n v="0"/>
    <n v="3.2"/>
    <n v="3.3"/>
    <n v="4.3"/>
    <s v="Yes"/>
    <n v="1"/>
    <n v="1"/>
    <n v="0.5"/>
    <n v="0"/>
    <s v="Stayed"/>
    <m/>
    <n v="0"/>
    <n v="0"/>
    <s v="Promoted"/>
    <s v="3â€“5 years"/>
    <s v="Moderate"/>
    <n v="3.6"/>
    <s v="0.16666666666666666"/>
    <n v="0"/>
  </r>
  <r>
    <s v="EMP0343"/>
    <x v="0"/>
    <s v="Team Lead"/>
    <n v="3.3"/>
    <s v="G2"/>
    <n v="26"/>
    <s v="Bachelor"/>
    <s v="Bengaluru"/>
    <n v="1"/>
    <n v="17.100000000000001"/>
    <n v="8"/>
    <n v="2"/>
    <n v="12"/>
    <n v="0"/>
    <s v="Band B"/>
    <n v="40000"/>
    <n v="8.1"/>
    <n v="3"/>
    <n v="1"/>
    <n v="0"/>
    <n v="2.6"/>
    <n v="3.1"/>
    <n v="4.5999999999999996"/>
    <s v="Yes"/>
    <n v="0"/>
    <n v="2"/>
    <n v="2.9"/>
    <n v="1"/>
    <s v="Stayed"/>
    <m/>
    <n v="0"/>
    <n v="0"/>
    <s v="Promoted"/>
    <s v="3â€“5 years"/>
    <s v="Moderate"/>
    <s v="3.4333333333333336"/>
    <n v="8.3333333333333301E-2"/>
    <n v="0"/>
  </r>
  <r>
    <s v="EMP0344"/>
    <x v="5"/>
    <s v="Finance Manager"/>
    <n v="3.2"/>
    <s v="G1"/>
    <n v="23"/>
    <s v="Master"/>
    <s v="Coimbatore"/>
    <n v="2"/>
    <n v="29.1"/>
    <n v="13"/>
    <n v="1"/>
    <n v="12"/>
    <n v="0"/>
    <s v="Band A"/>
    <n v="21000"/>
    <n v="11.3"/>
    <n v="2.7"/>
    <n v="0.6"/>
    <n v="0"/>
    <n v="3.4"/>
    <n v="3.6"/>
    <n v="3.8"/>
    <s v="Yes"/>
    <n v="0"/>
    <n v="1"/>
    <n v="0"/>
    <n v="1"/>
    <s v="Stayed"/>
    <m/>
    <n v="0"/>
    <n v="0"/>
    <s v="Promoted"/>
    <s v="3â€“5 years"/>
    <s v="High"/>
    <n v="3.6"/>
    <s v="0.16666666666666666"/>
    <n v="0"/>
  </r>
  <r>
    <s v="EMP0345"/>
    <x v="0"/>
    <s v="Team Lead"/>
    <n v="2.4"/>
    <s v="G1"/>
    <n v="25"/>
    <s v="Bachelor"/>
    <s v="Chennai"/>
    <n v="3"/>
    <n v="22.1"/>
    <n v="6"/>
    <n v="4"/>
    <n v="12"/>
    <n v="0"/>
    <s v="Band A"/>
    <n v="32200"/>
    <n v="12"/>
    <n v="5"/>
    <n v="0.9"/>
    <n v="0"/>
    <n v="2.5"/>
    <n v="3.4"/>
    <n v="4.5"/>
    <s v="Yes"/>
    <n v="0"/>
    <n v="1"/>
    <m/>
    <n v="0"/>
    <s v="Stayed"/>
    <m/>
    <n v="1"/>
    <n v="0"/>
    <s v="Promoted"/>
    <s v="1â€“3 years"/>
    <s v="High"/>
    <s v="3.466666666666667"/>
    <n v="0.25"/>
    <n v="0"/>
  </r>
  <r>
    <s v="EMP0346"/>
    <x v="0"/>
    <s v="Operations Associate"/>
    <n v="4"/>
    <s v="G1"/>
    <n v="22"/>
    <s v="Bachelor"/>
    <s v="Bengaluru"/>
    <n v="4"/>
    <n v="21"/>
    <n v="9"/>
    <n v="1"/>
    <n v="12"/>
    <n v="0"/>
    <s v="Band A"/>
    <n v="33600"/>
    <n v="6.3"/>
    <n v="2.4"/>
    <n v="0.7"/>
    <n v="0"/>
    <n v="2.2000000000000002"/>
    <n v="3.5"/>
    <n v="2.7"/>
    <s v="Yes"/>
    <n v="0"/>
    <n v="2"/>
    <n v="0.2"/>
    <n v="0"/>
    <s v="Stayed"/>
    <m/>
    <n v="0"/>
    <n v="0"/>
    <s v="Promoted"/>
    <s v="3â€“5 years"/>
    <s v="High"/>
    <s v="2.8000000000000003"/>
    <s v="0.3333333333333333"/>
    <n v="0"/>
  </r>
  <r>
    <s v="EMP0347"/>
    <x v="2"/>
    <s v="Support Associate"/>
    <n v="7.5"/>
    <s v="G1"/>
    <n v="29"/>
    <s v="Master"/>
    <s v="Bengaluru"/>
    <n v="3"/>
    <n v="9.3000000000000007"/>
    <n v="9"/>
    <n v="4"/>
    <n v="12"/>
    <n v="0"/>
    <s v="Band A"/>
    <n v="30900"/>
    <n v="9.8000000000000007"/>
    <n v="1.1000000000000001"/>
    <n v="2.4"/>
    <n v="0"/>
    <n v="1.3"/>
    <n v="4.7"/>
    <n v="3.3"/>
    <s v="Yes"/>
    <n v="0"/>
    <n v="4"/>
    <n v="5.6"/>
    <n v="1"/>
    <s v="Stayed"/>
    <m/>
    <n v="0"/>
    <n v="0"/>
    <s v="Promoted"/>
    <s v="5+ years"/>
    <s v="Low"/>
    <n v="3.1"/>
    <n v="0.25"/>
    <n v="0"/>
  </r>
  <r>
    <s v="EMP0348"/>
    <x v="4"/>
    <s v="Sales Manager"/>
    <n v="2.6"/>
    <s v="G3"/>
    <n v="33"/>
    <s v="Bachelor"/>
    <s v="Hyderabad"/>
    <n v="3"/>
    <n v="8.3000000000000007"/>
    <n v="11"/>
    <n v="6"/>
    <n v="12"/>
    <n v="0"/>
    <s v="Band C"/>
    <n v="53900"/>
    <n v="12.3"/>
    <n v="2.5"/>
    <n v="0.5"/>
    <n v="0"/>
    <n v="3.5"/>
    <n v="1.7"/>
    <n v="5"/>
    <s v="Yes"/>
    <n v="0"/>
    <n v="3"/>
    <n v="0.8"/>
    <n v="0"/>
    <s v="Stayed"/>
    <m/>
    <n v="0"/>
    <n v="0"/>
    <s v="Promoted"/>
    <s v="1â€“3 years"/>
    <s v="Low"/>
    <n v="3.4"/>
    <n v="0.25"/>
    <n v="0"/>
  </r>
  <r>
    <s v="EMP0349"/>
    <x v="5"/>
    <s v="Accountant"/>
    <n v="5.7"/>
    <s v="G1"/>
    <n v="33"/>
    <s v="Diploma"/>
    <s v="Coimbatore"/>
    <n v="5"/>
    <n v="16.600000000000001"/>
    <n v="12"/>
    <n v="0"/>
    <n v="12"/>
    <n v="0"/>
    <s v="Band A"/>
    <n v="31300"/>
    <n v="11.4"/>
    <n v="3.3"/>
    <n v="0.4"/>
    <n v="0"/>
    <n v="1.2"/>
    <n v="3.1"/>
    <n v="3.4"/>
    <s v="Yes"/>
    <n v="1"/>
    <n v="0"/>
    <m/>
    <n v="0"/>
    <s v="Stayed"/>
    <m/>
    <n v="1"/>
    <n v="0"/>
    <s v="No Recorded Promotions"/>
    <s v="5+ years"/>
    <s v="Moderate"/>
    <s v="2.5666666666666664"/>
    <s v="0.4166666666666667"/>
    <n v="0"/>
  </r>
  <r>
    <s v="EMP0350"/>
    <x v="3"/>
    <s v="QA Engineer"/>
    <n v="6.3"/>
    <s v="G4"/>
    <n v="33"/>
    <s v="Bachelor"/>
    <s v="Chennai"/>
    <n v="2"/>
    <n v="8.8000000000000007"/>
    <n v="8"/>
    <n v="1"/>
    <n v="12"/>
    <n v="0"/>
    <s v="Band D"/>
    <n v="87600"/>
    <n v="11.6"/>
    <n v="2.9"/>
    <n v="0.6"/>
    <n v="0"/>
    <n v="3"/>
    <n v="3.4"/>
    <n v="2.4"/>
    <s v="Yes"/>
    <n v="0"/>
    <n v="0"/>
    <m/>
    <n v="0"/>
    <s v="Stayed"/>
    <m/>
    <n v="1"/>
    <n v="0"/>
    <s v="No Recorded Promotions"/>
    <s v="5+ years"/>
    <s v="Low"/>
    <s v="2.9333333333333336"/>
    <s v="0.16666666666666666"/>
    <n v="0"/>
  </r>
  <r>
    <s v="EMP0351"/>
    <x v="0"/>
    <s v="Team Lead"/>
    <n v="8.5"/>
    <s v="G1"/>
    <n v="30"/>
    <s v="Doctorate"/>
    <s v="Remote"/>
    <n v="2"/>
    <n v="22.7"/>
    <n v="12"/>
    <n v="2"/>
    <n v="12"/>
    <n v="0"/>
    <s v="Band A"/>
    <n v="31700"/>
    <n v="8.5"/>
    <n v="4.0999999999999996"/>
    <n v="0.8"/>
    <n v="0"/>
    <n v="3.9"/>
    <n v="3.2"/>
    <n v="3.4"/>
    <s v="Yes"/>
    <n v="1"/>
    <n v="1"/>
    <n v="1.1000000000000001"/>
    <n v="0"/>
    <s v="Stayed"/>
    <m/>
    <n v="0"/>
    <n v="0"/>
    <s v="Promoted"/>
    <s v="5+ years"/>
    <s v="High"/>
    <n v="3.5"/>
    <s v="0.16666666666666666"/>
    <n v="0"/>
  </r>
  <r>
    <s v="EMP0352"/>
    <x v="3"/>
    <s v="Data Analyst"/>
    <n v="1.8"/>
    <s v="G1"/>
    <n v="22"/>
    <s v="Doctorate"/>
    <s v="Bengaluru"/>
    <n v="3"/>
    <n v="3.8"/>
    <n v="5"/>
    <n v="6"/>
    <n v="12"/>
    <n v="0"/>
    <s v="Band A"/>
    <n v="27400"/>
    <n v="7.6"/>
    <n v="4.0999999999999996"/>
    <n v="1.3"/>
    <n v="0"/>
    <n v="2.7"/>
    <n v="2.8"/>
    <n v="3.5"/>
    <s v="No"/>
    <n v="0"/>
    <n v="2"/>
    <n v="0.1"/>
    <n v="0"/>
    <s v="Stayed"/>
    <m/>
    <n v="0"/>
    <n v="0"/>
    <s v="Promoted"/>
    <s v="1â€“3 years"/>
    <s v="Low"/>
    <n v="3"/>
    <n v="0.25"/>
    <n v="0"/>
  </r>
  <r>
    <s v="EMP0353"/>
    <x v="5"/>
    <s v="Finance Manager"/>
    <n v="3.8"/>
    <s v="G4"/>
    <n v="25"/>
    <s v="Bachelor"/>
    <s v="Chennai"/>
    <n v="6"/>
    <n v="1.4"/>
    <n v="10"/>
    <n v="1"/>
    <n v="12"/>
    <n v="0"/>
    <s v="Band D"/>
    <n v="75200"/>
    <n v="9.1"/>
    <n v="2.9"/>
    <n v="1.7"/>
    <n v="0"/>
    <n v="2.2999999999999998"/>
    <n v="2.7"/>
    <n v="3.7"/>
    <s v="No"/>
    <n v="0"/>
    <n v="0"/>
    <m/>
    <n v="1"/>
    <s v="Stayed"/>
    <m/>
    <n v="1"/>
    <n v="0"/>
    <s v="No Recorded Promotions"/>
    <s v="3â€“5 years"/>
    <s v="Low"/>
    <n v="2.9"/>
    <n v="0.5"/>
    <n v="0"/>
  </r>
  <r>
    <s v="EMP0354"/>
    <x v="5"/>
    <s v="Financial Analyst"/>
    <n v="2.2000000000000002"/>
    <s v="G2"/>
    <n v="28"/>
    <s v="Master"/>
    <s v="Hyderabad"/>
    <n v="3"/>
    <n v="15.2"/>
    <n v="10"/>
    <n v="1"/>
    <n v="12"/>
    <n v="0"/>
    <s v="Band B"/>
    <n v="38100"/>
    <n v="4.9000000000000004"/>
    <n v="1.7"/>
    <n v="3.6"/>
    <n v="0"/>
    <n v="3.2"/>
    <n v="4.5999999999999996"/>
    <n v="4.4000000000000004"/>
    <s v="Yes"/>
    <n v="0"/>
    <n v="1"/>
    <n v="1.3"/>
    <n v="0"/>
    <s v="Left"/>
    <d v="2025-06-25T00:00:00"/>
    <n v="0"/>
    <n v="0"/>
    <s v="Promoted"/>
    <s v="1â€“3 years"/>
    <s v="Moderate"/>
    <s v="4.066666666666666"/>
    <n v="0.25"/>
    <n v="1"/>
  </r>
  <r>
    <s v="EMP0355"/>
    <x v="1"/>
    <s v="HR Executive"/>
    <n v="4"/>
    <s v="G2"/>
    <n v="33"/>
    <s v="Bachelor"/>
    <s v="Chennai"/>
    <n v="2"/>
    <n v="6.1"/>
    <n v="5"/>
    <n v="1"/>
    <n v="12"/>
    <n v="0"/>
    <s v="Band B"/>
    <n v="39100"/>
    <n v="12.4"/>
    <n v="2"/>
    <n v="2.7"/>
    <n v="0"/>
    <n v="2.6"/>
    <n v="3.1"/>
    <n v="4.9000000000000004"/>
    <s v="Yes"/>
    <n v="0"/>
    <n v="2"/>
    <n v="2.2999999999999998"/>
    <n v="0"/>
    <s v="Stayed"/>
    <m/>
    <n v="0"/>
    <n v="0"/>
    <s v="Promoted"/>
    <s v="3â€“5 years"/>
    <s v="Low"/>
    <s v="3.5333333333333337"/>
    <s v="0.16666666666666666"/>
    <n v="0"/>
  </r>
  <r>
    <s v="EMP0356"/>
    <x v="5"/>
    <s v="Financial Analyst"/>
    <n v="4"/>
    <s v="G5"/>
    <n v="34"/>
    <s v="Bachelor"/>
    <s v="Hyderabad"/>
    <n v="0"/>
    <n v="3.3"/>
    <n v="8"/>
    <n v="2"/>
    <n v="12"/>
    <n v="0"/>
    <s v="Band D"/>
    <n v="77100"/>
    <n v="1.9"/>
    <n v="3.2"/>
    <n v="0.9"/>
    <n v="0"/>
    <n v="3.5"/>
    <n v="5"/>
    <n v="3.4"/>
    <s v="Yes"/>
    <n v="0"/>
    <n v="1"/>
    <n v="1.1000000000000001"/>
    <n v="0"/>
    <s v="Stayed"/>
    <m/>
    <n v="0"/>
    <n v="0"/>
    <s v="Promoted"/>
    <s v="3â€“5 years"/>
    <s v="Low"/>
    <s v="3.966666666666667"/>
    <n v="0"/>
    <n v="0"/>
  </r>
  <r>
    <s v="EMP0357"/>
    <x v="0"/>
    <s v="Team Lead"/>
    <n v="1.5"/>
    <s v="G5"/>
    <n v="30"/>
    <s v="Bachelor"/>
    <s v="Bengaluru"/>
    <n v="2"/>
    <n v="42.2"/>
    <n v="5"/>
    <n v="5"/>
    <n v="12"/>
    <n v="0"/>
    <s v="Band D"/>
    <n v="101000"/>
    <n v="6"/>
    <n v="1.8"/>
    <n v="0.9"/>
    <n v="0"/>
    <n v="2.4"/>
    <n v="3.7"/>
    <n v="4.3"/>
    <s v="Yes"/>
    <n v="0"/>
    <n v="1"/>
    <n v="1"/>
    <n v="1"/>
    <s v="Stayed"/>
    <m/>
    <n v="0"/>
    <n v="0"/>
    <s v="Promoted"/>
    <s v="1â€“3 years"/>
    <s v="High"/>
    <s v="3.4666666666666663"/>
    <s v="0.16666666666666666"/>
    <n v="0"/>
  </r>
  <r>
    <s v="EMP0358"/>
    <x v="0"/>
    <s v="Operations Associate"/>
    <n v="4.2"/>
    <s v="G3"/>
    <n v="27"/>
    <s v="Bachelor"/>
    <s v="Remote"/>
    <n v="1"/>
    <n v="10"/>
    <n v="8"/>
    <n v="0"/>
    <n v="12"/>
    <n v="0"/>
    <s v="Band C"/>
    <n v="61300"/>
    <n v="7.9"/>
    <n v="2.9"/>
    <n v="2.5"/>
    <n v="0"/>
    <n v="3.2"/>
    <n v="2.9"/>
    <n v="3.9"/>
    <s v="Yes"/>
    <n v="0"/>
    <n v="2"/>
    <n v="3.2"/>
    <n v="1"/>
    <s v="Stayed"/>
    <m/>
    <n v="0"/>
    <n v="0"/>
    <s v="Promoted"/>
    <s v="3â€“5 years"/>
    <s v="Low"/>
    <s v="3.3333333333333335"/>
    <n v="8.3333333333333301E-2"/>
    <n v="0"/>
  </r>
  <r>
    <s v="EMP0359"/>
    <x v="1"/>
    <s v="Recruiter"/>
    <n v="13.5"/>
    <s v="G1"/>
    <n v="40"/>
    <s v="Bachelor"/>
    <s v="Remote"/>
    <n v="2"/>
    <n v="2.5"/>
    <n v="6"/>
    <n v="2"/>
    <n v="12"/>
    <n v="0"/>
    <s v="Band B"/>
    <n v="36800"/>
    <n v="9.9"/>
    <n v="4.5"/>
    <n v="0.8"/>
    <n v="0"/>
    <n v="3.3"/>
    <n v="3.7"/>
    <n v="3.4"/>
    <s v="Yes"/>
    <n v="1"/>
    <n v="1"/>
    <n v="13.2"/>
    <n v="0"/>
    <s v="Stayed"/>
    <m/>
    <n v="0"/>
    <n v="0"/>
    <s v="Promoted"/>
    <s v="5+ years"/>
    <s v="Low"/>
    <s v="3.466666666666667"/>
    <s v="0.16666666666666666"/>
    <n v="0"/>
  </r>
  <r>
    <s v="EMP0360"/>
    <x v="5"/>
    <s v="Accountant"/>
    <n v="5.2"/>
    <s v="G3"/>
    <n v="30"/>
    <s v="Master"/>
    <s v="Chennai"/>
    <n v="3"/>
    <n v="5.5"/>
    <n v="15"/>
    <n v="2"/>
    <n v="12"/>
    <n v="0"/>
    <s v="Band C"/>
    <n v="60700"/>
    <n v="10.6"/>
    <n v="3.5"/>
    <n v="2"/>
    <n v="0"/>
    <n v="3.3"/>
    <n v="3.3"/>
    <n v="2"/>
    <s v="Yes"/>
    <n v="0"/>
    <n v="1"/>
    <n v="2.2999999999999998"/>
    <n v="0"/>
    <s v="Stayed"/>
    <m/>
    <n v="0"/>
    <n v="0"/>
    <s v="Promoted"/>
    <s v="5+ years"/>
    <s v="Low"/>
    <s v="2.8666666666666667"/>
    <n v="0.25"/>
    <n v="0"/>
  </r>
  <r>
    <s v="EMP0361"/>
    <x v="2"/>
    <s v="Support Specialist"/>
    <n v="1.2"/>
    <s v="G5"/>
    <n v="26"/>
    <s v="Bachelor"/>
    <s v="Hyderabad"/>
    <n v="2"/>
    <n v="7.7"/>
    <n v="7"/>
    <n v="4"/>
    <n v="12"/>
    <n v="0"/>
    <s v="Band D"/>
    <n v="94400"/>
    <n v="14"/>
    <n v="3.2"/>
    <n v="0.2"/>
    <n v="0"/>
    <n v="4.8"/>
    <n v="4.4000000000000004"/>
    <n v="4.2"/>
    <s v="Yes"/>
    <n v="0"/>
    <n v="0"/>
    <m/>
    <n v="1"/>
    <s v="Stayed"/>
    <m/>
    <n v="1"/>
    <n v="0"/>
    <s v="No Recorded Promotions"/>
    <s v="1â€“3 years"/>
    <s v="Low"/>
    <s v="4.466666666666666"/>
    <s v="0.16666666666666666"/>
    <n v="0"/>
  </r>
  <r>
    <s v="EMP0362"/>
    <x v="3"/>
    <s v="Data Analyst"/>
    <n v="1.7"/>
    <s v="G5"/>
    <n v="36"/>
    <s v="Bachelor"/>
    <s v="Chennai"/>
    <n v="3"/>
    <n v="15"/>
    <n v="6"/>
    <n v="1"/>
    <n v="12"/>
    <n v="0"/>
    <s v="Band D"/>
    <n v="96700"/>
    <n v="8.3000000000000007"/>
    <n v="2.2999999999999998"/>
    <n v="1.8"/>
    <n v="0"/>
    <n v="3.5"/>
    <n v="2.1"/>
    <n v="3.9"/>
    <s v="No"/>
    <n v="0"/>
    <n v="2"/>
    <n v="1.7"/>
    <n v="0"/>
    <s v="Stayed"/>
    <m/>
    <n v="0"/>
    <n v="0"/>
    <s v="Promoted"/>
    <s v="1â€“3 years"/>
    <s v="Moderate"/>
    <s v="3.1666666666666665"/>
    <n v="0.25"/>
    <n v="0"/>
  </r>
  <r>
    <s v="EMP0363"/>
    <x v="3"/>
    <s v="Data Analyst"/>
    <n v="3.6"/>
    <s v="G1"/>
    <n v="23"/>
    <s v="Bachelor"/>
    <s v="Bengaluru"/>
    <n v="3"/>
    <n v="5.5"/>
    <n v="9"/>
    <n v="1"/>
    <n v="12"/>
    <n v="0"/>
    <s v="Band A"/>
    <n v="32800"/>
    <n v="5.0999999999999996"/>
    <n v="3.4"/>
    <n v="1.6"/>
    <n v="0"/>
    <n v="3.8"/>
    <n v="1.6"/>
    <n v="3.7"/>
    <s v="Yes"/>
    <n v="0"/>
    <n v="0"/>
    <m/>
    <n v="0"/>
    <s v="Stayed"/>
    <m/>
    <n v="1"/>
    <n v="0"/>
    <s v="No Recorded Promotions"/>
    <s v="3â€“5 years"/>
    <s v="Low"/>
    <s v="3.0333333333333337"/>
    <n v="0.25"/>
    <n v="0"/>
  </r>
  <r>
    <s v="EMP0364"/>
    <x v="3"/>
    <s v="Software Engineer"/>
    <n v="1.8"/>
    <s v="G2"/>
    <n v="27"/>
    <s v="Diploma"/>
    <s v="Bengaluru"/>
    <n v="6"/>
    <n v="8.6999999999999993"/>
    <n v="4"/>
    <n v="0"/>
    <n v="12"/>
    <n v="0"/>
    <s v="Band B"/>
    <n v="42000"/>
    <n v="7.4"/>
    <n v="3"/>
    <n v="0.8"/>
    <n v="0"/>
    <n v="2.7"/>
    <n v="3.5"/>
    <n v="2.6"/>
    <s v="Yes"/>
    <n v="0"/>
    <n v="3"/>
    <n v="1.7"/>
    <n v="0"/>
    <s v="Stayed"/>
    <m/>
    <n v="0"/>
    <n v="0"/>
    <s v="Promoted"/>
    <s v="1â€“3 years"/>
    <s v="Low"/>
    <s v="2.9333333333333336"/>
    <n v="0.5"/>
    <n v="0"/>
  </r>
  <r>
    <s v="EMP0365"/>
    <x v="0"/>
    <s v="Operations Manager"/>
    <n v="8.1999999999999993"/>
    <s v="G2"/>
    <n v="39"/>
    <s v="Bachelor"/>
    <s v="Chennai"/>
    <n v="3"/>
    <n v="12.4"/>
    <n v="2"/>
    <n v="1"/>
    <n v="12"/>
    <n v="0"/>
    <s v="Band B"/>
    <n v="48900"/>
    <n v="6.7"/>
    <n v="3.4"/>
    <n v="0.3"/>
    <n v="0"/>
    <n v="3.5"/>
    <n v="4"/>
    <n v="3.4"/>
    <s v="Yes"/>
    <n v="1"/>
    <n v="0"/>
    <m/>
    <n v="2"/>
    <s v="Stayed"/>
    <m/>
    <n v="1"/>
    <n v="0"/>
    <s v="No Recorded Promotions"/>
    <s v="5+ years"/>
    <s v="Moderate"/>
    <s v="3.6333333333333333"/>
    <n v="0.25"/>
    <n v="0"/>
  </r>
  <r>
    <s v="EMP0366"/>
    <x v="4"/>
    <s v="Sales Executive"/>
    <n v="1.1000000000000001"/>
    <s v="G1"/>
    <n v="21"/>
    <s v="Master"/>
    <s v="Chennai"/>
    <n v="2"/>
    <n v="14.2"/>
    <n v="11"/>
    <n v="1"/>
    <n v="12"/>
    <n v="0"/>
    <s v="Band A"/>
    <n v="25700"/>
    <n v="10.1"/>
    <n v="3.9"/>
    <n v="0.2"/>
    <n v="0"/>
    <n v="3.1"/>
    <n v="3.5"/>
    <n v="3.5"/>
    <s v="Yes"/>
    <n v="0"/>
    <n v="1"/>
    <n v="0.7"/>
    <n v="0"/>
    <s v="Stayed"/>
    <m/>
    <n v="0"/>
    <n v="0"/>
    <s v="Promoted"/>
    <s v="1â€“3 years"/>
    <s v="Moderate"/>
    <s v="3.3666666666666667"/>
    <s v="0.16666666666666666"/>
    <n v="0"/>
  </r>
  <r>
    <s v="EMP0367"/>
    <x v="0"/>
    <s v="Team Lead"/>
    <n v="5.2"/>
    <s v="G3"/>
    <n v="29"/>
    <s v="Bachelor"/>
    <s v="Chennai"/>
    <n v="3"/>
    <n v="9.1999999999999993"/>
    <n v="4"/>
    <n v="1"/>
    <n v="12"/>
    <n v="0"/>
    <s v="Band C"/>
    <n v="50100"/>
    <n v="3.7"/>
    <n v="4"/>
    <n v="1.5"/>
    <n v="0"/>
    <n v="3.3"/>
    <n v="3.8"/>
    <n v="2.5"/>
    <s v="No"/>
    <n v="0"/>
    <n v="1"/>
    <n v="4.8"/>
    <n v="0"/>
    <s v="Stayed"/>
    <m/>
    <n v="0"/>
    <n v="0"/>
    <s v="Promoted"/>
    <s v="5+ years"/>
    <s v="Low"/>
    <s v="3.1999999999999997"/>
    <n v="0.25"/>
    <n v="0"/>
  </r>
  <r>
    <s v="EMP0368"/>
    <x v="0"/>
    <s v="Operations Associate"/>
    <n v="0.9"/>
    <s v="G2"/>
    <n v="25"/>
    <s v="Diploma"/>
    <s v="Chennai"/>
    <n v="2"/>
    <n v="33.5"/>
    <n v="16"/>
    <n v="0"/>
    <n v="12"/>
    <n v="0"/>
    <s v="Band B"/>
    <n v="36500"/>
    <n v="7.3"/>
    <n v="3.3"/>
    <n v="1.7"/>
    <n v="0"/>
    <n v="3.9"/>
    <n v="3.7"/>
    <n v="2.4"/>
    <s v="Yes"/>
    <n v="0"/>
    <n v="1"/>
    <n v="0.4"/>
    <n v="0"/>
    <s v="Stayed"/>
    <m/>
    <n v="0"/>
    <n v="0"/>
    <s v="Promoted"/>
    <s v="0â€“1 years"/>
    <s v="High"/>
    <s v="3.3333333333333335"/>
    <s v="0.16666666666666666"/>
    <n v="0"/>
  </r>
  <r>
    <s v="EMP0369"/>
    <x v="4"/>
    <s v="Sales Executive"/>
    <n v="3.6"/>
    <s v="G2"/>
    <n v="29"/>
    <s v="Master"/>
    <s v="Chennai"/>
    <n v="4"/>
    <n v="16.899999999999999"/>
    <n v="8"/>
    <n v="3"/>
    <n v="12"/>
    <n v="0"/>
    <s v="Band A"/>
    <n v="34500"/>
    <n v="14.5"/>
    <n v="3.7"/>
    <n v="0.1"/>
    <n v="0"/>
    <n v="2.8"/>
    <n v="1.9"/>
    <n v="3.9"/>
    <s v="Yes"/>
    <n v="0"/>
    <n v="0"/>
    <m/>
    <n v="0"/>
    <s v="Stayed"/>
    <m/>
    <n v="1"/>
    <n v="0"/>
    <s v="No Recorded Promotions"/>
    <s v="3â€“5 years"/>
    <s v="Moderate"/>
    <s v="2.8666666666666667"/>
    <s v="0.3333333333333333"/>
    <n v="0"/>
  </r>
  <r>
    <s v="EMP0370"/>
    <x v="2"/>
    <s v="Support Associate"/>
    <n v="1.6"/>
    <s v="G1"/>
    <n v="21"/>
    <s v="Doctorate"/>
    <s v="Remote"/>
    <n v="1"/>
    <n v="16.2"/>
    <n v="7"/>
    <n v="1"/>
    <n v="12"/>
    <n v="0"/>
    <s v="Band A"/>
    <n v="23600"/>
    <n v="8.6999999999999993"/>
    <n v="2.7"/>
    <n v="0.1"/>
    <n v="0"/>
    <n v="2.9"/>
    <n v="3.5"/>
    <n v="4"/>
    <s v="Yes"/>
    <n v="0"/>
    <n v="1"/>
    <n v="1.6"/>
    <n v="0"/>
    <s v="Stayed"/>
    <m/>
    <n v="0"/>
    <n v="0"/>
    <s v="Promoted"/>
    <s v="1â€“3 years"/>
    <s v="Moderate"/>
    <s v="3.466666666666667"/>
    <n v="8.3333333333333301E-2"/>
    <n v="0"/>
  </r>
  <r>
    <s v="EMP0371"/>
    <x v="0"/>
    <s v="Operations Associate"/>
    <n v="5.9"/>
    <s v="G2"/>
    <n v="34"/>
    <s v="Master"/>
    <s v="Coimbatore"/>
    <n v="2"/>
    <n v="15.8"/>
    <n v="10"/>
    <n v="4"/>
    <n v="12"/>
    <n v="0"/>
    <s v="Band B"/>
    <n v="42500"/>
    <n v="3.8"/>
    <n v="4.2"/>
    <n v="0.4"/>
    <n v="0"/>
    <n v="3.3"/>
    <n v="4.4000000000000004"/>
    <n v="3"/>
    <s v="Yes"/>
    <n v="1"/>
    <n v="0"/>
    <m/>
    <n v="0"/>
    <s v="Stayed"/>
    <m/>
    <n v="1"/>
    <n v="0"/>
    <s v="No Recorded Promotions"/>
    <s v="5+ years"/>
    <s v="Moderate"/>
    <s v="3.5666666666666664"/>
    <s v="0.16666666666666666"/>
    <n v="0"/>
  </r>
  <r>
    <s v="EMP0372"/>
    <x v="4"/>
    <s v="Sales Manager"/>
    <n v="7.3"/>
    <s v="G1"/>
    <n v="36"/>
    <s v="Bachelor"/>
    <s v="Hyderabad"/>
    <n v="2"/>
    <n v="22.8"/>
    <n v="7"/>
    <n v="3"/>
    <n v="12"/>
    <n v="0"/>
    <s v="Band A"/>
    <n v="31700"/>
    <n v="6.6"/>
    <n v="2.4"/>
    <n v="0.4"/>
    <n v="0"/>
    <n v="2.8"/>
    <n v="3.4"/>
    <n v="3.8"/>
    <s v="Yes"/>
    <n v="0"/>
    <n v="1"/>
    <n v="0.4"/>
    <n v="1"/>
    <s v="Stayed"/>
    <m/>
    <n v="0"/>
    <n v="0"/>
    <s v="Promoted"/>
    <s v="5+ years"/>
    <s v="High"/>
    <s v="3.3333333333333335"/>
    <s v="0.16666666666666666"/>
    <n v="0"/>
  </r>
  <r>
    <s v="EMP0373"/>
    <x v="4"/>
    <s v="Sales Executive"/>
    <n v="4.7"/>
    <s v="G2"/>
    <n v="33"/>
    <s v="Bachelor"/>
    <s v="Hyderabad"/>
    <n v="3"/>
    <n v="11.7"/>
    <n v="6"/>
    <n v="2"/>
    <n v="12"/>
    <n v="0"/>
    <s v="Band B"/>
    <n v="40700"/>
    <n v="0"/>
    <n v="3"/>
    <n v="0.6"/>
    <n v="0"/>
    <n v="3.3"/>
    <n v="2"/>
    <n v="3.9"/>
    <s v="Yes"/>
    <n v="1"/>
    <n v="2"/>
    <n v="0.5"/>
    <n v="1"/>
    <s v="Stayed"/>
    <m/>
    <n v="0"/>
    <n v="0"/>
    <s v="Promoted"/>
    <s v="3â€“5 years"/>
    <s v="Moderate"/>
    <s v="3.0666666666666664"/>
    <n v="0.25"/>
    <n v="0"/>
  </r>
  <r>
    <s v="EMP0374"/>
    <x v="4"/>
    <s v="Account Manager"/>
    <n v="7.6"/>
    <s v="G1"/>
    <n v="30"/>
    <s v="Bachelor"/>
    <s v="Bengaluru"/>
    <n v="3"/>
    <n v="3.8"/>
    <n v="6"/>
    <n v="0"/>
    <n v="12"/>
    <n v="0"/>
    <s v="Band A"/>
    <n v="31600"/>
    <n v="7.8"/>
    <n v="4.3"/>
    <n v="1.5"/>
    <n v="0"/>
    <n v="3"/>
    <n v="2.9"/>
    <n v="3.5"/>
    <s v="Yes"/>
    <n v="0"/>
    <n v="0"/>
    <m/>
    <n v="2"/>
    <s v="Stayed"/>
    <m/>
    <n v="1"/>
    <n v="0"/>
    <s v="No Recorded Promotions"/>
    <s v="5+ years"/>
    <s v="Low"/>
    <s v="3.1333333333333333"/>
    <n v="0.25"/>
    <n v="0"/>
  </r>
  <r>
    <s v="EMP0375"/>
    <x v="3"/>
    <s v="QA Engineer"/>
    <n v="0.3"/>
    <s v="G5"/>
    <n v="27"/>
    <s v="Master"/>
    <s v="Coimbatore"/>
    <n v="1"/>
    <n v="13.7"/>
    <n v="9"/>
    <n v="2"/>
    <n v="12"/>
    <n v="0"/>
    <s v="Band D"/>
    <n v="78300"/>
    <n v="14.6"/>
    <n v="2.8"/>
    <n v="2.9"/>
    <n v="0"/>
    <n v="4.5999999999999996"/>
    <n v="3.7"/>
    <n v="2.8"/>
    <s v="Yes"/>
    <n v="0"/>
    <n v="1"/>
    <n v="0.2"/>
    <n v="0"/>
    <s v="Stayed"/>
    <m/>
    <n v="0"/>
    <n v="0"/>
    <s v="Promoted"/>
    <s v="0â€“1 years"/>
    <s v="Moderate"/>
    <s v="3.7000000000000006"/>
    <n v="8.3333333333333301E-2"/>
    <n v="0"/>
  </r>
  <r>
    <s v="EMP0376"/>
    <x v="3"/>
    <s v="Data Analyst"/>
    <n v="4.0999999999999996"/>
    <s v="G1"/>
    <n v="27"/>
    <s v="Master"/>
    <s v="Hyderabad"/>
    <n v="2"/>
    <n v="15.1"/>
    <n v="6"/>
    <n v="2"/>
    <n v="12"/>
    <n v="0"/>
    <s v="Band A"/>
    <n v="27200"/>
    <n v="3.3"/>
    <n v="2"/>
    <n v="3"/>
    <n v="0"/>
    <n v="5"/>
    <n v="4.8"/>
    <n v="4.2"/>
    <s v="No"/>
    <n v="0"/>
    <n v="0"/>
    <m/>
    <n v="1"/>
    <s v="Stayed"/>
    <m/>
    <n v="1"/>
    <n v="0"/>
    <s v="No Recorded Promotions"/>
    <s v="3â€“5 years"/>
    <s v="Moderate"/>
    <s v="4.666666666666667"/>
    <s v="0.16666666666666666"/>
    <n v="0"/>
  </r>
  <r>
    <s v="EMP0377"/>
    <x v="2"/>
    <s v="Support Team Lead"/>
    <n v="5.2"/>
    <s v="G3"/>
    <n v="30"/>
    <s v="Master"/>
    <s v="Bengaluru"/>
    <n v="4"/>
    <n v="25.4"/>
    <n v="9"/>
    <n v="0"/>
    <n v="12"/>
    <n v="0"/>
    <s v="Band C"/>
    <n v="52600"/>
    <n v="2.2000000000000002"/>
    <n v="2.8"/>
    <n v="2.2000000000000002"/>
    <n v="0"/>
    <n v="2.8"/>
    <n v="1.4"/>
    <n v="4.0999999999999996"/>
    <s v="Yes"/>
    <n v="0"/>
    <n v="1"/>
    <n v="0.6"/>
    <n v="0"/>
    <s v="Left"/>
    <d v="2025-03-06T00:00:00"/>
    <n v="0"/>
    <n v="0"/>
    <s v="Promoted"/>
    <s v="5+ years"/>
    <s v="High"/>
    <s v="2.766666666666666"/>
    <s v="0.3333333333333333"/>
    <n v="1"/>
  </r>
  <r>
    <s v="EMP0378"/>
    <x v="1"/>
    <s v="HR Executive"/>
    <n v="5.7"/>
    <s v="G1"/>
    <n v="40"/>
    <s v="Bachelor"/>
    <s v="Bengaluru"/>
    <n v="1"/>
    <n v="3.4"/>
    <n v="10"/>
    <n v="1"/>
    <n v="12"/>
    <n v="0"/>
    <s v="Band A"/>
    <n v="29700"/>
    <n v="5.4"/>
    <n v="4.5"/>
    <n v="2.8"/>
    <n v="0"/>
    <n v="3.6"/>
    <n v="3.5"/>
    <n v="3.9"/>
    <s v="Yes"/>
    <n v="0"/>
    <n v="0"/>
    <m/>
    <n v="0"/>
    <s v="Stayed"/>
    <m/>
    <n v="1"/>
    <n v="0"/>
    <s v="No Recorded Promotions"/>
    <s v="5+ years"/>
    <s v="Low"/>
    <s v="3.6666666666666665"/>
    <n v="8.3333333333333301E-2"/>
    <n v="0"/>
  </r>
  <r>
    <s v="EMP0379"/>
    <x v="4"/>
    <s v="Sales Manager"/>
    <n v="5"/>
    <s v="G1"/>
    <n v="31"/>
    <s v="Diploma"/>
    <s v="Remote"/>
    <n v="3"/>
    <n v="4.3"/>
    <n v="10"/>
    <n v="2"/>
    <n v="12"/>
    <n v="0"/>
    <s v="Band A"/>
    <n v="24100"/>
    <n v="11.7"/>
    <n v="1.2"/>
    <n v="0.5"/>
    <n v="0"/>
    <n v="4.2"/>
    <n v="2.4"/>
    <n v="2.7"/>
    <s v="Yes"/>
    <n v="0"/>
    <n v="0"/>
    <m/>
    <n v="1"/>
    <s v="Stayed"/>
    <m/>
    <n v="1"/>
    <n v="0"/>
    <s v="No Recorded Promotions"/>
    <s v="3â€“5 years"/>
    <s v="Low"/>
    <n v="3.1"/>
    <n v="0.25"/>
    <n v="0"/>
  </r>
  <r>
    <s v="EMP0380"/>
    <x v="0"/>
    <s v="Team Lead"/>
    <n v="5.7"/>
    <s v="G1"/>
    <n v="27"/>
    <s v="Bachelor"/>
    <s v="Bengaluru"/>
    <n v="1"/>
    <n v="10.3"/>
    <n v="9"/>
    <n v="1"/>
    <n v="12"/>
    <n v="0"/>
    <s v="Band A"/>
    <n v="26300"/>
    <n v="14.8"/>
    <n v="3.3"/>
    <n v="2.2000000000000002"/>
    <n v="0"/>
    <n v="3.1"/>
    <n v="3.7"/>
    <n v="2.2999999999999998"/>
    <s v="Yes"/>
    <n v="0"/>
    <n v="1"/>
    <n v="5.6"/>
    <n v="0"/>
    <s v="Stayed"/>
    <m/>
    <n v="0"/>
    <n v="0"/>
    <s v="Promoted"/>
    <s v="5+ years"/>
    <s v="Moderate"/>
    <s v="3.0333333333333337"/>
    <n v="8.3333333333333301E-2"/>
    <n v="0"/>
  </r>
  <r>
    <s v="EMP0381"/>
    <x v="5"/>
    <s v="Accountant"/>
    <n v="4.0999999999999996"/>
    <s v="G1"/>
    <n v="31"/>
    <s v="Bachelor"/>
    <s v="Coimbatore"/>
    <n v="2"/>
    <n v="16.100000000000001"/>
    <n v="8"/>
    <n v="1"/>
    <n v="12"/>
    <n v="0"/>
    <s v="Band A"/>
    <n v="27400"/>
    <n v="9.8000000000000007"/>
    <n v="2.6"/>
    <n v="2.4"/>
    <n v="0"/>
    <n v="2.4"/>
    <n v="3.7"/>
    <n v="3.4"/>
    <s v="Yes"/>
    <n v="1"/>
    <n v="0"/>
    <m/>
    <n v="0"/>
    <s v="Stayed"/>
    <m/>
    <n v="1"/>
    <n v="0"/>
    <s v="No Recorded Promotions"/>
    <s v="3â€“5 years"/>
    <s v="Moderate"/>
    <s v="3.1666666666666665"/>
    <s v="0.16666666666666666"/>
    <n v="0"/>
  </r>
  <r>
    <s v="EMP0382"/>
    <x v="2"/>
    <s v="Support Specialist"/>
    <n v="1.2"/>
    <s v="G1"/>
    <n v="22"/>
    <s v="Diploma"/>
    <s v="Hyderabad"/>
    <n v="5"/>
    <n v="2.8"/>
    <n v="10"/>
    <n v="3"/>
    <n v="12"/>
    <n v="0"/>
    <s v="Band A"/>
    <n v="31600"/>
    <n v="2.9"/>
    <n v="3"/>
    <n v="0.2"/>
    <n v="0"/>
    <n v="4.9000000000000004"/>
    <n v="3"/>
    <n v="4.0999999999999996"/>
    <s v="Yes"/>
    <n v="0"/>
    <n v="1"/>
    <n v="0.1"/>
    <n v="0"/>
    <s v="Stayed"/>
    <m/>
    <n v="0"/>
    <n v="0"/>
    <s v="Promoted"/>
    <s v="1â€“3 years"/>
    <s v="Low"/>
    <n v="4"/>
    <s v="0.4166666666666667"/>
    <n v="0"/>
  </r>
  <r>
    <s v="EMP0383"/>
    <x v="0"/>
    <s v="Operations Manager"/>
    <n v="2.4"/>
    <s v="G2"/>
    <n v="24"/>
    <s v="Bachelor"/>
    <s v="Coimbatore"/>
    <n v="2"/>
    <n v="3.5"/>
    <n v="6"/>
    <n v="4"/>
    <n v="12"/>
    <n v="0"/>
    <s v="Band B"/>
    <n v="39400"/>
    <n v="7.9"/>
    <n v="2.9"/>
    <n v="3.6"/>
    <n v="0"/>
    <n v="3.9"/>
    <n v="3.8"/>
    <n v="4.2"/>
    <s v="Yes"/>
    <n v="0"/>
    <n v="2"/>
    <n v="0.6"/>
    <n v="0"/>
    <s v="Stayed"/>
    <m/>
    <n v="0"/>
    <n v="0"/>
    <s v="Promoted"/>
    <s v="1â€“3 years"/>
    <s v="Low"/>
    <s v="3.9666666666666663"/>
    <s v="0.16666666666666666"/>
    <n v="0"/>
  </r>
  <r>
    <s v="EMP0384"/>
    <x v="1"/>
    <s v="Recruiter"/>
    <n v="8.1999999999999993"/>
    <s v="G3"/>
    <n v="30"/>
    <s v="Bachelor"/>
    <s v="Hyderabad"/>
    <n v="4"/>
    <n v="19.100000000000001"/>
    <n v="13"/>
    <n v="2"/>
    <n v="12"/>
    <n v="0"/>
    <s v="Band C"/>
    <n v="63800"/>
    <n v="15.2"/>
    <n v="4.0999999999999996"/>
    <n v="2.5"/>
    <n v="0"/>
    <n v="3.6"/>
    <n v="4.2"/>
    <n v="3.9"/>
    <s v="Yes"/>
    <n v="0"/>
    <n v="0"/>
    <m/>
    <n v="0"/>
    <s v="Stayed"/>
    <m/>
    <n v="1"/>
    <n v="0"/>
    <s v="No Recorded Promotions"/>
    <s v="5+ years"/>
    <s v="Moderate"/>
    <s v="3.9000000000000004"/>
    <s v="0.3333333333333333"/>
    <n v="0"/>
  </r>
  <r>
    <s v="EMP0385"/>
    <x v="4"/>
    <s v="Sales Executive"/>
    <n v="7.6"/>
    <s v="G1"/>
    <n v="32"/>
    <s v="Master"/>
    <s v="Chennai"/>
    <n v="3"/>
    <n v="2.9"/>
    <n v="10"/>
    <n v="3"/>
    <n v="12"/>
    <n v="0"/>
    <s v="Band A"/>
    <n v="29900"/>
    <n v="6.8"/>
    <n v="3.2"/>
    <n v="0.7"/>
    <n v="0"/>
    <n v="4.5999999999999996"/>
    <n v="3.1"/>
    <n v="3"/>
    <s v="Yes"/>
    <n v="0"/>
    <n v="0"/>
    <m/>
    <n v="1"/>
    <s v="Stayed"/>
    <m/>
    <n v="1"/>
    <n v="0"/>
    <s v="No Recorded Promotions"/>
    <s v="5+ years"/>
    <s v="Low"/>
    <s v="3.5666666666666664"/>
    <n v="0.25"/>
    <n v="0"/>
  </r>
  <r>
    <s v="EMP0386"/>
    <x v="2"/>
    <s v="Support Team Lead"/>
    <n v="5.0999999999999996"/>
    <s v="G2"/>
    <n v="35"/>
    <s v="Master"/>
    <s v="Chennai"/>
    <n v="1"/>
    <n v="4.4000000000000004"/>
    <n v="7"/>
    <n v="2"/>
    <n v="12"/>
    <n v="0"/>
    <s v="Band B"/>
    <n v="39800"/>
    <n v="8.6"/>
    <n v="4.0999999999999996"/>
    <n v="0.1"/>
    <n v="0"/>
    <n v="4"/>
    <n v="2"/>
    <n v="2.8"/>
    <s v="Yes"/>
    <n v="0"/>
    <n v="0"/>
    <m/>
    <n v="1"/>
    <s v="Stayed"/>
    <m/>
    <n v="1"/>
    <n v="0"/>
    <s v="No Recorded Promotions"/>
    <s v="5+ years"/>
    <s v="Low"/>
    <s v="2.9333333333333336"/>
    <n v="8.3333333333333301E-2"/>
    <n v="0"/>
  </r>
  <r>
    <s v="EMP0387"/>
    <x v="0"/>
    <s v="Operations Manager"/>
    <n v="6"/>
    <s v="G3"/>
    <n v="34"/>
    <s v="Master"/>
    <s v="Coimbatore"/>
    <n v="1"/>
    <n v="20"/>
    <n v="4"/>
    <n v="3"/>
    <n v="12"/>
    <n v="0"/>
    <s v="Band C"/>
    <n v="58400"/>
    <n v="9"/>
    <n v="4.4000000000000004"/>
    <n v="1.5"/>
    <n v="0"/>
    <n v="3.3"/>
    <n v="4.5"/>
    <n v="3.4"/>
    <s v="No"/>
    <n v="0"/>
    <n v="0"/>
    <m/>
    <n v="1"/>
    <s v="Stayed"/>
    <m/>
    <n v="1"/>
    <n v="0"/>
    <s v="No Recorded Promotions"/>
    <s v="5+ years"/>
    <s v="Moderate"/>
    <s v="3.733333333333333"/>
    <n v="8.3333333333333301E-2"/>
    <n v="0"/>
  </r>
  <r>
    <s v="EMP0388"/>
    <x v="2"/>
    <s v="Support Team Lead"/>
    <n v="7.1"/>
    <s v="G2"/>
    <n v="35"/>
    <s v="Master"/>
    <s v="Chennai"/>
    <n v="2"/>
    <n v="16"/>
    <n v="9"/>
    <n v="1"/>
    <n v="12"/>
    <n v="0"/>
    <s v="Band B"/>
    <n v="40000"/>
    <n v="1.8"/>
    <n v="3.2"/>
    <n v="0.9"/>
    <n v="0"/>
    <n v="2.4"/>
    <n v="3.9"/>
    <n v="3.4"/>
    <s v="Yes"/>
    <n v="0"/>
    <n v="0"/>
    <m/>
    <n v="0"/>
    <s v="Stayed"/>
    <m/>
    <n v="1"/>
    <n v="0"/>
    <s v="No Recorded Promotions"/>
    <s v="5+ years"/>
    <s v="Moderate"/>
    <s v="3.233333333333333"/>
    <s v="0.16666666666666666"/>
    <n v="0"/>
  </r>
  <r>
    <s v="EMP0389"/>
    <x v="3"/>
    <s v="Data Analyst"/>
    <n v="5.0999999999999996"/>
    <s v="G2"/>
    <n v="27"/>
    <s v="Master"/>
    <s v="Remote"/>
    <n v="4"/>
    <n v="5.6"/>
    <n v="8"/>
    <n v="1"/>
    <n v="12"/>
    <n v="0"/>
    <s v="Band B"/>
    <n v="36800"/>
    <n v="12"/>
    <n v="2.9"/>
    <n v="0.3"/>
    <n v="0"/>
    <n v="2.9"/>
    <n v="3.7"/>
    <n v="4.3"/>
    <s v="Yes"/>
    <n v="0"/>
    <n v="0"/>
    <m/>
    <n v="0"/>
    <s v="Stayed"/>
    <m/>
    <n v="1"/>
    <n v="0"/>
    <s v="No Recorded Promotions"/>
    <s v="5+ years"/>
    <s v="Low"/>
    <s v="3.633333333333333"/>
    <s v="0.3333333333333333"/>
    <n v="0"/>
  </r>
  <r>
    <s v="EMP0390"/>
    <x v="2"/>
    <s v="Support Team Lead"/>
    <n v="8.1"/>
    <s v="G1"/>
    <n v="32"/>
    <s v="Diploma"/>
    <s v="Chennai"/>
    <n v="1"/>
    <n v="14.6"/>
    <n v="9"/>
    <n v="4"/>
    <n v="12"/>
    <n v="0"/>
    <s v="Band A"/>
    <n v="25100"/>
    <n v="11.4"/>
    <n v="3.5"/>
    <n v="1.3"/>
    <n v="0"/>
    <n v="4.4000000000000004"/>
    <n v="2.6"/>
    <n v="3"/>
    <s v="Yes"/>
    <n v="0"/>
    <n v="1"/>
    <n v="0.2"/>
    <n v="0"/>
    <s v="Stayed"/>
    <m/>
    <n v="0"/>
    <n v="0"/>
    <s v="Promoted"/>
    <s v="5+ years"/>
    <s v="Moderate"/>
    <s v="3.3333333333333335"/>
    <n v="8.3333333333333301E-2"/>
    <n v="0"/>
  </r>
  <r>
    <s v="EMP0391"/>
    <x v="0"/>
    <s v="Team Lead"/>
    <n v="7.9"/>
    <s v="G2"/>
    <n v="35"/>
    <s v="Bachelor"/>
    <s v="Bengaluru"/>
    <n v="2"/>
    <n v="12.5"/>
    <n v="8"/>
    <n v="2"/>
    <n v="12"/>
    <n v="0"/>
    <s v="Band B"/>
    <n v="38400"/>
    <n v="0"/>
    <n v="3.7"/>
    <n v="0.8"/>
    <n v="0"/>
    <n v="3.9"/>
    <n v="4.0999999999999996"/>
    <n v="3.1"/>
    <s v="Yes"/>
    <n v="0"/>
    <n v="0"/>
    <m/>
    <n v="0"/>
    <s v="Stayed"/>
    <m/>
    <n v="1"/>
    <n v="0"/>
    <s v="No Recorded Promotions"/>
    <s v="5+ years"/>
    <s v="Moderate"/>
    <s v="3.6999999999999997"/>
    <s v="0.16666666666666666"/>
    <n v="0"/>
  </r>
  <r>
    <s v="EMP0392"/>
    <x v="3"/>
    <s v="Software Engineer"/>
    <n v="16.100000000000001"/>
    <s v="G2"/>
    <n v="40"/>
    <s v="Bachelor"/>
    <s v="Chennai"/>
    <n v="2"/>
    <n v="8.9"/>
    <n v="7"/>
    <n v="2"/>
    <n v="12"/>
    <n v="0"/>
    <s v="Band C"/>
    <n v="50700"/>
    <n v="2.7"/>
    <n v="2.2000000000000002"/>
    <n v="2.5"/>
    <n v="0"/>
    <n v="3.1"/>
    <n v="5"/>
    <n v="3.4"/>
    <s v="Yes"/>
    <n v="1"/>
    <n v="0"/>
    <m/>
    <n v="0"/>
    <s v="Stayed"/>
    <m/>
    <n v="1"/>
    <n v="0"/>
    <s v="No Recorded Promotions"/>
    <s v="5+ years"/>
    <s v="Low"/>
    <s v="3.8333333333333335"/>
    <s v="0.16666666666666666"/>
    <n v="0"/>
  </r>
  <r>
    <s v="EMP0393"/>
    <x v="5"/>
    <s v="Financial Analyst"/>
    <n v="2.5"/>
    <s v="G5"/>
    <n v="27"/>
    <s v="Diploma"/>
    <s v="Remote"/>
    <n v="2"/>
    <n v="7.1"/>
    <n v="7"/>
    <n v="3"/>
    <n v="12"/>
    <n v="0"/>
    <s v="Band E"/>
    <n v="110200"/>
    <n v="4.0999999999999996"/>
    <n v="3.4"/>
    <n v="0.1"/>
    <n v="0"/>
    <n v="4.9000000000000004"/>
    <n v="3.1"/>
    <n v="4.5999999999999996"/>
    <s v="Yes"/>
    <n v="0"/>
    <n v="0"/>
    <m/>
    <n v="1"/>
    <s v="Stayed"/>
    <m/>
    <n v="1"/>
    <n v="0"/>
    <s v="No Recorded Promotions"/>
    <s v="1â€“3 years"/>
    <s v="Low"/>
    <n v="4.2"/>
    <s v="0.16666666666666666"/>
    <n v="0"/>
  </r>
  <r>
    <s v="EMP0394"/>
    <x v="0"/>
    <s v="Operations Associate"/>
    <n v="2.5"/>
    <s v="G5"/>
    <n v="30"/>
    <s v="Bachelor"/>
    <s v="Coimbatore"/>
    <n v="1"/>
    <n v="14.2"/>
    <n v="8"/>
    <n v="3"/>
    <n v="12"/>
    <n v="0"/>
    <s v="Band D"/>
    <n v="86800"/>
    <n v="11"/>
    <n v="3"/>
    <n v="2.7"/>
    <n v="0"/>
    <n v="3.2"/>
    <n v="3.3"/>
    <n v="2.7"/>
    <s v="Yes"/>
    <n v="0"/>
    <n v="2"/>
    <n v="1"/>
    <n v="1"/>
    <s v="Stayed"/>
    <m/>
    <n v="0"/>
    <n v="0"/>
    <s v="Promoted"/>
    <s v="1â€“3 years"/>
    <s v="Moderate"/>
    <s v="3.0666666666666664"/>
    <n v="8.3333333333333301E-2"/>
    <n v="0"/>
  </r>
  <r>
    <s v="EMP0395"/>
    <x v="3"/>
    <s v="Senior Software Engineer"/>
    <n v="4.8"/>
    <s v="G5"/>
    <n v="29"/>
    <s v="Master"/>
    <s v="Chennai"/>
    <n v="2"/>
    <n v="3.2"/>
    <n v="18"/>
    <n v="2"/>
    <n v="12"/>
    <n v="0"/>
    <s v="Band D"/>
    <n v="78400"/>
    <n v="5"/>
    <n v="2.8"/>
    <n v="1.2"/>
    <n v="0"/>
    <n v="4.2"/>
    <n v="2.2000000000000002"/>
    <n v="4.5999999999999996"/>
    <s v="Yes"/>
    <n v="0"/>
    <n v="1"/>
    <n v="1.4"/>
    <n v="0"/>
    <s v="Left"/>
    <d v="2024-09-07T00:00:00"/>
    <n v="0"/>
    <n v="0"/>
    <s v="Promoted"/>
    <s v="3â€“5 years"/>
    <s v="Low"/>
    <s v="3.6666666666666665"/>
    <s v="0.16666666666666666"/>
    <n v="1"/>
  </r>
  <r>
    <s v="EMP0396"/>
    <x v="1"/>
    <s v="Recruiter"/>
    <n v="11.9"/>
    <s v="G2"/>
    <n v="39"/>
    <s v="Master"/>
    <s v="Chennai"/>
    <n v="2"/>
    <n v="14"/>
    <n v="9"/>
    <n v="3"/>
    <n v="12"/>
    <n v="0"/>
    <s v="Band B"/>
    <n v="48500"/>
    <n v="9.6"/>
    <n v="2.6"/>
    <n v="2.2000000000000002"/>
    <n v="0"/>
    <n v="3.5"/>
    <n v="2.6"/>
    <n v="2.5"/>
    <s v="Yes"/>
    <n v="0"/>
    <n v="1"/>
    <n v="4.9000000000000004"/>
    <n v="1"/>
    <s v="Stayed"/>
    <m/>
    <n v="0"/>
    <n v="0"/>
    <s v="Promoted"/>
    <s v="5+ years"/>
    <s v="Moderate"/>
    <s v="2.8666666666666667"/>
    <s v="0.16666666666666666"/>
    <n v="0"/>
  </r>
  <r>
    <s v="EMP0397"/>
    <x v="2"/>
    <s v="Support Team Lead"/>
    <n v="8.5"/>
    <s v="G1"/>
    <n v="41"/>
    <s v="Master"/>
    <s v="Coimbatore"/>
    <n v="2"/>
    <n v="11.6"/>
    <n v="8"/>
    <n v="2"/>
    <n v="12"/>
    <n v="0"/>
    <s v="Band A"/>
    <n v="31000"/>
    <n v="7.3"/>
    <n v="2.6"/>
    <n v="3.9"/>
    <n v="0"/>
    <n v="5"/>
    <n v="2.2000000000000002"/>
    <n v="3.1"/>
    <s v="Yes"/>
    <n v="0"/>
    <n v="1"/>
    <n v="3"/>
    <n v="1"/>
    <s v="Stayed"/>
    <m/>
    <n v="0"/>
    <n v="0"/>
    <s v="Promoted"/>
    <s v="5+ years"/>
    <s v="Moderate"/>
    <s v="3.4333333333333336"/>
    <s v="0.16666666666666666"/>
    <n v="0"/>
  </r>
  <r>
    <s v="EMP0398"/>
    <x v="4"/>
    <s v="Sales Executive"/>
    <n v="6.5"/>
    <s v="G2"/>
    <n v="32"/>
    <s v="Doctorate"/>
    <s v="Remote"/>
    <n v="5"/>
    <n v="12.3"/>
    <n v="6"/>
    <n v="2"/>
    <n v="12"/>
    <n v="0"/>
    <s v="Band A"/>
    <n v="34000"/>
    <n v="8.3000000000000007"/>
    <n v="4.3"/>
    <n v="1.8"/>
    <n v="0"/>
    <n v="4"/>
    <n v="3.3"/>
    <n v="3.1"/>
    <s v="Yes"/>
    <n v="1"/>
    <n v="0"/>
    <m/>
    <n v="0"/>
    <s v="Stayed"/>
    <m/>
    <n v="1"/>
    <n v="0"/>
    <s v="No Recorded Promotions"/>
    <s v="5+ years"/>
    <s v="Moderate"/>
    <s v="3.466666666666667"/>
    <s v="0.4166666666666667"/>
    <n v="0"/>
  </r>
  <r>
    <s v="EMP0399"/>
    <x v="1"/>
    <s v="HR Executive"/>
    <n v="8.9"/>
    <s v="G2"/>
    <n v="40"/>
    <s v="Master"/>
    <s v="Remote"/>
    <n v="2"/>
    <n v="4.2"/>
    <n v="14"/>
    <n v="3"/>
    <n v="12"/>
    <n v="0"/>
    <s v="Band A"/>
    <n v="26300"/>
    <n v="10"/>
    <n v="2.9"/>
    <n v="2.7"/>
    <n v="0"/>
    <n v="3.3"/>
    <n v="2.9"/>
    <n v="3.3"/>
    <s v="Yes"/>
    <n v="0"/>
    <n v="1"/>
    <n v="5.0999999999999996"/>
    <n v="1"/>
    <s v="Stayed"/>
    <m/>
    <n v="0"/>
    <n v="0"/>
    <s v="Promoted"/>
    <s v="5+ years"/>
    <s v="Low"/>
    <s v="3.1666666666666665"/>
    <s v="0.16666666666666666"/>
    <n v="0"/>
  </r>
  <r>
    <s v="EMP0400"/>
    <x v="1"/>
    <s v="HR Manager"/>
    <n v="5.3"/>
    <s v="G1"/>
    <n v="34"/>
    <s v="Bachelor"/>
    <s v="Chennai"/>
    <n v="10"/>
    <n v="25.8"/>
    <n v="8"/>
    <n v="1"/>
    <n v="12"/>
    <n v="0"/>
    <s v="Band A"/>
    <n v="26000"/>
    <n v="9.1"/>
    <n v="4.2"/>
    <n v="0.2"/>
    <n v="0"/>
    <n v="3.1"/>
    <n v="3.5"/>
    <n v="3.9"/>
    <s v="Yes"/>
    <n v="0"/>
    <n v="1"/>
    <n v="1.4"/>
    <n v="0"/>
    <s v="Stayed"/>
    <m/>
    <n v="0"/>
    <n v="0"/>
    <s v="Promoted"/>
    <s v="5+ years"/>
    <s v="High"/>
    <n v="3.5"/>
    <s v="0.8333333333333334"/>
    <n v="0"/>
  </r>
  <r>
    <s v="EMP0401"/>
    <x v="4"/>
    <s v="Sales Executive"/>
    <n v="3"/>
    <s v="G1"/>
    <n v="23"/>
    <s v="Master"/>
    <s v="Coimbatore"/>
    <n v="2"/>
    <n v="5.6"/>
    <n v="11"/>
    <n v="3"/>
    <n v="12"/>
    <n v="0"/>
    <s v="Band A"/>
    <n v="26800"/>
    <n v="7.9"/>
    <n v="3.3"/>
    <n v="0.2"/>
    <n v="0"/>
    <n v="3.3"/>
    <n v="2.4"/>
    <n v="3.5"/>
    <s v="Yes"/>
    <n v="0"/>
    <n v="0"/>
    <m/>
    <n v="0"/>
    <s v="Stayed"/>
    <m/>
    <n v="1"/>
    <n v="0"/>
    <s v="No Recorded Promotions"/>
    <s v="1â€“3 years"/>
    <s v="Low"/>
    <s v="3.0666666666666664"/>
    <s v="0.16666666666666666"/>
    <n v="0"/>
  </r>
  <r>
    <s v="EMP0402"/>
    <x v="2"/>
    <s v="Support Specialist"/>
    <n v="13.8"/>
    <s v="G2"/>
    <n v="35"/>
    <s v="Master"/>
    <s v="Chennai"/>
    <n v="3"/>
    <n v="6.4"/>
    <n v="10"/>
    <n v="2"/>
    <n v="12"/>
    <n v="0"/>
    <s v="Band B"/>
    <n v="38500"/>
    <n v="9.3000000000000007"/>
    <n v="2.2000000000000002"/>
    <n v="0.9"/>
    <n v="0"/>
    <n v="2.6"/>
    <n v="3"/>
    <n v="3.9"/>
    <s v="No"/>
    <n v="0"/>
    <n v="1"/>
    <n v="5.6"/>
    <n v="1"/>
    <s v="Stayed"/>
    <m/>
    <n v="0"/>
    <n v="0"/>
    <s v="Promoted"/>
    <s v="5+ years"/>
    <s v="Low"/>
    <s v="3.1666666666666665"/>
    <n v="0.25"/>
    <n v="0"/>
  </r>
  <r>
    <s v="EMP0403"/>
    <x v="0"/>
    <s v="Operations Manager"/>
    <n v="5"/>
    <s v="G2"/>
    <n v="28"/>
    <s v="Master"/>
    <s v="Coimbatore"/>
    <n v="1"/>
    <n v="8.6"/>
    <n v="9"/>
    <n v="1"/>
    <n v="12"/>
    <n v="0"/>
    <s v="Band B"/>
    <n v="43000"/>
    <n v="8.9"/>
    <n v="3.4"/>
    <n v="0.6"/>
    <n v="0"/>
    <n v="2.1"/>
    <n v="2.2999999999999998"/>
    <n v="3.1"/>
    <s v="Yes"/>
    <n v="0"/>
    <n v="1"/>
    <n v="4.5999999999999996"/>
    <n v="0"/>
    <s v="Left"/>
    <d v="2025-10-19T00:00:00"/>
    <n v="0"/>
    <n v="0"/>
    <s v="Promoted"/>
    <s v="3â€“5 years"/>
    <s v="Low"/>
    <n v="2.5"/>
    <n v="8.3333333333333301E-2"/>
    <n v="1"/>
  </r>
  <r>
    <s v="EMP0404"/>
    <x v="3"/>
    <s v="QA Engineer"/>
    <n v="7.8"/>
    <s v="G1"/>
    <n v="30"/>
    <s v="Bachelor"/>
    <s v="Bengaluru"/>
    <n v="2"/>
    <n v="15.9"/>
    <n v="9"/>
    <n v="3"/>
    <n v="12"/>
    <n v="0"/>
    <s v="Band A"/>
    <n v="27500"/>
    <n v="7.2"/>
    <n v="2.1"/>
    <n v="1.9"/>
    <n v="0"/>
    <n v="3.6"/>
    <n v="3.4"/>
    <n v="3.7"/>
    <s v="Yes"/>
    <n v="0"/>
    <n v="0"/>
    <m/>
    <n v="0"/>
    <s v="Stayed"/>
    <m/>
    <n v="1"/>
    <n v="0"/>
    <s v="No Recorded Promotions"/>
    <s v="5+ years"/>
    <s v="Moderate"/>
    <s v="3.5666666666666664"/>
    <s v="0.16666666666666666"/>
    <n v="0"/>
  </r>
  <r>
    <s v="EMP0405"/>
    <x v="2"/>
    <s v="Support Specialist"/>
    <n v="0.3"/>
    <s v="G3"/>
    <n v="26"/>
    <s v="Diploma"/>
    <s v="Chennai"/>
    <n v="3"/>
    <n v="12"/>
    <n v="11"/>
    <n v="5"/>
    <n v="12"/>
    <n v="0"/>
    <s v="Band C"/>
    <n v="52100"/>
    <n v="6.3"/>
    <n v="3.7"/>
    <n v="1.9"/>
    <n v="0"/>
    <n v="2.8"/>
    <n v="1.7"/>
    <n v="3.5"/>
    <s v="Yes"/>
    <n v="0"/>
    <n v="0"/>
    <m/>
    <n v="0"/>
    <s v="Stayed"/>
    <m/>
    <n v="1"/>
    <n v="0"/>
    <s v="No Recorded Promotions"/>
    <s v="0â€“1 years"/>
    <s v="Moderate"/>
    <s v="2.6666666666666665"/>
    <n v="0.25"/>
    <n v="0"/>
  </r>
  <r>
    <s v="EMP0406"/>
    <x v="2"/>
    <s v="Support Team Lead"/>
    <n v="0.4"/>
    <s v="G2"/>
    <n v="29"/>
    <s v="Master"/>
    <s v="Bengaluru"/>
    <n v="3"/>
    <n v="1.9"/>
    <n v="13"/>
    <n v="0"/>
    <n v="12"/>
    <n v="0"/>
    <s v="Band B"/>
    <n v="48800"/>
    <n v="15.5"/>
    <n v="3"/>
    <n v="3.2"/>
    <n v="0"/>
    <n v="2.8"/>
    <n v="3.3"/>
    <n v="2.2999999999999998"/>
    <s v="Yes"/>
    <n v="0"/>
    <n v="2"/>
    <n v="0.5"/>
    <n v="3"/>
    <s v="Left"/>
    <d v="2025-03-27T00:00:00"/>
    <n v="0"/>
    <n v="0"/>
    <s v="Promoted"/>
    <s v="0â€“1 years"/>
    <s v="Low"/>
    <s v="2.7999999999999994"/>
    <n v="0.25"/>
    <n v="1"/>
  </r>
  <r>
    <s v="EMP0407"/>
    <x v="4"/>
    <s v="Account Manager"/>
    <n v="4.2"/>
    <s v="G4"/>
    <n v="35"/>
    <s v="Bachelor"/>
    <s v="Hyderabad"/>
    <n v="1"/>
    <n v="9.9"/>
    <n v="11"/>
    <n v="4"/>
    <n v="12"/>
    <n v="0"/>
    <s v="Band C"/>
    <n v="73300"/>
    <n v="6.2"/>
    <n v="4"/>
    <n v="1.2"/>
    <n v="0"/>
    <n v="3.2"/>
    <n v="2.9"/>
    <n v="3.8"/>
    <s v="Yes"/>
    <n v="0"/>
    <n v="0"/>
    <m/>
    <n v="1"/>
    <s v="Stayed"/>
    <m/>
    <n v="1"/>
    <n v="0"/>
    <s v="No Recorded Promotions"/>
    <s v="3â€“5 years"/>
    <s v="Low"/>
    <s v="3.2999999999999994"/>
    <n v="8.3333333333333301E-2"/>
    <n v="0"/>
  </r>
  <r>
    <s v="EMP0408"/>
    <x v="2"/>
    <s v="Support Team Lead"/>
    <n v="1.8"/>
    <s v="G2"/>
    <n v="29"/>
    <s v="Bachelor"/>
    <s v="Chennai"/>
    <n v="6"/>
    <n v="10.6"/>
    <n v="7"/>
    <n v="2"/>
    <n v="12"/>
    <n v="0"/>
    <s v="Band B"/>
    <n v="37500"/>
    <n v="13.5"/>
    <n v="4.5"/>
    <n v="0.2"/>
    <n v="0"/>
    <n v="3.3"/>
    <n v="3.4"/>
    <n v="3.5"/>
    <s v="Yes"/>
    <n v="0"/>
    <n v="0"/>
    <m/>
    <n v="0"/>
    <s v="Stayed"/>
    <m/>
    <n v="1"/>
    <n v="0"/>
    <s v="No Recorded Promotions"/>
    <s v="1â€“3 years"/>
    <s v="Moderate"/>
    <n v="3.4"/>
    <n v="0.5"/>
    <n v="0"/>
  </r>
  <r>
    <s v="EMP0409"/>
    <x v="3"/>
    <s v="Senior Software Engineer"/>
    <n v="4.5"/>
    <s v="G3"/>
    <n v="29"/>
    <s v="Bachelor"/>
    <s v="Chennai"/>
    <n v="0"/>
    <n v="26.3"/>
    <n v="9"/>
    <n v="0"/>
    <n v="12"/>
    <n v="0"/>
    <s v="Band C"/>
    <n v="53300"/>
    <n v="5.3"/>
    <n v="1.6"/>
    <n v="3.3"/>
    <n v="0"/>
    <n v="3.3"/>
    <n v="1.7"/>
    <n v="2.8"/>
    <s v="No"/>
    <n v="0"/>
    <n v="2"/>
    <n v="0.2"/>
    <n v="0"/>
    <s v="Stayed"/>
    <m/>
    <n v="0"/>
    <n v="0"/>
    <s v="Promoted"/>
    <s v="3â€“5 years"/>
    <s v="High"/>
    <n v="2.6"/>
    <n v="0"/>
    <n v="0"/>
  </r>
  <r>
    <s v="EMP0410"/>
    <x v="2"/>
    <s v="Support Associate"/>
    <n v="2.5"/>
    <s v="G1"/>
    <n v="21"/>
    <s v="Bachelor"/>
    <s v="Chennai"/>
    <n v="3"/>
    <n v="7.6"/>
    <n v="8"/>
    <n v="3"/>
    <n v="12"/>
    <n v="0"/>
    <s v="Band A"/>
    <n v="30500"/>
    <n v="11.2"/>
    <n v="2.8"/>
    <n v="3.1"/>
    <n v="0"/>
    <n v="4.9000000000000004"/>
    <n v="3.8"/>
    <n v="3.1"/>
    <s v="Yes"/>
    <n v="0"/>
    <n v="2"/>
    <n v="2.1"/>
    <n v="0"/>
    <s v="Stayed"/>
    <m/>
    <n v="0"/>
    <n v="0"/>
    <s v="Promoted"/>
    <s v="1â€“3 years"/>
    <s v="Low"/>
    <s v="3.933333333333333"/>
    <n v="0.25"/>
    <n v="0"/>
  </r>
  <r>
    <s v="EMP0411"/>
    <x v="0"/>
    <s v="Team Lead"/>
    <n v="17.600000000000001"/>
    <s v="G2"/>
    <n v="44"/>
    <s v="Diploma"/>
    <s v="Chennai"/>
    <n v="2"/>
    <n v="14.9"/>
    <n v="14"/>
    <n v="3"/>
    <n v="12"/>
    <n v="0"/>
    <s v="Band B"/>
    <n v="50000"/>
    <n v="15.1"/>
    <n v="2.1"/>
    <n v="0.9"/>
    <n v="0"/>
    <n v="3.9"/>
    <n v="2.9"/>
    <n v="3.1"/>
    <s v="Yes"/>
    <n v="0"/>
    <n v="1"/>
    <n v="6.7"/>
    <n v="1"/>
    <s v="Stayed"/>
    <m/>
    <n v="0"/>
    <n v="0"/>
    <s v="Promoted"/>
    <s v="5+ years"/>
    <s v="Moderate"/>
    <s v="3.3000000000000003"/>
    <s v="0.16666666666666666"/>
    <n v="0"/>
  </r>
  <r>
    <s v="EMP0412"/>
    <x v="0"/>
    <s v="Operations Associate"/>
    <n v="7.4"/>
    <s v="G1"/>
    <n v="34"/>
    <s v="Doctorate"/>
    <s v="Chennai"/>
    <n v="4"/>
    <n v="45"/>
    <n v="12"/>
    <n v="2"/>
    <n v="12"/>
    <n v="0"/>
    <s v="Band A"/>
    <n v="26600"/>
    <n v="6.6"/>
    <n v="5"/>
    <n v="3.2"/>
    <n v="0"/>
    <n v="5"/>
    <n v="3.4"/>
    <n v="3.2"/>
    <s v="Yes"/>
    <n v="0"/>
    <n v="0"/>
    <m/>
    <n v="0"/>
    <s v="Stayed"/>
    <m/>
    <n v="1"/>
    <n v="0"/>
    <s v="No Recorded Promotions"/>
    <s v="5+ years"/>
    <s v="High"/>
    <s v="3.866666666666667"/>
    <s v="0.3333333333333333"/>
    <n v="0"/>
  </r>
  <r>
    <s v="EMP0413"/>
    <x v="3"/>
    <s v="Data Analyst"/>
    <n v="9.4"/>
    <s v="G1"/>
    <n v="36"/>
    <s v="Master"/>
    <s v="Bengaluru"/>
    <n v="2"/>
    <n v="23.1"/>
    <n v="9"/>
    <n v="1"/>
    <n v="12"/>
    <n v="0"/>
    <s v="Band A"/>
    <n v="29600"/>
    <n v="5.3"/>
    <n v="2.8"/>
    <n v="1"/>
    <n v="0"/>
    <n v="2.9"/>
    <n v="1.5"/>
    <n v="4.8"/>
    <s v="Yes"/>
    <n v="0"/>
    <n v="2"/>
    <n v="4.3"/>
    <n v="1"/>
    <s v="Stayed"/>
    <m/>
    <n v="0"/>
    <n v="0"/>
    <s v="Promoted"/>
    <s v="5+ years"/>
    <s v="High"/>
    <s v="3.0666666666666664"/>
    <s v="0.16666666666666666"/>
    <n v="0"/>
  </r>
  <r>
    <s v="EMP0414"/>
    <x v="2"/>
    <s v="Support Specialist"/>
    <n v="0.5"/>
    <s v="G3"/>
    <n v="35"/>
    <s v="Master"/>
    <s v="Chennai"/>
    <n v="1"/>
    <n v="3.9"/>
    <n v="10"/>
    <n v="4"/>
    <n v="12"/>
    <n v="0"/>
    <s v="Band B"/>
    <n v="47800"/>
    <n v="6.3"/>
    <n v="2"/>
    <n v="0.4"/>
    <n v="0"/>
    <n v="4"/>
    <n v="2.1"/>
    <n v="5"/>
    <s v="Yes"/>
    <n v="0"/>
    <n v="0"/>
    <m/>
    <n v="2"/>
    <s v="Stayed"/>
    <m/>
    <n v="1"/>
    <n v="0"/>
    <s v="No Recorded Promotions"/>
    <s v="0â€“1 years"/>
    <s v="Low"/>
    <s v="3.6999999999999997"/>
    <n v="8.3333333333333301E-2"/>
    <n v="0"/>
  </r>
  <r>
    <s v="EMP0415"/>
    <x v="3"/>
    <s v="Senior Software Engineer"/>
    <n v="6.4"/>
    <s v="G2"/>
    <n v="37"/>
    <s v="Bachelor"/>
    <s v="Bengaluru"/>
    <n v="2"/>
    <n v="17.600000000000001"/>
    <n v="8"/>
    <n v="4"/>
    <n v="12"/>
    <n v="0"/>
    <s v="Band B"/>
    <n v="39100"/>
    <n v="7.9"/>
    <n v="5"/>
    <n v="2.6"/>
    <n v="0"/>
    <n v="3"/>
    <n v="2.8"/>
    <n v="1.2"/>
    <s v="Yes"/>
    <n v="0"/>
    <n v="0"/>
    <m/>
    <n v="1"/>
    <s v="Stayed"/>
    <m/>
    <n v="1"/>
    <n v="0"/>
    <s v="No Recorded Promotions"/>
    <s v="5+ years"/>
    <s v="Moderate"/>
    <s v="2.3333333333333335"/>
    <s v="0.16666666666666666"/>
    <n v="0"/>
  </r>
  <r>
    <s v="EMP0416"/>
    <x v="4"/>
    <s v="Account Manager"/>
    <n v="3.3"/>
    <s v="G1"/>
    <n v="32"/>
    <s v="Bachelor"/>
    <s v="Hyderabad"/>
    <n v="3"/>
    <n v="14.1"/>
    <n v="7"/>
    <n v="1"/>
    <n v="12"/>
    <n v="0"/>
    <s v="Band A"/>
    <n v="34800"/>
    <n v="9.3000000000000007"/>
    <n v="2.5"/>
    <n v="0.6"/>
    <n v="0"/>
    <n v="2.8"/>
    <n v="4.4000000000000004"/>
    <n v="3.8"/>
    <s v="Yes"/>
    <n v="0"/>
    <n v="0"/>
    <m/>
    <n v="0"/>
    <s v="Stayed"/>
    <m/>
    <n v="1"/>
    <n v="0"/>
    <s v="No Recorded Promotions"/>
    <s v="3â€“5 years"/>
    <s v="Moderate"/>
    <s v="3.6666666666666665"/>
    <n v="0.25"/>
    <n v="0"/>
  </r>
  <r>
    <s v="EMP0417"/>
    <x v="3"/>
    <s v="QA Engineer"/>
    <n v="9.5"/>
    <s v="G5"/>
    <n v="32"/>
    <s v="Bachelor"/>
    <s v="Remote"/>
    <n v="6"/>
    <n v="7.4"/>
    <n v="10"/>
    <n v="1"/>
    <n v="12"/>
    <n v="0"/>
    <s v="Band E"/>
    <n v="113500"/>
    <n v="7.8"/>
    <n v="1.7"/>
    <n v="2.9"/>
    <n v="0"/>
    <n v="5"/>
    <n v="3.7"/>
    <n v="4.2"/>
    <s v="No"/>
    <n v="0"/>
    <n v="1"/>
    <n v="4.3"/>
    <n v="1"/>
    <s v="Stayed"/>
    <m/>
    <n v="0"/>
    <n v="0"/>
    <s v="Promoted"/>
    <s v="5+ years"/>
    <s v="Low"/>
    <n v="4.3"/>
    <n v="0.5"/>
    <n v="0"/>
  </r>
  <r>
    <s v="EMP0418"/>
    <x v="0"/>
    <s v="Operations Associate"/>
    <n v="5.8"/>
    <s v="G1"/>
    <n v="30"/>
    <s v="Bachelor"/>
    <s v="Bengaluru"/>
    <n v="4"/>
    <n v="17.7"/>
    <n v="7"/>
    <n v="1"/>
    <n v="12"/>
    <n v="0"/>
    <s v="Band A"/>
    <n v="29300"/>
    <n v="6.3"/>
    <n v="2.2000000000000002"/>
    <n v="0.3"/>
    <n v="0"/>
    <n v="2.6"/>
    <n v="3.3"/>
    <n v="3.2"/>
    <s v="Yes"/>
    <n v="0"/>
    <n v="0"/>
    <m/>
    <n v="0"/>
    <s v="Stayed"/>
    <m/>
    <n v="1"/>
    <n v="0"/>
    <s v="No Recorded Promotions"/>
    <s v="5+ years"/>
    <s v="Moderate"/>
    <s v="3.0333333333333337"/>
    <s v="0.3333333333333333"/>
    <n v="0"/>
  </r>
  <r>
    <s v="EMP0419"/>
    <x v="3"/>
    <s v="Senior Software Engineer"/>
    <n v="3.6"/>
    <s v="G3"/>
    <n v="29"/>
    <s v="Diploma"/>
    <s v="Chennai"/>
    <n v="2"/>
    <n v="3.9"/>
    <n v="10"/>
    <n v="0"/>
    <n v="12"/>
    <n v="0"/>
    <s v="Band C"/>
    <n v="61200"/>
    <n v="15.8"/>
    <n v="3.3"/>
    <n v="5.7"/>
    <n v="0"/>
    <n v="1.3"/>
    <n v="2.4"/>
    <n v="4.0999999999999996"/>
    <s v="Yes"/>
    <n v="0"/>
    <n v="1"/>
    <n v="2.2999999999999998"/>
    <n v="0"/>
    <s v="Stayed"/>
    <m/>
    <n v="0"/>
    <n v="0"/>
    <s v="Promoted"/>
    <s v="3â€“5 years"/>
    <s v="Low"/>
    <n v="2.6"/>
    <s v="0.16666666666666666"/>
    <n v="0"/>
  </r>
  <r>
    <s v="EMP0420"/>
    <x v="2"/>
    <s v="Support Specialist"/>
    <n v="1.3"/>
    <s v="G3"/>
    <n v="24"/>
    <s v="Master"/>
    <s v="Chennai"/>
    <n v="2"/>
    <n v="5.7"/>
    <n v="10"/>
    <n v="2"/>
    <n v="12"/>
    <n v="0"/>
    <s v="Band C"/>
    <n v="53200"/>
    <n v="7.2"/>
    <n v="3.2"/>
    <n v="0.9"/>
    <n v="0"/>
    <n v="2.7"/>
    <n v="2.2000000000000002"/>
    <n v="4.7"/>
    <s v="Yes"/>
    <n v="0"/>
    <n v="0"/>
    <m/>
    <n v="0"/>
    <s v="Stayed"/>
    <m/>
    <n v="1"/>
    <n v="0"/>
    <s v="No Recorded Promotions"/>
    <s v="1â€“3 years"/>
    <s v="Low"/>
    <s v="3.2000000000000006"/>
    <s v="0.16666666666666666"/>
    <n v="0"/>
  </r>
  <r>
    <s v="EMP0421"/>
    <x v="0"/>
    <s v="Operations Associate"/>
    <n v="4.2"/>
    <s v="G2"/>
    <n v="32"/>
    <s v="Doctorate"/>
    <s v="Chennai"/>
    <n v="3"/>
    <n v="8.6999999999999993"/>
    <n v="14"/>
    <n v="5"/>
    <n v="12"/>
    <n v="0"/>
    <s v="Band A"/>
    <n v="31500"/>
    <n v="5.5"/>
    <n v="2.4"/>
    <n v="0.8"/>
    <n v="0"/>
    <n v="1.5"/>
    <n v="3.4"/>
    <n v="2.2999999999999998"/>
    <s v="Yes"/>
    <n v="0"/>
    <n v="1"/>
    <n v="3"/>
    <n v="1"/>
    <s v="Stayed"/>
    <m/>
    <n v="0"/>
    <n v="0"/>
    <s v="Promoted"/>
    <s v="3â€“5 years"/>
    <s v="Low"/>
    <n v="2.4"/>
    <n v="0.25"/>
    <n v="0"/>
  </r>
  <r>
    <s v="EMP0422"/>
    <x v="3"/>
    <s v="Data Analyst"/>
    <n v="8.1"/>
    <s v="G2"/>
    <n v="36"/>
    <s v="Bachelor"/>
    <s v="Remote"/>
    <n v="3"/>
    <n v="7.1"/>
    <n v="13"/>
    <n v="2"/>
    <n v="12"/>
    <n v="0"/>
    <s v="Band B"/>
    <n v="49800"/>
    <n v="11.3"/>
    <n v="2.8"/>
    <n v="2.5"/>
    <n v="0"/>
    <n v="2.4"/>
    <n v="3.8"/>
    <n v="3.5"/>
    <s v="Yes"/>
    <n v="0"/>
    <n v="0"/>
    <m/>
    <n v="0"/>
    <s v="Stayed"/>
    <m/>
    <n v="1"/>
    <n v="0"/>
    <s v="No Recorded Promotions"/>
    <s v="5+ years"/>
    <s v="Low"/>
    <s v="3.233333333333333"/>
    <n v="0.25"/>
    <n v="0"/>
  </r>
  <r>
    <s v="EMP0423"/>
    <x v="3"/>
    <s v="Software Engineer"/>
    <n v="9.9"/>
    <s v="G1"/>
    <n v="32"/>
    <s v="Bachelor"/>
    <s v="Remote"/>
    <n v="2"/>
    <n v="16.3"/>
    <n v="7"/>
    <n v="0"/>
    <n v="12"/>
    <n v="0"/>
    <s v="Band A"/>
    <n v="30700"/>
    <n v="11.4"/>
    <n v="3.2"/>
    <n v="1.8"/>
    <n v="0"/>
    <n v="2.5"/>
    <n v="3.4"/>
    <n v="5"/>
    <s v="Yes"/>
    <n v="0"/>
    <n v="0"/>
    <m/>
    <n v="1"/>
    <s v="Stayed"/>
    <m/>
    <n v="1"/>
    <n v="0"/>
    <s v="No Recorded Promotions"/>
    <s v="5+ years"/>
    <s v="Moderate"/>
    <s v="3.6333333333333333"/>
    <s v="0.16666666666666666"/>
    <n v="0"/>
  </r>
  <r>
    <s v="EMP0424"/>
    <x v="3"/>
    <s v="Data Analyst"/>
    <n v="2.9"/>
    <s v="G3"/>
    <n v="34"/>
    <s v="Bachelor"/>
    <s v="Coimbatore"/>
    <n v="2"/>
    <n v="9.6999999999999993"/>
    <n v="12"/>
    <n v="2"/>
    <n v="12"/>
    <n v="0"/>
    <s v="Band B"/>
    <n v="38400"/>
    <n v="13.6"/>
    <n v="4.4000000000000004"/>
    <n v="0.9"/>
    <n v="0"/>
    <n v="3.3"/>
    <n v="4.7"/>
    <n v="2.4"/>
    <s v="Yes"/>
    <n v="0"/>
    <n v="0"/>
    <m/>
    <n v="0"/>
    <s v="Stayed"/>
    <m/>
    <n v="1"/>
    <n v="0"/>
    <s v="No Recorded Promotions"/>
    <s v="1â€“3 years"/>
    <s v="Low"/>
    <s v="3.466666666666667"/>
    <s v="0.16666666666666666"/>
    <n v="0"/>
  </r>
  <r>
    <s v="EMP0425"/>
    <x v="0"/>
    <s v="Team Lead"/>
    <n v="15.8"/>
    <s v="G2"/>
    <n v="42"/>
    <s v="Diploma"/>
    <s v="Chennai"/>
    <n v="6"/>
    <n v="6.5"/>
    <n v="14"/>
    <n v="0"/>
    <n v="12"/>
    <n v="0"/>
    <s v="Band B"/>
    <n v="37100"/>
    <n v="15.7"/>
    <n v="3.5"/>
    <n v="0.8"/>
    <n v="0"/>
    <n v="1.5"/>
    <n v="2.6"/>
    <n v="3.3"/>
    <s v="Yes"/>
    <n v="0"/>
    <n v="2"/>
    <n v="10.5"/>
    <n v="0"/>
    <s v="Stayed"/>
    <m/>
    <n v="0"/>
    <n v="0"/>
    <s v="Promoted"/>
    <s v="5+ years"/>
    <s v="Low"/>
    <s v="2.4666666666666663"/>
    <n v="0.5"/>
    <n v="0"/>
  </r>
  <r>
    <s v="EMP0426"/>
    <x v="0"/>
    <s v="Team Lead"/>
    <n v="7.7"/>
    <s v="G1"/>
    <n v="27"/>
    <s v="Bachelor"/>
    <s v="Coimbatore"/>
    <n v="4"/>
    <n v="22.9"/>
    <n v="15"/>
    <n v="2"/>
    <n v="12"/>
    <n v="0"/>
    <s v="Band A"/>
    <n v="34500"/>
    <n v="9.4"/>
    <n v="2.7"/>
    <n v="4.4000000000000004"/>
    <n v="0"/>
    <n v="4.4000000000000004"/>
    <n v="3.4"/>
    <n v="3"/>
    <s v="Yes"/>
    <n v="0"/>
    <n v="0"/>
    <m/>
    <n v="1"/>
    <s v="Stayed"/>
    <m/>
    <n v="1"/>
    <n v="0"/>
    <s v="No Recorded Promotions"/>
    <s v="5+ years"/>
    <s v="High"/>
    <n v="3.6"/>
    <s v="0.3333333333333333"/>
    <n v="0"/>
  </r>
  <r>
    <s v="EMP0427"/>
    <x v="3"/>
    <s v="Software Engineer"/>
    <n v="1.8"/>
    <s v="G2"/>
    <n v="28"/>
    <s v="Bachelor"/>
    <s v="Chennai"/>
    <n v="4"/>
    <n v="15.9"/>
    <n v="4"/>
    <n v="1"/>
    <n v="12"/>
    <n v="0"/>
    <s v="Band A"/>
    <n v="30800"/>
    <n v="6.8"/>
    <n v="3"/>
    <n v="1.1000000000000001"/>
    <n v="0"/>
    <n v="1.6"/>
    <n v="1.7"/>
    <n v="4.2"/>
    <s v="Yes"/>
    <n v="0"/>
    <n v="0"/>
    <m/>
    <n v="0"/>
    <s v="Stayed"/>
    <m/>
    <n v="1"/>
    <n v="0"/>
    <s v="No Recorded Promotions"/>
    <s v="1â€“3 years"/>
    <s v="Moderate"/>
    <n v="2.5"/>
    <s v="0.3333333333333333"/>
    <n v="0"/>
  </r>
  <r>
    <s v="EMP0428"/>
    <x v="2"/>
    <s v="Support Specialist"/>
    <n v="1.5"/>
    <s v="G4"/>
    <n v="29"/>
    <s v="Bachelor"/>
    <s v="Remote"/>
    <n v="1"/>
    <n v="2.4"/>
    <n v="8"/>
    <n v="2"/>
    <n v="12"/>
    <n v="0"/>
    <s v="Band D"/>
    <n v="81300"/>
    <n v="0.4"/>
    <n v="3.9"/>
    <n v="1.2"/>
    <n v="0"/>
    <n v="3.2"/>
    <n v="3.4"/>
    <n v="4.4000000000000004"/>
    <s v="Yes"/>
    <n v="0"/>
    <n v="2"/>
    <n v="0.9"/>
    <n v="0"/>
    <s v="Stayed"/>
    <m/>
    <n v="0"/>
    <n v="0"/>
    <s v="Promoted"/>
    <s v="1â€“3 years"/>
    <s v="Low"/>
    <s v="3.6666666666666665"/>
    <n v="8.3333333333333301E-2"/>
    <n v="0"/>
  </r>
  <r>
    <s v="EMP0429"/>
    <x v="3"/>
    <s v="Data Analyst"/>
    <n v="3.4"/>
    <s v="G4"/>
    <n v="33"/>
    <s v="Bachelor"/>
    <s v="Chennai"/>
    <n v="2"/>
    <n v="2.2999999999999998"/>
    <n v="12"/>
    <n v="0"/>
    <n v="12"/>
    <n v="0"/>
    <s v="Band C"/>
    <n v="72200"/>
    <n v="4.2"/>
    <n v="4.7"/>
    <n v="0.3"/>
    <n v="0"/>
    <n v="3"/>
    <n v="4.5"/>
    <n v="3.5"/>
    <s v="Yes"/>
    <n v="0"/>
    <n v="0"/>
    <m/>
    <n v="0"/>
    <s v="Stayed"/>
    <m/>
    <n v="1"/>
    <n v="0"/>
    <s v="No Recorded Promotions"/>
    <s v="3â€“5 years"/>
    <s v="Low"/>
    <s v="3.6666666666666665"/>
    <s v="0.16666666666666666"/>
    <n v="0"/>
  </r>
  <r>
    <s v="EMP0430"/>
    <x v="0"/>
    <s v="Operations Associate"/>
    <n v="2.8"/>
    <s v="G5"/>
    <n v="27"/>
    <s v="Master"/>
    <s v="Coimbatore"/>
    <n v="7"/>
    <n v="6.5"/>
    <n v="13"/>
    <n v="4"/>
    <n v="12"/>
    <n v="0"/>
    <s v="Band D"/>
    <n v="104400"/>
    <n v="8.8000000000000007"/>
    <n v="2.2000000000000002"/>
    <n v="3.7"/>
    <n v="0"/>
    <n v="4"/>
    <n v="2.2999999999999998"/>
    <n v="3.4"/>
    <s v="No"/>
    <n v="0"/>
    <n v="2"/>
    <n v="1.8"/>
    <n v="2"/>
    <s v="Stayed"/>
    <m/>
    <n v="0"/>
    <n v="0"/>
    <s v="Promoted"/>
    <s v="1â€“3 years"/>
    <s v="Low"/>
    <s v="3.233333333333333"/>
    <s v="0.5833333333333334"/>
    <n v="0"/>
  </r>
  <r>
    <s v="EMP0431"/>
    <x v="2"/>
    <s v="Support Associate"/>
    <n v="5.3"/>
    <s v="G3"/>
    <n v="35"/>
    <s v="Bachelor"/>
    <s v="Coimbatore"/>
    <n v="2"/>
    <n v="2.7"/>
    <n v="7"/>
    <n v="2"/>
    <n v="12"/>
    <n v="0"/>
    <s v="Band C"/>
    <n v="52900"/>
    <n v="3.3"/>
    <n v="4.2"/>
    <n v="0.5"/>
    <n v="0"/>
    <n v="3.6"/>
    <n v="4"/>
    <n v="2"/>
    <s v="No"/>
    <n v="0"/>
    <n v="0"/>
    <m/>
    <n v="0"/>
    <s v="Stayed"/>
    <m/>
    <n v="1"/>
    <n v="0"/>
    <s v="No Recorded Promotions"/>
    <s v="5+ years"/>
    <s v="Low"/>
    <s v="3.1999999999999997"/>
    <s v="0.16666666666666666"/>
    <n v="0"/>
  </r>
  <r>
    <s v="EMP0432"/>
    <x v="0"/>
    <s v="Team Lead"/>
    <n v="3.9"/>
    <s v="G3"/>
    <n v="31"/>
    <s v="Diploma"/>
    <s v="Chennai"/>
    <n v="3"/>
    <n v="20.3"/>
    <n v="10"/>
    <n v="2"/>
    <n v="12"/>
    <n v="0"/>
    <s v="Band C"/>
    <n v="56800"/>
    <n v="1.7"/>
    <n v="2.9"/>
    <n v="0.4"/>
    <n v="0"/>
    <n v="4.4000000000000004"/>
    <n v="4.5"/>
    <n v="4.5"/>
    <s v="Yes"/>
    <n v="0"/>
    <n v="0"/>
    <m/>
    <n v="0"/>
    <s v="Stayed"/>
    <m/>
    <n v="1"/>
    <n v="0"/>
    <s v="No Recorded Promotions"/>
    <s v="3â€“5 years"/>
    <s v="High"/>
    <s v="4.466666666666667"/>
    <n v="0.25"/>
    <n v="0"/>
  </r>
  <r>
    <s v="EMP0433"/>
    <x v="0"/>
    <s v="Operations Associate"/>
    <n v="3"/>
    <s v="G2"/>
    <n v="24"/>
    <s v="Diploma"/>
    <s v="Coimbatore"/>
    <n v="2"/>
    <n v="5.9"/>
    <n v="7"/>
    <n v="1"/>
    <n v="12"/>
    <n v="0"/>
    <s v="Band B"/>
    <n v="40000"/>
    <n v="8.3000000000000007"/>
    <n v="1.7"/>
    <n v="2.8"/>
    <n v="0"/>
    <n v="3"/>
    <n v="2.6"/>
    <n v="3.1"/>
    <s v="Yes"/>
    <n v="0"/>
    <n v="1"/>
    <n v="0.6"/>
    <n v="0"/>
    <s v="Stayed"/>
    <m/>
    <n v="0"/>
    <n v="0"/>
    <s v="Promoted"/>
    <s v="1â€“3 years"/>
    <s v="Low"/>
    <n v="2.9"/>
    <s v="0.16666666666666666"/>
    <n v="0"/>
  </r>
  <r>
    <s v="EMP0434"/>
    <x v="2"/>
    <s v="Support Associate"/>
    <n v="0.9"/>
    <s v="G4"/>
    <n v="21"/>
    <s v="Bachelor"/>
    <s v="Hyderabad"/>
    <n v="5"/>
    <n v="14.9"/>
    <n v="6"/>
    <n v="5"/>
    <n v="12"/>
    <n v="0"/>
    <s v="Band C"/>
    <n v="69700"/>
    <n v="11.1"/>
    <n v="1.6"/>
    <n v="1.5"/>
    <n v="0"/>
    <n v="3.3"/>
    <n v="3.6"/>
    <n v="3.3"/>
    <s v="Yes"/>
    <n v="1"/>
    <n v="0"/>
    <m/>
    <n v="0"/>
    <s v="Stayed"/>
    <m/>
    <n v="1"/>
    <n v="0"/>
    <s v="No Recorded Promotions"/>
    <s v="0â€“1 years"/>
    <s v="Moderate"/>
    <n v="3.4"/>
    <s v="0.4166666666666667"/>
    <n v="0"/>
  </r>
  <r>
    <s v="EMP0435"/>
    <x v="3"/>
    <s v="Senior Software Engineer"/>
    <n v="5.9"/>
    <s v="G2"/>
    <n v="36"/>
    <s v="Bachelor"/>
    <s v="Chennai"/>
    <n v="4"/>
    <n v="17.399999999999999"/>
    <n v="14"/>
    <n v="2"/>
    <n v="12"/>
    <n v="0"/>
    <s v="Band B"/>
    <n v="35100"/>
    <n v="7"/>
    <n v="4.4000000000000004"/>
    <n v="0.8"/>
    <n v="0"/>
    <n v="3.7"/>
    <n v="4.5999999999999996"/>
    <n v="4.2"/>
    <s v="Yes"/>
    <n v="0"/>
    <n v="1"/>
    <n v="2.8"/>
    <n v="0"/>
    <s v="Left"/>
    <d v="2024-02-20T00:00:00"/>
    <n v="0"/>
    <n v="0"/>
    <s v="Promoted"/>
    <s v="5+ years"/>
    <s v="Moderate"/>
    <s v="4.166666666666667"/>
    <s v="0.3333333333333333"/>
    <n v="1"/>
  </r>
  <r>
    <s v="EMP0436"/>
    <x v="3"/>
    <s v="QA Engineer"/>
    <n v="0.8"/>
    <s v="G2"/>
    <n v="32"/>
    <s v="Master"/>
    <s v="Bengaluru"/>
    <n v="1"/>
    <n v="1.2"/>
    <n v="14"/>
    <n v="0"/>
    <n v="12"/>
    <n v="0"/>
    <s v="Band B"/>
    <n v="39600"/>
    <n v="11.6"/>
    <n v="4.5"/>
    <n v="1"/>
    <n v="0"/>
    <n v="4.2"/>
    <n v="3.4"/>
    <n v="3.6"/>
    <s v="Yes"/>
    <n v="0"/>
    <n v="0"/>
    <m/>
    <n v="0"/>
    <s v="Stayed"/>
    <m/>
    <n v="1"/>
    <n v="0"/>
    <s v="No Recorded Promotions"/>
    <s v="0â€“1 years"/>
    <s v="Low"/>
    <s v="3.733333333333333"/>
    <n v="8.3333333333333301E-2"/>
    <n v="0"/>
  </r>
  <r>
    <s v="EMP0437"/>
    <x v="3"/>
    <s v="QA Engineer"/>
    <n v="7.7"/>
    <s v="G3"/>
    <n v="35"/>
    <s v="Master"/>
    <s v="Coimbatore"/>
    <n v="0"/>
    <n v="6.2"/>
    <n v="8"/>
    <n v="2"/>
    <n v="12"/>
    <n v="0"/>
    <s v="Band B"/>
    <n v="44100"/>
    <n v="10.5"/>
    <n v="2.7"/>
    <n v="0.5"/>
    <n v="0"/>
    <n v="4"/>
    <n v="3.9"/>
    <n v="4.2"/>
    <s v="Yes"/>
    <n v="0"/>
    <n v="0"/>
    <m/>
    <n v="1"/>
    <s v="Stayed"/>
    <m/>
    <n v="1"/>
    <n v="0"/>
    <s v="No Recorded Promotions"/>
    <s v="5+ years"/>
    <s v="Low"/>
    <s v="4.033333333333334"/>
    <n v="0"/>
    <n v="0"/>
  </r>
  <r>
    <s v="EMP0438"/>
    <x v="5"/>
    <s v="Finance Manager"/>
    <n v="0.5"/>
    <s v="G3"/>
    <n v="32"/>
    <s v="Bachelor"/>
    <s v="Chennai"/>
    <n v="6"/>
    <n v="8.4"/>
    <n v="9"/>
    <n v="1"/>
    <n v="12"/>
    <n v="0"/>
    <s v="Band C"/>
    <n v="57800"/>
    <n v="12.6"/>
    <n v="3"/>
    <n v="0.6"/>
    <n v="0"/>
    <n v="3.6"/>
    <n v="1.6"/>
    <n v="3.9"/>
    <s v="Yes"/>
    <n v="0"/>
    <n v="0"/>
    <m/>
    <n v="0"/>
    <s v="Stayed"/>
    <m/>
    <n v="1"/>
    <n v="0"/>
    <s v="No Recorded Promotions"/>
    <s v="0â€“1 years"/>
    <s v="Low"/>
    <s v="3.033333333333333"/>
    <n v="0.5"/>
    <n v="0"/>
  </r>
  <r>
    <s v="EMP0439"/>
    <x v="0"/>
    <s v="Operations Manager"/>
    <n v="0.8"/>
    <s v="G1"/>
    <n v="31"/>
    <s v="Bachelor"/>
    <s v="Chennai"/>
    <n v="2"/>
    <n v="12.4"/>
    <n v="6"/>
    <n v="2"/>
    <n v="12"/>
    <n v="0"/>
    <s v="Band A"/>
    <n v="28700"/>
    <n v="16.7"/>
    <n v="1.6"/>
    <n v="0.1"/>
    <n v="0"/>
    <n v="3.5"/>
    <n v="3.3"/>
    <n v="3.6"/>
    <s v="No"/>
    <n v="1"/>
    <n v="0"/>
    <m/>
    <n v="0"/>
    <s v="Stayed"/>
    <m/>
    <n v="1"/>
    <n v="0"/>
    <s v="No Recorded Promotions"/>
    <s v="0â€“1 years"/>
    <s v="Moderate"/>
    <s v="3.466666666666667"/>
    <s v="0.16666666666666666"/>
    <n v="0"/>
  </r>
  <r>
    <s v="EMP0440"/>
    <x v="0"/>
    <s v="Operations Associate"/>
    <n v="1.8"/>
    <s v="G2"/>
    <n v="31"/>
    <s v="Bachelor"/>
    <s v="Chennai"/>
    <n v="1"/>
    <n v="19.5"/>
    <n v="11"/>
    <n v="1"/>
    <n v="12"/>
    <n v="0"/>
    <s v="Band B"/>
    <n v="40100"/>
    <n v="18.5"/>
    <n v="3.9"/>
    <n v="2.5"/>
    <n v="0"/>
    <n v="3.3"/>
    <n v="3.7"/>
    <n v="3.6"/>
    <s v="Yes"/>
    <n v="0"/>
    <n v="1"/>
    <n v="1.6"/>
    <n v="0"/>
    <s v="Stayed"/>
    <m/>
    <n v="0"/>
    <n v="0"/>
    <s v="Promoted"/>
    <s v="1â€“3 years"/>
    <s v="Moderate"/>
    <s v="3.533333333333333"/>
    <n v="8.3333333333333301E-2"/>
    <n v="0"/>
  </r>
  <r>
    <s v="EMP0441"/>
    <x v="2"/>
    <s v="Support Specialist"/>
    <n v="2.7"/>
    <s v="G2"/>
    <n v="25"/>
    <s v="Bachelor"/>
    <s v="Chennai"/>
    <n v="1"/>
    <n v="43.5"/>
    <n v="5"/>
    <n v="3"/>
    <n v="12"/>
    <n v="0"/>
    <s v="Band A"/>
    <n v="26300"/>
    <n v="10.9"/>
    <n v="3.2"/>
    <n v="0.9"/>
    <n v="0"/>
    <n v="3.7"/>
    <n v="2"/>
    <n v="2.5"/>
    <s v="No"/>
    <n v="0"/>
    <n v="3"/>
    <n v="1.5"/>
    <n v="0"/>
    <s v="Stayed"/>
    <m/>
    <n v="0"/>
    <n v="0"/>
    <s v="Promoted"/>
    <s v="1â€“3 years"/>
    <s v="High"/>
    <s v="2.733333333333333"/>
    <n v="8.3333333333333301E-2"/>
    <n v="0"/>
  </r>
  <r>
    <s v="EMP0442"/>
    <x v="3"/>
    <s v="Software Engineer"/>
    <n v="2.2000000000000002"/>
    <s v="G4"/>
    <n v="35"/>
    <s v="Bachelor"/>
    <s v="Coimbatore"/>
    <n v="3"/>
    <n v="31.3"/>
    <n v="14"/>
    <n v="1"/>
    <n v="12"/>
    <n v="0"/>
    <s v="Band C"/>
    <n v="60700"/>
    <n v="6.2"/>
    <n v="1.8"/>
    <n v="2.9"/>
    <n v="0"/>
    <n v="5"/>
    <n v="2.2999999999999998"/>
    <n v="3.3"/>
    <s v="Yes"/>
    <n v="0"/>
    <n v="0"/>
    <m/>
    <n v="0"/>
    <s v="Left"/>
    <d v="2025-11-19T00:00:00"/>
    <n v="1"/>
    <n v="0"/>
    <s v="No Recorded Promotions"/>
    <s v="1â€“3 years"/>
    <s v="High"/>
    <s v="3.533333333333333"/>
    <n v="0.25"/>
    <n v="1"/>
  </r>
  <r>
    <s v="EMP0443"/>
    <x v="0"/>
    <s v="Operations Associate"/>
    <n v="2.6"/>
    <s v="G2"/>
    <n v="31"/>
    <s v="Master"/>
    <s v="Hyderabad"/>
    <n v="6"/>
    <n v="9.6"/>
    <n v="8"/>
    <n v="2"/>
    <n v="12"/>
    <n v="0"/>
    <s v="Band B"/>
    <n v="36000"/>
    <n v="8.1999999999999993"/>
    <n v="3.4"/>
    <n v="0.3"/>
    <n v="0"/>
    <n v="3.1"/>
    <n v="3.7"/>
    <n v="4.3"/>
    <s v="Yes"/>
    <n v="0"/>
    <n v="3"/>
    <n v="1.2"/>
    <n v="1"/>
    <s v="Stayed"/>
    <m/>
    <n v="0"/>
    <n v="0"/>
    <s v="Promoted"/>
    <s v="1â€“3 years"/>
    <s v="Low"/>
    <s v="3.7000000000000006"/>
    <n v="0.5"/>
    <n v="0"/>
  </r>
  <r>
    <s v="EMP0444"/>
    <x v="3"/>
    <s v="Software Engineer"/>
    <n v="4.5999999999999996"/>
    <s v="G4"/>
    <n v="29"/>
    <s v="Bachelor"/>
    <s v="Bengaluru"/>
    <n v="1"/>
    <n v="9.5"/>
    <n v="15"/>
    <n v="1"/>
    <n v="12"/>
    <n v="0"/>
    <s v="Band D"/>
    <n v="78600"/>
    <n v="14.3"/>
    <n v="1.9"/>
    <n v="2.1"/>
    <n v="0"/>
    <n v="3"/>
    <n v="2.9"/>
    <n v="3.4"/>
    <s v="No"/>
    <n v="1"/>
    <n v="0"/>
    <m/>
    <n v="0"/>
    <s v="Stayed"/>
    <m/>
    <n v="1"/>
    <n v="0"/>
    <s v="No Recorded Promotions"/>
    <s v="3â€“5 years"/>
    <s v="Low"/>
    <n v="3.1"/>
    <n v="8.3333333333333301E-2"/>
    <n v="0"/>
  </r>
  <r>
    <s v="EMP0445"/>
    <x v="4"/>
    <s v="Account Manager"/>
    <n v="1.8"/>
    <s v="G2"/>
    <n v="25"/>
    <s v="Bachelor"/>
    <s v="Remote"/>
    <n v="1"/>
    <n v="29"/>
    <n v="9"/>
    <n v="2"/>
    <n v="12"/>
    <n v="0"/>
    <s v="Band A"/>
    <n v="33700"/>
    <n v="4.4000000000000004"/>
    <n v="3.7"/>
    <n v="0.4"/>
    <n v="0"/>
    <n v="2.9"/>
    <n v="4.2"/>
    <n v="2.8"/>
    <s v="Yes"/>
    <n v="0"/>
    <n v="0"/>
    <m/>
    <n v="0"/>
    <s v="Stayed"/>
    <m/>
    <n v="1"/>
    <n v="0"/>
    <s v="No Recorded Promotions"/>
    <s v="1â€“3 years"/>
    <s v="High"/>
    <s v="3.2999999999999994"/>
    <n v="8.3333333333333301E-2"/>
    <n v="0"/>
  </r>
  <r>
    <s v="EMP0446"/>
    <x v="0"/>
    <s v="Operations Manager"/>
    <n v="4.5999999999999996"/>
    <s v="G3"/>
    <n v="32"/>
    <s v="Bachelor"/>
    <s v="Coimbatore"/>
    <n v="0"/>
    <n v="10"/>
    <n v="9"/>
    <n v="5"/>
    <n v="12"/>
    <n v="0"/>
    <s v="Band C"/>
    <n v="70500"/>
    <n v="13.8"/>
    <n v="2.2000000000000002"/>
    <n v="0.6"/>
    <n v="0"/>
    <n v="3.7"/>
    <n v="3.5"/>
    <n v="2.7"/>
    <s v="Yes"/>
    <n v="0"/>
    <n v="0"/>
    <m/>
    <n v="0"/>
    <s v="Stayed"/>
    <m/>
    <n v="1"/>
    <n v="0"/>
    <s v="No Recorded Promotions"/>
    <s v="3â€“5 years"/>
    <s v="Low"/>
    <s v="3.3000000000000003"/>
    <n v="0"/>
    <n v="0"/>
  </r>
  <r>
    <s v="EMP0447"/>
    <x v="2"/>
    <s v="Support Team Lead"/>
    <n v="0.3"/>
    <s v="G1"/>
    <n v="21"/>
    <s v="Bachelor"/>
    <s v="Bengaluru"/>
    <n v="5"/>
    <n v="6.1"/>
    <n v="5"/>
    <n v="2"/>
    <n v="12"/>
    <n v="0"/>
    <s v="Band A"/>
    <n v="27100"/>
    <n v="7.3"/>
    <n v="3.5"/>
    <n v="1.1000000000000001"/>
    <n v="0"/>
    <n v="1.4"/>
    <n v="3.3"/>
    <n v="3.5"/>
    <s v="Yes"/>
    <n v="0"/>
    <n v="2"/>
    <n v="0.4"/>
    <n v="1"/>
    <s v="Stayed"/>
    <m/>
    <n v="0"/>
    <n v="0"/>
    <s v="Promoted"/>
    <s v="0â€“1 years"/>
    <s v="Low"/>
    <s v="2.733333333333333"/>
    <s v="0.4166666666666667"/>
    <n v="0"/>
  </r>
  <r>
    <s v="EMP0448"/>
    <x v="0"/>
    <s v="Team Lead"/>
    <n v="1.8"/>
    <s v="G5"/>
    <n v="31"/>
    <s v="Master"/>
    <s v="Bengaluru"/>
    <n v="2"/>
    <n v="20.5"/>
    <n v="4"/>
    <n v="3"/>
    <n v="12"/>
    <n v="0"/>
    <s v="Band D"/>
    <n v="83400"/>
    <n v="8.9"/>
    <n v="2.6"/>
    <n v="5.5"/>
    <n v="0"/>
    <n v="3.2"/>
    <n v="3"/>
    <n v="4.5"/>
    <s v="Yes"/>
    <n v="0"/>
    <n v="1"/>
    <n v="0.4"/>
    <n v="1"/>
    <s v="Stayed"/>
    <m/>
    <n v="0"/>
    <n v="0"/>
    <s v="Promoted"/>
    <s v="1â€“3 years"/>
    <s v="High"/>
    <s v="3.5666666666666664"/>
    <s v="0.16666666666666666"/>
    <n v="0"/>
  </r>
  <r>
    <s v="EMP0449"/>
    <x v="3"/>
    <s v="Data Analyst"/>
    <n v="0.7"/>
    <s v="G2"/>
    <n v="23"/>
    <s v="Diploma"/>
    <s v="Chennai"/>
    <n v="5"/>
    <n v="12.9"/>
    <n v="5"/>
    <n v="4"/>
    <n v="12"/>
    <n v="0"/>
    <s v="Band B"/>
    <n v="37100"/>
    <n v="4.8"/>
    <n v="1.1000000000000001"/>
    <n v="0.8"/>
    <n v="0"/>
    <n v="4.0999999999999996"/>
    <n v="3.5"/>
    <n v="3.8"/>
    <s v="Yes"/>
    <n v="0"/>
    <n v="0"/>
    <m/>
    <n v="0"/>
    <s v="Stayed"/>
    <m/>
    <n v="1"/>
    <n v="0"/>
    <s v="No Recorded Promotions"/>
    <s v="0â€“1 years"/>
    <s v="Moderate"/>
    <s v="3.7999999999999994"/>
    <s v="0.4166666666666667"/>
    <n v="0"/>
  </r>
  <r>
    <s v="EMP0450"/>
    <x v="0"/>
    <s v="Operations Associate"/>
    <n v="7.7"/>
    <s v="G2"/>
    <n v="35"/>
    <s v="Diploma"/>
    <s v="Chennai"/>
    <n v="0"/>
    <n v="2.2999999999999998"/>
    <n v="10"/>
    <n v="4"/>
    <n v="12"/>
    <n v="0"/>
    <s v="Band B"/>
    <n v="36500"/>
    <n v="2.7"/>
    <n v="4.0999999999999996"/>
    <n v="1.1000000000000001"/>
    <n v="0"/>
    <n v="2.8"/>
    <n v="3.9"/>
    <n v="1.7"/>
    <s v="No"/>
    <n v="0"/>
    <n v="0"/>
    <m/>
    <n v="0"/>
    <s v="Left"/>
    <d v="2024-12-02T00:00:00"/>
    <n v="1"/>
    <n v="0"/>
    <s v="No Recorded Promotions"/>
    <s v="5+ years"/>
    <s v="Low"/>
    <s v="2.7999999999999994"/>
    <n v="0"/>
    <n v="1"/>
  </r>
  <r>
    <s v="EMP0451"/>
    <x v="3"/>
    <s v="Data Analyst"/>
    <n v="2"/>
    <s v="G2"/>
    <n v="26"/>
    <s v="Bachelor"/>
    <s v="Coimbatore"/>
    <n v="0"/>
    <n v="7.7"/>
    <n v="4"/>
    <n v="0"/>
    <n v="12"/>
    <n v="0"/>
    <s v="Band A"/>
    <n v="32600"/>
    <n v="6.9"/>
    <n v="4.0999999999999996"/>
    <n v="1.5"/>
    <n v="0"/>
    <n v="3.5"/>
    <n v="3.7"/>
    <n v="3.9"/>
    <s v="Yes"/>
    <n v="0"/>
    <n v="2"/>
    <n v="0.1"/>
    <n v="0"/>
    <s v="Stayed"/>
    <m/>
    <n v="0"/>
    <n v="0"/>
    <s v="Promoted"/>
    <s v="1â€“3 years"/>
    <s v="Low"/>
    <s v="3.6999999999999997"/>
    <n v="0"/>
    <n v="0"/>
  </r>
  <r>
    <s v="EMP0452"/>
    <x v="2"/>
    <s v="Support Team Lead"/>
    <n v="5.7"/>
    <s v="G2"/>
    <n v="31"/>
    <s v="Master"/>
    <s v="Hyderabad"/>
    <n v="2"/>
    <n v="2.8"/>
    <n v="10"/>
    <n v="1"/>
    <n v="12"/>
    <n v="0"/>
    <s v="Band B"/>
    <n v="45000"/>
    <n v="13.2"/>
    <n v="2.7"/>
    <n v="1"/>
    <n v="0"/>
    <n v="5"/>
    <n v="2.8"/>
    <n v="3"/>
    <s v="Yes"/>
    <n v="0"/>
    <n v="1"/>
    <n v="1.6"/>
    <n v="0"/>
    <s v="Stayed"/>
    <m/>
    <n v="0"/>
    <n v="0"/>
    <s v="Promoted"/>
    <s v="5+ years"/>
    <s v="Low"/>
    <n v="3.6"/>
    <s v="0.16666666666666666"/>
    <n v="0"/>
  </r>
  <r>
    <s v="EMP0453"/>
    <x v="0"/>
    <s v="Operations Associate"/>
    <n v="0.6"/>
    <s v="G2"/>
    <n v="24"/>
    <s v="Bachelor"/>
    <s v="Coimbatore"/>
    <n v="0"/>
    <n v="0.4"/>
    <n v="9"/>
    <n v="2"/>
    <n v="12"/>
    <n v="0"/>
    <s v="Band B"/>
    <n v="40300"/>
    <n v="5.2"/>
    <n v="3.4"/>
    <n v="0.3"/>
    <n v="0"/>
    <n v="3.6"/>
    <n v="4.3"/>
    <n v="3.8"/>
    <s v="Yes"/>
    <n v="0"/>
    <n v="2"/>
    <n v="0.1"/>
    <n v="0"/>
    <s v="Stayed"/>
    <m/>
    <n v="0"/>
    <n v="0"/>
    <s v="Promoted"/>
    <s v="0â€“1 years"/>
    <s v="Low"/>
    <n v="3.9"/>
    <n v="0"/>
    <n v="0"/>
  </r>
  <r>
    <s v="EMP0454"/>
    <x v="3"/>
    <s v="Senior Software Engineer"/>
    <n v="9.8000000000000007"/>
    <s v="G3"/>
    <n v="35"/>
    <s v="Bachelor"/>
    <s v="Chennai"/>
    <n v="5"/>
    <n v="34.299999999999997"/>
    <n v="8"/>
    <n v="2"/>
    <n v="12"/>
    <n v="0"/>
    <s v="Band C"/>
    <n v="61700"/>
    <n v="14.5"/>
    <n v="3.6"/>
    <n v="3.1"/>
    <n v="0"/>
    <n v="1.3"/>
    <n v="3.8"/>
    <n v="3.3"/>
    <s v="Yes"/>
    <n v="0"/>
    <n v="1"/>
    <n v="0.8"/>
    <n v="0"/>
    <s v="Stayed"/>
    <m/>
    <n v="0"/>
    <n v="0"/>
    <s v="Promoted"/>
    <s v="5+ years"/>
    <s v="High"/>
    <s v="2.7999999999999994"/>
    <s v="0.4166666666666667"/>
    <n v="0"/>
  </r>
  <r>
    <s v="EMP0455"/>
    <x v="3"/>
    <s v="Data Analyst"/>
    <n v="4"/>
    <s v="G5"/>
    <n v="38"/>
    <s v="Bachelor"/>
    <s v="Remote"/>
    <n v="4"/>
    <n v="11.1"/>
    <n v="11"/>
    <n v="1"/>
    <n v="12"/>
    <n v="0"/>
    <s v="Band E"/>
    <n v="112800"/>
    <n v="5.7"/>
    <n v="3.6"/>
    <n v="0.7"/>
    <n v="0"/>
    <n v="2"/>
    <n v="3.5"/>
    <n v="2.7"/>
    <s v="Yes"/>
    <n v="0"/>
    <n v="1"/>
    <n v="0.6"/>
    <n v="1"/>
    <s v="Stayed"/>
    <m/>
    <n v="0"/>
    <n v="0"/>
    <s v="Promoted"/>
    <s v="3â€“5 years"/>
    <s v="Moderate"/>
    <s v="2.733333333333333"/>
    <s v="0.3333333333333333"/>
    <n v="0"/>
  </r>
  <r>
    <s v="EMP0456"/>
    <x v="3"/>
    <s v="Senior Software Engineer"/>
    <n v="3.7"/>
    <s v="G3"/>
    <n v="35"/>
    <s v="Diploma"/>
    <s v="Chennai"/>
    <n v="4"/>
    <n v="7.9"/>
    <n v="8"/>
    <n v="1"/>
    <n v="12"/>
    <n v="0"/>
    <s v="Band C"/>
    <n v="56400"/>
    <n v="3.7"/>
    <n v="4.8"/>
    <n v="0.2"/>
    <n v="0"/>
    <n v="3.1"/>
    <n v="3.3"/>
    <n v="3.3"/>
    <s v="Yes"/>
    <n v="0"/>
    <n v="0"/>
    <m/>
    <n v="0"/>
    <s v="Stayed"/>
    <m/>
    <n v="1"/>
    <n v="0"/>
    <s v="No Recorded Promotions"/>
    <s v="3â€“5 years"/>
    <s v="Low"/>
    <s v="3.233333333333333"/>
    <s v="0.3333333333333333"/>
    <n v="0"/>
  </r>
  <r>
    <s v="EMP0457"/>
    <x v="2"/>
    <s v="Support Team Lead"/>
    <n v="0.9"/>
    <s v="G3"/>
    <n v="28"/>
    <s v="Master"/>
    <s v="Remote"/>
    <n v="1"/>
    <n v="6.5"/>
    <n v="8"/>
    <n v="2"/>
    <n v="12"/>
    <n v="0"/>
    <s v="Band B"/>
    <n v="45300"/>
    <n v="9"/>
    <n v="3.6"/>
    <n v="1.6"/>
    <n v="0"/>
    <n v="2.6"/>
    <n v="3.7"/>
    <n v="3"/>
    <s v="Yes"/>
    <n v="0"/>
    <n v="1"/>
    <n v="0.3"/>
    <n v="1"/>
    <s v="Stayed"/>
    <m/>
    <n v="0"/>
    <n v="0"/>
    <s v="Promoted"/>
    <s v="0â€“1 years"/>
    <s v="Low"/>
    <n v="3.1"/>
    <n v="8.3333333333333301E-2"/>
    <n v="0"/>
  </r>
  <r>
    <s v="EMP0458"/>
    <x v="1"/>
    <s v="HR Manager"/>
    <n v="1.6"/>
    <s v="G2"/>
    <n v="27"/>
    <s v="Bachelor"/>
    <s v="Hyderabad"/>
    <n v="3"/>
    <n v="10.199999999999999"/>
    <n v="12"/>
    <n v="4"/>
    <n v="12"/>
    <n v="0"/>
    <s v="Band B"/>
    <n v="41200"/>
    <n v="10.7"/>
    <n v="2.9"/>
    <n v="3.3"/>
    <n v="0"/>
    <n v="3.4"/>
    <n v="1.6"/>
    <n v="3.6"/>
    <s v="Yes"/>
    <n v="0"/>
    <n v="0"/>
    <m/>
    <n v="0"/>
    <s v="Stayed"/>
    <m/>
    <n v="1"/>
    <n v="0"/>
    <s v="No Recorded Promotions"/>
    <s v="1â€“3 years"/>
    <s v="Moderate"/>
    <s v="2.8666666666666667"/>
    <n v="0.25"/>
    <n v="0"/>
  </r>
  <r>
    <s v="EMP0459"/>
    <x v="0"/>
    <s v="Team Lead"/>
    <n v="3.1"/>
    <s v="G4"/>
    <n v="32"/>
    <s v="Diploma"/>
    <s v="Hyderabad"/>
    <n v="2"/>
    <n v="6.4"/>
    <n v="9"/>
    <n v="3"/>
    <n v="12"/>
    <n v="0"/>
    <s v="Band C"/>
    <n v="61500"/>
    <n v="8.8000000000000007"/>
    <n v="3.6"/>
    <n v="0.5"/>
    <n v="0"/>
    <n v="3"/>
    <n v="3.4"/>
    <n v="2.7"/>
    <s v="Yes"/>
    <n v="0"/>
    <n v="1"/>
    <m/>
    <n v="0"/>
    <s v="Stayed"/>
    <m/>
    <n v="1"/>
    <n v="0"/>
    <s v="Promoted"/>
    <s v="3â€“5 years"/>
    <s v="Low"/>
    <s v="3.0333333333333337"/>
    <s v="0.16666666666666666"/>
    <n v="0"/>
  </r>
  <r>
    <s v="EMP0460"/>
    <x v="0"/>
    <s v="Operations Associate"/>
    <n v="1.6"/>
    <s v="G4"/>
    <n v="32"/>
    <s v="Bachelor"/>
    <s v="Hyderabad"/>
    <n v="1"/>
    <n v="4"/>
    <n v="4"/>
    <n v="1"/>
    <n v="12"/>
    <n v="0"/>
    <s v="Band C"/>
    <n v="66000"/>
    <n v="8.6"/>
    <n v="2.8"/>
    <n v="0.9"/>
    <n v="0"/>
    <n v="4.3"/>
    <n v="4.7"/>
    <n v="2.5"/>
    <s v="Yes"/>
    <n v="0"/>
    <n v="1"/>
    <n v="0.1"/>
    <n v="0"/>
    <s v="Stayed"/>
    <m/>
    <n v="0"/>
    <n v="0"/>
    <s v="Promoted"/>
    <s v="1â€“3 years"/>
    <s v="Low"/>
    <s v="3.8333333333333335"/>
    <n v="8.3333333333333301E-2"/>
    <n v="0"/>
  </r>
  <r>
    <s v="EMP0461"/>
    <x v="5"/>
    <s v="Financial Analyst"/>
    <n v="7.2"/>
    <s v="G2"/>
    <n v="30"/>
    <s v="Diploma"/>
    <s v="Chennai"/>
    <n v="3"/>
    <n v="6.8"/>
    <n v="8"/>
    <n v="1"/>
    <n v="12"/>
    <n v="0"/>
    <s v="Band B"/>
    <n v="40700"/>
    <n v="14.4"/>
    <n v="2.2000000000000002"/>
    <n v="1.1000000000000001"/>
    <n v="0"/>
    <n v="2.2999999999999998"/>
    <n v="3.4"/>
    <n v="4"/>
    <s v="Yes"/>
    <n v="0"/>
    <n v="0"/>
    <m/>
    <n v="0"/>
    <s v="Stayed"/>
    <m/>
    <n v="1"/>
    <n v="0"/>
    <s v="No Recorded Promotions"/>
    <s v="5+ years"/>
    <s v="Low"/>
    <s v="3.233333333333333"/>
    <n v="0.25"/>
    <n v="0"/>
  </r>
  <r>
    <s v="EMP0462"/>
    <x v="3"/>
    <s v="Software Engineer"/>
    <n v="3.9"/>
    <s v="G5"/>
    <n v="30"/>
    <s v="Diploma"/>
    <s v="Bengaluru"/>
    <n v="3"/>
    <n v="27"/>
    <n v="8"/>
    <n v="0"/>
    <n v="12"/>
    <n v="0"/>
    <s v="Band D"/>
    <n v="96000"/>
    <n v="8.4"/>
    <n v="4.3"/>
    <n v="0.7"/>
    <n v="0"/>
    <n v="3.1"/>
    <n v="3.3"/>
    <n v="4.3"/>
    <s v="Yes"/>
    <n v="0"/>
    <n v="1"/>
    <n v="1.7"/>
    <n v="0"/>
    <s v="Stayed"/>
    <m/>
    <n v="0"/>
    <n v="0"/>
    <s v="Promoted"/>
    <s v="3â€“5 years"/>
    <s v="High"/>
    <s v="3.5666666666666664"/>
    <n v="0.25"/>
    <n v="0"/>
  </r>
  <r>
    <s v="EMP0463"/>
    <x v="2"/>
    <s v="Support Specialist"/>
    <n v="1.7"/>
    <s v="G2"/>
    <n v="21"/>
    <s v="Master"/>
    <s v="Bengaluru"/>
    <n v="1"/>
    <n v="20.2"/>
    <n v="12"/>
    <n v="0"/>
    <n v="12"/>
    <n v="0"/>
    <s v="Band A"/>
    <n v="29800"/>
    <n v="6.1"/>
    <n v="3.7"/>
    <n v="1.2"/>
    <n v="0"/>
    <n v="3.5"/>
    <n v="2.7"/>
    <n v="3.9"/>
    <s v="Yes"/>
    <n v="0"/>
    <n v="0"/>
    <m/>
    <n v="1"/>
    <s v="Stayed"/>
    <m/>
    <n v="1"/>
    <n v="0"/>
    <s v="No Recorded Promotions"/>
    <s v="1â€“3 years"/>
    <s v="High"/>
    <s v="3.3666666666666667"/>
    <n v="8.3333333333333301E-2"/>
    <n v="0"/>
  </r>
  <r>
    <s v="EMP0464"/>
    <x v="4"/>
    <s v="Account Manager"/>
    <n v="6.4"/>
    <s v="G4"/>
    <n v="37"/>
    <s v="Bachelor"/>
    <s v="Bengaluru"/>
    <n v="1"/>
    <n v="6.8"/>
    <n v="7"/>
    <n v="2"/>
    <n v="12"/>
    <n v="0"/>
    <s v="Band C"/>
    <n v="66000"/>
    <n v="3.5"/>
    <n v="1.5"/>
    <n v="4.3"/>
    <n v="0"/>
    <n v="3.6"/>
    <n v="3.6"/>
    <n v="2.9"/>
    <s v="Yes"/>
    <n v="0"/>
    <n v="0"/>
    <m/>
    <n v="0"/>
    <s v="Stayed"/>
    <m/>
    <n v="1"/>
    <n v="0"/>
    <s v="No Recorded Promotions"/>
    <s v="5+ years"/>
    <s v="Low"/>
    <s v="3.3666666666666667"/>
    <n v="8.3333333333333301E-2"/>
    <n v="0"/>
  </r>
  <r>
    <s v="EMP0465"/>
    <x v="5"/>
    <s v="Financial Analyst"/>
    <n v="2.8"/>
    <s v="G5"/>
    <n v="37"/>
    <s v="Bachelor"/>
    <s v="Chennai"/>
    <n v="4"/>
    <n v="36.700000000000003"/>
    <n v="3"/>
    <n v="3"/>
    <n v="12"/>
    <n v="0"/>
    <s v="Band D"/>
    <n v="95900"/>
    <n v="13.1"/>
    <n v="2.6"/>
    <n v="1.2"/>
    <n v="0"/>
    <n v="3.4"/>
    <n v="3"/>
    <n v="2.8"/>
    <s v="Yes"/>
    <n v="0"/>
    <n v="1"/>
    <n v="0.9"/>
    <n v="0"/>
    <s v="Left"/>
    <d v="2025-02-17T00:00:00"/>
    <n v="0"/>
    <n v="0"/>
    <s v="Promoted"/>
    <s v="1â€“3 years"/>
    <s v="High"/>
    <s v="3.0666666666666664"/>
    <s v="0.3333333333333333"/>
    <n v="1"/>
  </r>
  <r>
    <s v="EMP0466"/>
    <x v="0"/>
    <s v="Operations Associate"/>
    <n v="6.3"/>
    <s v="G3"/>
    <n v="33"/>
    <s v="Bachelor"/>
    <s v="Chennai"/>
    <n v="0"/>
    <n v="9.5"/>
    <n v="8"/>
    <n v="2"/>
    <n v="12"/>
    <n v="0"/>
    <s v="Band C"/>
    <n v="51300"/>
    <n v="6.3"/>
    <n v="3.9"/>
    <n v="1.9"/>
    <n v="0"/>
    <n v="1.1000000000000001"/>
    <n v="4.4000000000000004"/>
    <n v="2.9"/>
    <s v="Yes"/>
    <n v="0"/>
    <n v="0"/>
    <m/>
    <n v="0"/>
    <s v="Stayed"/>
    <m/>
    <n v="1"/>
    <n v="0"/>
    <s v="No Recorded Promotions"/>
    <s v="5+ years"/>
    <s v="Low"/>
    <s v="2.8000000000000003"/>
    <n v="0"/>
    <n v="0"/>
  </r>
  <r>
    <s v="EMP0467"/>
    <x v="0"/>
    <s v="Operations Associate"/>
    <n v="2.5"/>
    <s v="G1"/>
    <n v="21"/>
    <s v="Master"/>
    <s v="Chennai"/>
    <n v="5"/>
    <n v="4.9000000000000004"/>
    <n v="8"/>
    <n v="2"/>
    <n v="12"/>
    <n v="0"/>
    <s v="Band A"/>
    <n v="32000"/>
    <n v="6.7"/>
    <n v="1.8"/>
    <n v="0.8"/>
    <n v="0"/>
    <n v="3.4"/>
    <n v="2.4"/>
    <n v="4.0999999999999996"/>
    <s v="Yes"/>
    <n v="0"/>
    <n v="1"/>
    <n v="1.7"/>
    <n v="0"/>
    <s v="Stayed"/>
    <m/>
    <n v="0"/>
    <n v="0"/>
    <s v="Promoted"/>
    <s v="1â€“3 years"/>
    <s v="Low"/>
    <s v="3.2999999999999994"/>
    <s v="0.4166666666666667"/>
    <n v="0"/>
  </r>
  <r>
    <s v="EMP0468"/>
    <x v="2"/>
    <s v="Support Team Lead"/>
    <n v="5.4"/>
    <s v="G3"/>
    <n v="34"/>
    <s v="Diploma"/>
    <s v="Coimbatore"/>
    <n v="2"/>
    <n v="13.3"/>
    <n v="9"/>
    <n v="1"/>
    <n v="12"/>
    <n v="0"/>
    <s v="Band C"/>
    <n v="63200"/>
    <n v="12.2"/>
    <n v="2.5"/>
    <n v="1.5"/>
    <n v="0"/>
    <n v="3.2"/>
    <n v="2.8"/>
    <n v="2.7"/>
    <s v="Yes"/>
    <n v="0"/>
    <n v="0"/>
    <m/>
    <n v="0"/>
    <s v="Stayed"/>
    <m/>
    <n v="1"/>
    <n v="0"/>
    <s v="No Recorded Promotions"/>
    <s v="5+ years"/>
    <s v="Moderate"/>
    <n v="2.9"/>
    <s v="0.16666666666666666"/>
    <n v="0"/>
  </r>
  <r>
    <s v="EMP0469"/>
    <x v="3"/>
    <s v="Software Engineer"/>
    <n v="2.7"/>
    <s v="G1"/>
    <n v="25"/>
    <s v="Diploma"/>
    <s v="Bengaluru"/>
    <n v="3"/>
    <n v="30.1"/>
    <n v="11"/>
    <n v="2"/>
    <n v="12"/>
    <n v="0"/>
    <s v="Band A"/>
    <n v="24500"/>
    <n v="16.2"/>
    <n v="5"/>
    <n v="1.7"/>
    <n v="0"/>
    <n v="4.0999999999999996"/>
    <n v="2.7"/>
    <n v="4.0999999999999996"/>
    <s v="Yes"/>
    <n v="0"/>
    <n v="0"/>
    <m/>
    <n v="0"/>
    <s v="Stayed"/>
    <m/>
    <n v="1"/>
    <n v="0"/>
    <s v="No Recorded Promotions"/>
    <s v="1â€“3 years"/>
    <s v="High"/>
    <s v="3.633333333333333"/>
    <n v="0.25"/>
    <n v="0"/>
  </r>
  <r>
    <s v="EMP0470"/>
    <x v="5"/>
    <s v="Accountant"/>
    <n v="7.2"/>
    <s v="G4"/>
    <n v="31"/>
    <s v="Bachelor"/>
    <s v="Hyderabad"/>
    <n v="4"/>
    <n v="26.1"/>
    <n v="6"/>
    <n v="2"/>
    <n v="12"/>
    <n v="0"/>
    <s v="Band D"/>
    <n v="76000"/>
    <n v="9"/>
    <n v="2.9"/>
    <n v="2.4"/>
    <n v="0"/>
    <n v="4"/>
    <n v="4.9000000000000004"/>
    <n v="3.9"/>
    <s v="Yes"/>
    <n v="0"/>
    <n v="0"/>
    <m/>
    <n v="0"/>
    <s v="Stayed"/>
    <m/>
    <n v="1"/>
    <n v="0"/>
    <s v="No Recorded Promotions"/>
    <s v="5+ years"/>
    <s v="High"/>
    <s v="4.266666666666667"/>
    <s v="0.3333333333333333"/>
    <n v="0"/>
  </r>
  <r>
    <s v="EMP0471"/>
    <x v="4"/>
    <s v="Sales Manager"/>
    <n v="0.6"/>
    <s v="G2"/>
    <n v="29"/>
    <s v="Bachelor"/>
    <s v="Hyderabad"/>
    <n v="3"/>
    <n v="5.2"/>
    <n v="7"/>
    <n v="0"/>
    <n v="12"/>
    <n v="0"/>
    <s v="Band B"/>
    <n v="45200"/>
    <n v="7.5"/>
    <n v="4.2"/>
    <n v="0.7"/>
    <n v="0"/>
    <n v="3.5"/>
    <n v="3"/>
    <n v="4.4000000000000004"/>
    <s v="Yes"/>
    <n v="0"/>
    <n v="0"/>
    <m/>
    <n v="0"/>
    <s v="Stayed"/>
    <m/>
    <n v="1"/>
    <n v="0"/>
    <s v="No Recorded Promotions"/>
    <s v="0â€“1 years"/>
    <s v="Low"/>
    <s v="3.6333333333333333"/>
    <n v="0.25"/>
    <n v="0"/>
  </r>
  <r>
    <s v="EMP0472"/>
    <x v="1"/>
    <s v="HR Executive"/>
    <n v="1.2"/>
    <s v="G3"/>
    <n v="28"/>
    <s v="Doctorate"/>
    <s v="Bengaluru"/>
    <n v="2"/>
    <n v="3.2"/>
    <n v="8"/>
    <n v="2"/>
    <n v="12"/>
    <n v="0"/>
    <s v="Band C"/>
    <n v="51200"/>
    <n v="8"/>
    <n v="4.5999999999999996"/>
    <n v="1"/>
    <n v="0"/>
    <n v="3.6"/>
    <n v="2.7"/>
    <n v="4.3"/>
    <s v="Yes"/>
    <n v="0"/>
    <n v="1"/>
    <m/>
    <n v="0"/>
    <s v="Stayed"/>
    <m/>
    <n v="1"/>
    <n v="0"/>
    <s v="Promoted"/>
    <s v="1â€“3 years"/>
    <s v="Low"/>
    <s v="3.5333333333333337"/>
    <s v="0.16666666666666666"/>
    <n v="0"/>
  </r>
  <r>
    <s v="EMP0473"/>
    <x v="3"/>
    <s v="Senior Software Engineer"/>
    <n v="3.3"/>
    <s v="G4"/>
    <n v="27"/>
    <s v="Bachelor"/>
    <s v="Chennai"/>
    <n v="6"/>
    <n v="7.3"/>
    <n v="14"/>
    <n v="4"/>
    <n v="12"/>
    <n v="0"/>
    <s v="Band C"/>
    <n v="67900"/>
    <n v="6.2"/>
    <n v="2.4"/>
    <n v="2.6"/>
    <n v="0"/>
    <n v="4.5"/>
    <n v="1.3"/>
    <n v="3.8"/>
    <s v="No"/>
    <n v="0"/>
    <n v="0"/>
    <m/>
    <n v="0"/>
    <s v="Stayed"/>
    <m/>
    <n v="1"/>
    <n v="0"/>
    <s v="No Recorded Promotions"/>
    <s v="3â€“5 years"/>
    <s v="Low"/>
    <s v="3.1999999999999997"/>
    <n v="0.5"/>
    <n v="0"/>
  </r>
  <r>
    <s v="EMP0474"/>
    <x v="3"/>
    <s v="Software Engineer"/>
    <n v="2.1"/>
    <s v="G1"/>
    <n v="26"/>
    <s v="Diploma"/>
    <s v="Coimbatore"/>
    <n v="2"/>
    <n v="15.1"/>
    <n v="6"/>
    <n v="1"/>
    <n v="12"/>
    <n v="0"/>
    <s v="Band A"/>
    <n v="30900"/>
    <n v="6.6"/>
    <n v="3.4"/>
    <n v="0.8"/>
    <n v="0"/>
    <n v="4.3"/>
    <n v="2.4"/>
    <n v="2.2000000000000002"/>
    <s v="Yes"/>
    <n v="0"/>
    <n v="0"/>
    <m/>
    <n v="0"/>
    <s v="Stayed"/>
    <m/>
    <n v="1"/>
    <n v="0"/>
    <s v="No Recorded Promotions"/>
    <s v="1â€“3 years"/>
    <s v="Moderate"/>
    <s v="2.9666666666666663"/>
    <s v="0.16666666666666666"/>
    <n v="0"/>
  </r>
  <r>
    <s v="EMP0475"/>
    <x v="4"/>
    <s v="Sales Executive"/>
    <n v="2.7"/>
    <s v="G2"/>
    <n v="29"/>
    <s v="Bachelor"/>
    <s v="Chennai"/>
    <n v="3"/>
    <n v="18.3"/>
    <n v="11"/>
    <n v="3"/>
    <n v="12"/>
    <n v="0"/>
    <s v="Band B"/>
    <n v="37100"/>
    <n v="6.6"/>
    <n v="5"/>
    <n v="0.3"/>
    <n v="0"/>
    <n v="3.5"/>
    <n v="3.7"/>
    <n v="3.9"/>
    <s v="Yes"/>
    <n v="0"/>
    <n v="1"/>
    <n v="1.5"/>
    <n v="0"/>
    <s v="Stayed"/>
    <m/>
    <n v="0"/>
    <n v="0"/>
    <s v="Promoted"/>
    <s v="1â€“3 years"/>
    <s v="Moderate"/>
    <s v="3.6999999999999997"/>
    <n v="0.25"/>
    <n v="0"/>
  </r>
  <r>
    <s v="EMP0476"/>
    <x v="4"/>
    <s v="Account Manager"/>
    <n v="5.8"/>
    <s v="G3"/>
    <n v="30"/>
    <s v="Bachelor"/>
    <s v="Chennai"/>
    <n v="6"/>
    <n v="23.6"/>
    <n v="9"/>
    <n v="2"/>
    <n v="12"/>
    <n v="0"/>
    <s v="Band C"/>
    <n v="63300"/>
    <n v="11.6"/>
    <n v="3.6"/>
    <n v="0.7"/>
    <n v="0"/>
    <n v="5"/>
    <n v="3.7"/>
    <n v="3.5"/>
    <s v="Yes"/>
    <n v="0"/>
    <n v="0"/>
    <m/>
    <n v="0"/>
    <s v="Stayed"/>
    <m/>
    <n v="1"/>
    <n v="0"/>
    <s v="No Recorded Promotions"/>
    <s v="5+ years"/>
    <s v="High"/>
    <s v="4.066666666666666"/>
    <n v="0.5"/>
    <n v="0"/>
  </r>
  <r>
    <s v="EMP0477"/>
    <x v="1"/>
    <s v="Recruiter"/>
    <n v="2.6"/>
    <s v="G2"/>
    <n v="24"/>
    <s v="Bachelor"/>
    <s v="Chennai"/>
    <n v="1"/>
    <n v="11.6"/>
    <n v="13"/>
    <n v="1"/>
    <n v="12"/>
    <n v="0"/>
    <s v="Band B"/>
    <n v="35600"/>
    <n v="7.6"/>
    <n v="5"/>
    <n v="2.5"/>
    <n v="0"/>
    <n v="2.7"/>
    <n v="2.6"/>
    <n v="3.1"/>
    <s v="Yes"/>
    <n v="0"/>
    <n v="1"/>
    <n v="1.9"/>
    <n v="0"/>
    <s v="Stayed"/>
    <m/>
    <n v="0"/>
    <n v="0"/>
    <s v="Promoted"/>
    <s v="1â€“3 years"/>
    <s v="Moderate"/>
    <s v="2.8000000000000003"/>
    <n v="8.3333333333333301E-2"/>
    <n v="0"/>
  </r>
  <r>
    <s v="EMP0478"/>
    <x v="0"/>
    <s v="Operations Associate"/>
    <n v="4.7"/>
    <s v="G1"/>
    <n v="29"/>
    <s v="Bachelor"/>
    <s v="Chennai"/>
    <n v="4"/>
    <n v="11.9"/>
    <n v="10"/>
    <n v="2"/>
    <n v="12"/>
    <n v="0"/>
    <s v="Band A"/>
    <n v="27500"/>
    <n v="13.4"/>
    <n v="2.6"/>
    <n v="2.8"/>
    <n v="0"/>
    <n v="2.2000000000000002"/>
    <n v="2.7"/>
    <n v="4.5"/>
    <s v="Yes"/>
    <n v="0"/>
    <n v="0"/>
    <m/>
    <n v="0"/>
    <s v="Stayed"/>
    <m/>
    <n v="1"/>
    <n v="0"/>
    <s v="No Recorded Promotions"/>
    <s v="3â€“5 years"/>
    <s v="Moderate"/>
    <s v="3.1333333333333333"/>
    <s v="0.3333333333333333"/>
    <n v="0"/>
  </r>
  <r>
    <s v="EMP0479"/>
    <x v="0"/>
    <s v="Operations Associate"/>
    <n v="1.8"/>
    <s v="G1"/>
    <n v="29"/>
    <s v="Bachelor"/>
    <s v="Chennai"/>
    <n v="2"/>
    <n v="11.2"/>
    <n v="11"/>
    <n v="4"/>
    <n v="12"/>
    <n v="0"/>
    <s v="Band A"/>
    <n v="30700"/>
    <n v="7.5"/>
    <n v="4.8"/>
    <n v="2.1"/>
    <n v="0"/>
    <n v="3.3"/>
    <n v="4.9000000000000004"/>
    <n v="3.3"/>
    <s v="Yes"/>
    <n v="0"/>
    <n v="0"/>
    <m/>
    <n v="0"/>
    <s v="Stayed"/>
    <m/>
    <n v="1"/>
    <n v="0"/>
    <s v="No Recorded Promotions"/>
    <s v="1â€“3 years"/>
    <s v="Moderate"/>
    <s v="3.8333333333333335"/>
    <s v="0.16666666666666666"/>
    <n v="0"/>
  </r>
  <r>
    <s v="EMP0480"/>
    <x v="4"/>
    <s v="Sales Executive"/>
    <n v="0.5"/>
    <s v="G2"/>
    <n v="26"/>
    <s v="Master"/>
    <s v="Bengaluru"/>
    <n v="3"/>
    <n v="21.4"/>
    <n v="15"/>
    <n v="0"/>
    <n v="12"/>
    <n v="0"/>
    <s v="Band B"/>
    <n v="38500"/>
    <n v="6.5"/>
    <n v="3.2"/>
    <n v="3.2"/>
    <n v="0"/>
    <n v="3"/>
    <n v="5"/>
    <n v="3"/>
    <s v="Yes"/>
    <n v="0"/>
    <n v="0"/>
    <m/>
    <n v="2"/>
    <s v="Stayed"/>
    <m/>
    <n v="1"/>
    <n v="0"/>
    <s v="No Recorded Promotions"/>
    <s v="0â€“1 years"/>
    <s v="High"/>
    <s v="3.6666666666666665"/>
    <n v="0.25"/>
    <n v="0"/>
  </r>
  <r>
    <s v="EMP0481"/>
    <x v="4"/>
    <s v="Account Manager"/>
    <n v="6.2"/>
    <s v="G3"/>
    <n v="27"/>
    <s v="Master"/>
    <s v="Chennai"/>
    <n v="2"/>
    <n v="18.5"/>
    <n v="6"/>
    <n v="2"/>
    <n v="12"/>
    <n v="0"/>
    <s v="Band C"/>
    <n v="56000"/>
    <n v="13.1"/>
    <n v="2.9"/>
    <n v="4.0999999999999996"/>
    <n v="0"/>
    <n v="1.1000000000000001"/>
    <n v="4.2"/>
    <n v="4.3"/>
    <s v="Yes"/>
    <n v="0"/>
    <n v="1"/>
    <n v="0.2"/>
    <n v="0"/>
    <s v="Stayed"/>
    <m/>
    <n v="0"/>
    <n v="0"/>
    <s v="Promoted"/>
    <s v="5+ years"/>
    <s v="Moderate"/>
    <s v="3.2000000000000006"/>
    <s v="0.16666666666666666"/>
    <n v="0"/>
  </r>
  <r>
    <s v="EMP0482"/>
    <x v="3"/>
    <s v="Data Analyst"/>
    <n v="11.2"/>
    <s v="G3"/>
    <n v="41"/>
    <s v="Bachelor"/>
    <s v="Chennai"/>
    <n v="2"/>
    <n v="5"/>
    <n v="7"/>
    <n v="2"/>
    <n v="12"/>
    <n v="0"/>
    <s v="Band B"/>
    <n v="45600"/>
    <n v="8.1"/>
    <n v="3.8"/>
    <n v="2.2000000000000002"/>
    <n v="0"/>
    <n v="2.7"/>
    <n v="4.5999999999999996"/>
    <n v="3.1"/>
    <s v="Yes"/>
    <n v="0"/>
    <n v="0"/>
    <m/>
    <n v="1"/>
    <s v="Stayed"/>
    <m/>
    <n v="1"/>
    <n v="0"/>
    <s v="No Recorded Promotions"/>
    <s v="5+ years"/>
    <s v="Low"/>
    <s v="3.466666666666667"/>
    <s v="0.16666666666666666"/>
    <n v="0"/>
  </r>
  <r>
    <s v="EMP0483"/>
    <x v="5"/>
    <s v="Accountant"/>
    <n v="4.4000000000000004"/>
    <s v="G1"/>
    <n v="21"/>
    <s v="Doctorate"/>
    <s v="Chennai"/>
    <n v="1"/>
    <n v="16.899999999999999"/>
    <n v="13"/>
    <n v="2"/>
    <n v="12"/>
    <n v="0"/>
    <s v="Band A"/>
    <n v="27800"/>
    <n v="7.5"/>
    <n v="3.1"/>
    <n v="1"/>
    <n v="0"/>
    <n v="3.6"/>
    <n v="4.8"/>
    <n v="2.9"/>
    <s v="Yes"/>
    <n v="0"/>
    <n v="1"/>
    <n v="1.7"/>
    <n v="0"/>
    <s v="Stayed"/>
    <m/>
    <n v="0"/>
    <n v="0"/>
    <s v="Promoted"/>
    <s v="3â€“5 years"/>
    <s v="Moderate"/>
    <s v="3.766666666666667"/>
    <n v="8.3333333333333301E-2"/>
    <n v="0"/>
  </r>
  <r>
    <s v="EMP0484"/>
    <x v="4"/>
    <s v="Sales Executive"/>
    <n v="3.5"/>
    <s v="G2"/>
    <n v="28"/>
    <s v="Doctorate"/>
    <s v="Bengaluru"/>
    <n v="1"/>
    <n v="20.399999999999999"/>
    <n v="12"/>
    <n v="2"/>
    <n v="12"/>
    <n v="0"/>
    <s v="Band B"/>
    <n v="42900"/>
    <n v="8.1"/>
    <n v="3.1"/>
    <n v="0.2"/>
    <n v="0"/>
    <n v="3.2"/>
    <n v="5"/>
    <n v="2.5"/>
    <s v="Yes"/>
    <n v="0"/>
    <n v="1"/>
    <n v="2.1"/>
    <n v="0"/>
    <s v="Stayed"/>
    <m/>
    <n v="0"/>
    <n v="0"/>
    <s v="Promoted"/>
    <s v="3â€“5 years"/>
    <s v="High"/>
    <s v="3.5666666666666664"/>
    <n v="8.3333333333333301E-2"/>
    <n v="0"/>
  </r>
  <r>
    <s v="EMP0485"/>
    <x v="3"/>
    <s v="Senior Software Engineer"/>
    <n v="4"/>
    <s v="G2"/>
    <n v="28"/>
    <s v="Bachelor"/>
    <s v="Bengaluru"/>
    <n v="3"/>
    <n v="21.6"/>
    <n v="7"/>
    <n v="0"/>
    <n v="12"/>
    <n v="0"/>
    <s v="Band B"/>
    <n v="35500"/>
    <n v="13.9"/>
    <n v="3.6"/>
    <n v="0.3"/>
    <n v="0"/>
    <n v="2.6"/>
    <n v="2.9"/>
    <n v="2.7"/>
    <s v="Yes"/>
    <n v="0"/>
    <n v="0"/>
    <m/>
    <n v="0"/>
    <s v="Stayed"/>
    <m/>
    <n v="1"/>
    <n v="0"/>
    <s v="No Recorded Promotions"/>
    <s v="3â€“5 years"/>
    <s v="High"/>
    <s v="2.733333333333333"/>
    <n v="0.25"/>
    <n v="0"/>
  </r>
  <r>
    <s v="EMP0486"/>
    <x v="4"/>
    <s v="Account Manager"/>
    <n v="8.9"/>
    <s v="G2"/>
    <n v="35"/>
    <s v="Bachelor"/>
    <s v="Chennai"/>
    <n v="1"/>
    <n v="12.9"/>
    <n v="11"/>
    <n v="5"/>
    <n v="12"/>
    <n v="0"/>
    <s v="Band B"/>
    <n v="45500"/>
    <n v="9.1999999999999993"/>
    <n v="1.6"/>
    <n v="0.5"/>
    <n v="0"/>
    <n v="3.3"/>
    <n v="2.4"/>
    <n v="2.8"/>
    <s v="Yes"/>
    <n v="0"/>
    <n v="1"/>
    <n v="1"/>
    <n v="0"/>
    <s v="Stayed"/>
    <m/>
    <n v="0"/>
    <n v="0"/>
    <s v="Promoted"/>
    <s v="5+ years"/>
    <s v="Moderate"/>
    <s v="2.8333333333333335"/>
    <n v="8.3333333333333301E-2"/>
    <n v="0"/>
  </r>
  <r>
    <s v="EMP0487"/>
    <x v="1"/>
    <s v="HR Executive"/>
    <n v="4.4000000000000004"/>
    <s v="G3"/>
    <n v="33"/>
    <s v="Bachelor"/>
    <s v="Chennai"/>
    <n v="3"/>
    <n v="12.4"/>
    <n v="5"/>
    <n v="1"/>
    <n v="12"/>
    <n v="0"/>
    <s v="Band C"/>
    <n v="55600"/>
    <n v="13"/>
    <n v="2.5"/>
    <n v="2.9"/>
    <n v="0"/>
    <n v="3.4"/>
    <n v="4.9000000000000004"/>
    <n v="3.9"/>
    <s v="No"/>
    <n v="0"/>
    <n v="2"/>
    <m/>
    <n v="0"/>
    <s v="Stayed"/>
    <m/>
    <n v="1"/>
    <n v="0"/>
    <s v="Promoted"/>
    <s v="3â€“5 years"/>
    <s v="Moderate"/>
    <s v="4.066666666666667"/>
    <n v="0.25"/>
    <n v="0"/>
  </r>
  <r>
    <s v="EMP0488"/>
    <x v="3"/>
    <s v="Software Engineer"/>
    <n v="6.4"/>
    <s v="G2"/>
    <n v="37"/>
    <s v="Diploma"/>
    <s v="Remote"/>
    <n v="4"/>
    <n v="9.8000000000000007"/>
    <n v="4"/>
    <n v="1"/>
    <n v="12"/>
    <n v="0"/>
    <s v="Band B"/>
    <n v="39500"/>
    <n v="7.1"/>
    <n v="3.9"/>
    <n v="0.6"/>
    <n v="0"/>
    <n v="3.9"/>
    <n v="2.2999999999999998"/>
    <n v="2.6"/>
    <s v="Yes"/>
    <n v="0"/>
    <n v="0"/>
    <m/>
    <n v="0"/>
    <s v="Left"/>
    <d v="2026-09-19T00:00:00"/>
    <n v="1"/>
    <n v="0"/>
    <s v="No Recorded Promotions"/>
    <s v="5+ years"/>
    <s v="Low"/>
    <s v="2.933333333333333"/>
    <s v="0.3333333333333333"/>
    <n v="1"/>
  </r>
  <r>
    <s v="EMP0489"/>
    <x v="5"/>
    <s v="Financial Analyst"/>
    <n v="6.2"/>
    <s v="G3"/>
    <n v="29"/>
    <s v="Bachelor"/>
    <s v="Bengaluru"/>
    <n v="5"/>
    <n v="10.7"/>
    <n v="4"/>
    <n v="2"/>
    <n v="12"/>
    <n v="0"/>
    <s v="Band C"/>
    <n v="64300"/>
    <n v="12.4"/>
    <n v="4.0999999999999996"/>
    <n v="0.6"/>
    <n v="0"/>
    <n v="2.7"/>
    <n v="2.2999999999999998"/>
    <n v="1.9"/>
    <s v="Yes"/>
    <n v="0"/>
    <n v="2"/>
    <n v="4.9000000000000004"/>
    <n v="0"/>
    <s v="Stayed"/>
    <m/>
    <n v="0"/>
    <n v="0"/>
    <s v="Promoted"/>
    <s v="5+ years"/>
    <s v="Moderate"/>
    <s v="2.3000000000000003"/>
    <s v="0.4166666666666667"/>
    <n v="0"/>
  </r>
  <r>
    <s v="EMP0490"/>
    <x v="5"/>
    <s v="Financial Analyst"/>
    <n v="7.6"/>
    <s v="G5"/>
    <n v="36"/>
    <s v="Bachelor"/>
    <s v="Bengaluru"/>
    <n v="2"/>
    <n v="32.9"/>
    <n v="10"/>
    <n v="6"/>
    <n v="12"/>
    <n v="0"/>
    <s v="Band D"/>
    <n v="98800"/>
    <n v="9"/>
    <n v="3.5"/>
    <n v="0.6"/>
    <n v="0"/>
    <n v="4.0999999999999996"/>
    <n v="2.2999999999999998"/>
    <n v="3.6"/>
    <s v="Yes"/>
    <n v="0"/>
    <n v="0"/>
    <m/>
    <n v="0"/>
    <s v="Stayed"/>
    <m/>
    <n v="1"/>
    <n v="0"/>
    <s v="No Recorded Promotions"/>
    <s v="5+ years"/>
    <s v="High"/>
    <s v="3.3333333333333335"/>
    <s v="0.16666666666666666"/>
    <n v="0"/>
  </r>
  <r>
    <s v="EMP0491"/>
    <x v="0"/>
    <s v="Team Lead"/>
    <n v="3.4"/>
    <s v="G3"/>
    <n v="30"/>
    <s v="Master"/>
    <s v="Coimbatore"/>
    <n v="5"/>
    <n v="11"/>
    <n v="8"/>
    <n v="5"/>
    <n v="12"/>
    <n v="0"/>
    <s v="Band C"/>
    <n v="51400"/>
    <n v="11.5"/>
    <n v="3.4"/>
    <n v="1.2"/>
    <n v="0"/>
    <n v="2.2999999999999998"/>
    <n v="3.1"/>
    <n v="2.9"/>
    <s v="Yes"/>
    <n v="0"/>
    <n v="1"/>
    <n v="1.4"/>
    <n v="0"/>
    <s v="Left"/>
    <d v="2025-11-18T00:00:00"/>
    <n v="0"/>
    <n v="0"/>
    <s v="Promoted"/>
    <s v="3â€“5 years"/>
    <s v="Moderate"/>
    <s v="2.766666666666667"/>
    <s v="0.4166666666666667"/>
    <n v="1"/>
  </r>
  <r>
    <s v="EMP0492"/>
    <x v="0"/>
    <s v="Operations Associate"/>
    <n v="2.4"/>
    <s v="G3"/>
    <n v="22"/>
    <s v="Bachelor"/>
    <s v="Hyderabad"/>
    <n v="3"/>
    <n v="5.4"/>
    <n v="7"/>
    <n v="0"/>
    <n v="12"/>
    <n v="0"/>
    <s v="Band C"/>
    <n v="51000"/>
    <n v="11.9"/>
    <n v="3.6"/>
    <n v="1.6"/>
    <n v="0"/>
    <n v="2.8"/>
    <n v="1.4"/>
    <n v="3.4"/>
    <s v="Yes"/>
    <n v="0"/>
    <n v="1"/>
    <n v="1.1000000000000001"/>
    <n v="0"/>
    <s v="Stayed"/>
    <m/>
    <n v="0"/>
    <n v="0"/>
    <s v="Promoted"/>
    <s v="1â€“3 years"/>
    <s v="Low"/>
    <s v="2.533333333333333"/>
    <n v="0.25"/>
    <n v="0"/>
  </r>
  <r>
    <s v="EMP0493"/>
    <x v="0"/>
    <s v="Operations Manager"/>
    <n v="5.5"/>
    <s v="G1"/>
    <n v="39"/>
    <s v="Master"/>
    <s v="Hyderabad"/>
    <n v="4"/>
    <n v="13.1"/>
    <n v="7"/>
    <n v="4"/>
    <n v="12"/>
    <n v="0"/>
    <s v="Band A"/>
    <n v="29800"/>
    <n v="4.2"/>
    <n v="4.0999999999999996"/>
    <n v="1.6"/>
    <n v="0"/>
    <n v="4.8"/>
    <n v="1.9"/>
    <n v="4.4000000000000004"/>
    <s v="Yes"/>
    <n v="0"/>
    <n v="0"/>
    <m/>
    <n v="0"/>
    <s v="Stayed"/>
    <m/>
    <n v="1"/>
    <n v="0"/>
    <s v="No Recorded Promotions"/>
    <s v="5+ years"/>
    <s v="Moderate"/>
    <s v="3.6999999999999997"/>
    <s v="0.3333333333333333"/>
    <n v="0"/>
  </r>
  <r>
    <s v="EMP0494"/>
    <x v="4"/>
    <s v="Account Manager"/>
    <n v="7.2"/>
    <s v="G1"/>
    <n v="27"/>
    <s v="Bachelor"/>
    <s v="Coimbatore"/>
    <n v="3"/>
    <n v="18"/>
    <n v="11"/>
    <n v="2"/>
    <n v="12"/>
    <n v="0"/>
    <s v="Band A"/>
    <n v="33000"/>
    <n v="8.3000000000000007"/>
    <n v="1.9"/>
    <n v="0.6"/>
    <n v="0"/>
    <n v="2.4"/>
    <n v="2.6"/>
    <n v="3.5"/>
    <s v="Yes"/>
    <n v="0"/>
    <n v="2"/>
    <n v="1"/>
    <n v="0"/>
    <s v="Stayed"/>
    <m/>
    <n v="0"/>
    <n v="0"/>
    <s v="Promoted"/>
    <s v="5+ years"/>
    <s v="Moderate"/>
    <s v="2.8333333333333335"/>
    <n v="0.25"/>
    <n v="0"/>
  </r>
  <r>
    <s v="EMP0495"/>
    <x v="0"/>
    <s v="Team Lead"/>
    <n v="8.1"/>
    <s v="G1"/>
    <n v="36"/>
    <s v="Bachelor"/>
    <s v="Bengaluru"/>
    <n v="3"/>
    <n v="21"/>
    <n v="10"/>
    <n v="3"/>
    <n v="12"/>
    <n v="0"/>
    <s v="Band A"/>
    <n v="25200"/>
    <n v="11.8"/>
    <n v="2.7"/>
    <n v="2.8"/>
    <n v="0"/>
    <n v="2.7"/>
    <n v="2.1"/>
    <n v="4.5999999999999996"/>
    <s v="Yes"/>
    <n v="0"/>
    <n v="0"/>
    <m/>
    <n v="1"/>
    <s v="Stayed"/>
    <m/>
    <n v="1"/>
    <n v="0"/>
    <s v="No Recorded Promotions"/>
    <s v="5+ years"/>
    <s v="High"/>
    <s v="3.1333333333333333"/>
    <n v="0.25"/>
    <n v="0"/>
  </r>
  <r>
    <s v="EMP0496"/>
    <x v="5"/>
    <s v="Accountant"/>
    <n v="9.6"/>
    <s v="G3"/>
    <n v="37"/>
    <s v="Master"/>
    <s v="Chennai"/>
    <n v="4"/>
    <n v="4"/>
    <n v="10"/>
    <n v="3"/>
    <n v="12"/>
    <n v="0"/>
    <s v="Band C"/>
    <n v="64000"/>
    <n v="12.5"/>
    <n v="3.1"/>
    <n v="1.1000000000000001"/>
    <n v="0"/>
    <n v="2.2000000000000002"/>
    <n v="4.2"/>
    <n v="3.3"/>
    <s v="Yes"/>
    <n v="0"/>
    <n v="1"/>
    <n v="8.3000000000000007"/>
    <n v="0"/>
    <s v="Stayed"/>
    <m/>
    <n v="0"/>
    <n v="0"/>
    <s v="Promoted"/>
    <s v="5+ years"/>
    <s v="Low"/>
    <s v="3.233333333333333"/>
    <s v="0.3333333333333333"/>
    <n v="0"/>
  </r>
  <r>
    <s v="EMP0497"/>
    <x v="1"/>
    <s v="HR Manager"/>
    <n v="6.8"/>
    <s v="G4"/>
    <n v="34"/>
    <s v="Diploma"/>
    <s v="Bengaluru"/>
    <n v="6"/>
    <n v="28.3"/>
    <n v="9"/>
    <n v="1"/>
    <n v="12"/>
    <n v="0"/>
    <s v="Band D"/>
    <n v="75700"/>
    <n v="13"/>
    <n v="3.4"/>
    <n v="2.5"/>
    <n v="0"/>
    <n v="2.6"/>
    <n v="3.2"/>
    <n v="4.2"/>
    <s v="Yes"/>
    <n v="0"/>
    <n v="1"/>
    <n v="3.4"/>
    <n v="0"/>
    <s v="Stayed"/>
    <m/>
    <n v="0"/>
    <n v="0"/>
    <s v="Promoted"/>
    <s v="5+ years"/>
    <s v="High"/>
    <s v="3.3333333333333335"/>
    <n v="0.5"/>
    <n v="0"/>
  </r>
  <r>
    <s v="EMP0498"/>
    <x v="0"/>
    <s v="Operations Manager"/>
    <n v="2.2999999999999998"/>
    <s v="G1"/>
    <n v="26"/>
    <s v="Diploma"/>
    <s v="Coimbatore"/>
    <n v="3"/>
    <n v="17.5"/>
    <n v="7"/>
    <n v="2"/>
    <n v="12"/>
    <n v="0"/>
    <s v="Band A"/>
    <n v="30000"/>
    <n v="8.4"/>
    <n v="1.3"/>
    <n v="1.3"/>
    <n v="0"/>
    <n v="3.4"/>
    <n v="3.7"/>
    <n v="3"/>
    <s v="Yes"/>
    <n v="0"/>
    <n v="1"/>
    <n v="0"/>
    <n v="0"/>
    <s v="Stayed"/>
    <m/>
    <n v="0"/>
    <n v="0"/>
    <s v="Promoted"/>
    <s v="1â€“3 years"/>
    <s v="Moderate"/>
    <s v="3.3666666666666667"/>
    <n v="0.25"/>
    <n v="0"/>
  </r>
  <r>
    <s v="EMP0499"/>
    <x v="4"/>
    <s v="Sales Executive"/>
    <n v="4.4000000000000004"/>
    <s v="G1"/>
    <n v="34"/>
    <s v="Bachelor"/>
    <s v="Chennai"/>
    <n v="3"/>
    <n v="27.2"/>
    <n v="9"/>
    <n v="1"/>
    <n v="12"/>
    <n v="0"/>
    <s v="Band B"/>
    <n v="37300"/>
    <n v="14.2"/>
    <n v="2.1"/>
    <n v="0.6"/>
    <n v="0"/>
    <n v="3.9"/>
    <n v="3.6"/>
    <n v="3.5"/>
    <s v="Yes"/>
    <n v="0"/>
    <n v="0"/>
    <m/>
    <n v="0"/>
    <s v="Stayed"/>
    <m/>
    <n v="1"/>
    <n v="0"/>
    <s v="No Recorded Promotions"/>
    <s v="3â€“5 years"/>
    <s v="High"/>
    <s v="3.6666666666666665"/>
    <n v="0.25"/>
    <n v="0"/>
  </r>
  <r>
    <s v="EMP0500"/>
    <x v="5"/>
    <s v="Finance Manager"/>
    <n v="4.0999999999999996"/>
    <s v="G2"/>
    <n v="24"/>
    <s v="Master"/>
    <s v="Remote"/>
    <n v="5"/>
    <n v="2.6"/>
    <n v="10"/>
    <n v="0"/>
    <n v="12"/>
    <n v="0"/>
    <s v="Band B"/>
    <n v="36800"/>
    <n v="5.4"/>
    <n v="3.2"/>
    <n v="0.8"/>
    <n v="0"/>
    <n v="3.3"/>
    <n v="3"/>
    <n v="2.7"/>
    <s v="Yes"/>
    <n v="0"/>
    <n v="1"/>
    <n v="1.1000000000000001"/>
    <n v="0"/>
    <s v="Stayed"/>
    <m/>
    <n v="0"/>
    <n v="0"/>
    <s v="Promoted"/>
    <s v="3â€“5 years"/>
    <s v="Low"/>
    <n v="3"/>
    <s v="0.4166666666666667"/>
    <n v="0"/>
  </r>
  <r>
    <s v="EMP0501"/>
    <x v="0"/>
    <s v="Operations Manager"/>
    <n v="3.8"/>
    <s v="G3"/>
    <n v="30"/>
    <s v="Bachelor"/>
    <s v="Hyderabad"/>
    <n v="2"/>
    <n v="22.2"/>
    <n v="10"/>
    <n v="1"/>
    <n v="12"/>
    <n v="0"/>
    <s v="Band B"/>
    <n v="45600"/>
    <n v="2"/>
    <n v="4.0999999999999996"/>
    <n v="0.5"/>
    <n v="0"/>
    <n v="3"/>
    <n v="4.0999999999999996"/>
    <n v="2.7"/>
    <s v="Yes"/>
    <n v="0"/>
    <n v="0"/>
    <m/>
    <n v="1"/>
    <s v="Stayed"/>
    <m/>
    <n v="1"/>
    <n v="0"/>
    <s v="No Recorded Promotions"/>
    <s v="3â€“5 years"/>
    <s v="High"/>
    <s v="3.266666666666667"/>
    <s v="0.16666666666666666"/>
    <n v="0"/>
  </r>
  <r>
    <s v="EMP0502"/>
    <x v="2"/>
    <s v="Support Associate"/>
    <n v="5.5"/>
    <s v="G3"/>
    <n v="29"/>
    <s v="Diploma"/>
    <s v="Chennai"/>
    <n v="4"/>
    <n v="3.8"/>
    <n v="12"/>
    <n v="2"/>
    <n v="12"/>
    <n v="0"/>
    <s v="Band C"/>
    <n v="56000"/>
    <n v="6.9"/>
    <n v="2.8"/>
    <n v="0.2"/>
    <n v="0"/>
    <n v="2.2000000000000002"/>
    <n v="3.6"/>
    <n v="3.2"/>
    <s v="Yes"/>
    <n v="0"/>
    <n v="0"/>
    <m/>
    <n v="0"/>
    <s v="Stayed"/>
    <m/>
    <n v="1"/>
    <n v="0"/>
    <s v="No Recorded Promotions"/>
    <s v="5+ years"/>
    <s v="Low"/>
    <n v="3"/>
    <s v="0.3333333333333333"/>
    <n v="0"/>
  </r>
  <r>
    <s v="EMP0503"/>
    <x v="2"/>
    <s v="Support Team Lead"/>
    <n v="3.2"/>
    <s v="G3"/>
    <n v="26"/>
    <s v="Bachelor"/>
    <s v="Remote"/>
    <n v="4"/>
    <n v="8.1"/>
    <n v="7"/>
    <n v="2"/>
    <n v="12"/>
    <n v="0"/>
    <s v="Band C"/>
    <n v="55200"/>
    <n v="12.8"/>
    <n v="2.6"/>
    <n v="1.4"/>
    <n v="0"/>
    <n v="2.6"/>
    <n v="2.9"/>
    <n v="2.2999999999999998"/>
    <s v="Yes"/>
    <n v="0"/>
    <n v="0"/>
    <m/>
    <n v="1"/>
    <s v="Stayed"/>
    <m/>
    <n v="1"/>
    <n v="0"/>
    <s v="No Recorded Promotions"/>
    <s v="3â€“5 years"/>
    <s v="Low"/>
    <n v="2.6"/>
    <s v="0.3333333333333333"/>
    <n v="0"/>
  </r>
  <r>
    <s v="EMP0504"/>
    <x v="5"/>
    <s v="Accountant"/>
    <n v="3.2"/>
    <s v="G4"/>
    <n v="31"/>
    <s v="Bachelor"/>
    <s v="Chennai"/>
    <n v="4"/>
    <n v="17.899999999999999"/>
    <n v="8"/>
    <n v="1"/>
    <n v="12"/>
    <n v="0"/>
    <s v="Band D"/>
    <n v="78700"/>
    <n v="3.7"/>
    <n v="3.7"/>
    <n v="0.4"/>
    <n v="0"/>
    <n v="1.9"/>
    <n v="1.7"/>
    <n v="3.5"/>
    <s v="Yes"/>
    <n v="0"/>
    <n v="0"/>
    <m/>
    <n v="0"/>
    <s v="Stayed"/>
    <m/>
    <n v="1"/>
    <n v="0"/>
    <s v="No Recorded Promotions"/>
    <s v="3â€“5 years"/>
    <s v="Moderate"/>
    <s v="2.3666666666666667"/>
    <s v="0.3333333333333333"/>
    <n v="0"/>
  </r>
  <r>
    <s v="EMP0505"/>
    <x v="5"/>
    <s v="Accountant"/>
    <n v="11.7"/>
    <s v="G2"/>
    <n v="42"/>
    <s v="Diploma"/>
    <s v="Coimbatore"/>
    <n v="2"/>
    <n v="3.4"/>
    <n v="7"/>
    <n v="4"/>
    <n v="12"/>
    <n v="0"/>
    <s v="Band B"/>
    <n v="40700"/>
    <n v="2.1"/>
    <n v="2.9"/>
    <n v="0.3"/>
    <n v="0"/>
    <n v="4"/>
    <n v="3.7"/>
    <n v="3.2"/>
    <s v="Yes"/>
    <n v="0"/>
    <n v="0"/>
    <m/>
    <n v="0"/>
    <s v="Stayed"/>
    <m/>
    <n v="1"/>
    <n v="0"/>
    <s v="No Recorded Promotions"/>
    <s v="5+ years"/>
    <s v="Low"/>
    <s v="3.6333333333333333"/>
    <s v="0.16666666666666666"/>
    <n v="0"/>
  </r>
  <r>
    <s v="EMP0506"/>
    <x v="0"/>
    <s v="Operations Associate"/>
    <n v="3.5"/>
    <s v="G3"/>
    <n v="28"/>
    <s v="Bachelor"/>
    <s v="Hyderabad"/>
    <n v="1"/>
    <n v="6.4"/>
    <n v="5"/>
    <n v="1"/>
    <n v="12"/>
    <n v="0"/>
    <s v="Band B"/>
    <n v="47900"/>
    <n v="1.1000000000000001"/>
    <n v="4"/>
    <n v="2.4"/>
    <n v="0"/>
    <n v="4"/>
    <n v="2.1"/>
    <n v="3.6"/>
    <s v="Yes"/>
    <n v="0"/>
    <n v="0"/>
    <m/>
    <n v="0"/>
    <s v="Stayed"/>
    <m/>
    <n v="1"/>
    <n v="0"/>
    <s v="No Recorded Promotions"/>
    <s v="3â€“5 years"/>
    <s v="Low"/>
    <s v="3.233333333333333"/>
    <n v="8.3333333333333301E-2"/>
    <n v="0"/>
  </r>
  <r>
    <s v="EMP0507"/>
    <x v="4"/>
    <s v="Account Manager"/>
    <n v="7.5"/>
    <s v="G3"/>
    <n v="37"/>
    <s v="Diploma"/>
    <s v="Chennai"/>
    <n v="3"/>
    <n v="2.6"/>
    <n v="11"/>
    <n v="5"/>
    <n v="12"/>
    <n v="0"/>
    <s v="Band B"/>
    <n v="45900"/>
    <n v="10.9"/>
    <n v="3"/>
    <n v="3.4"/>
    <n v="0"/>
    <n v="3.3"/>
    <n v="3.5"/>
    <n v="2.2999999999999998"/>
    <s v="Yes"/>
    <n v="0"/>
    <n v="0"/>
    <m/>
    <n v="0"/>
    <s v="Left"/>
    <d v="2024-03-08T00:00:00"/>
    <n v="1"/>
    <n v="0"/>
    <s v="No Recorded Promotions"/>
    <s v="5+ years"/>
    <s v="Low"/>
    <s v="3.033333333333333"/>
    <n v="0.25"/>
    <n v="1"/>
  </r>
  <r>
    <s v="EMP0508"/>
    <x v="2"/>
    <s v="Support Specialist"/>
    <n v="7.8"/>
    <s v="G2"/>
    <n v="34"/>
    <s v="Bachelor"/>
    <s v="Coimbatore"/>
    <n v="1"/>
    <n v="17.600000000000001"/>
    <n v="4"/>
    <n v="1"/>
    <n v="12"/>
    <n v="0"/>
    <s v="Band A"/>
    <n v="34500"/>
    <n v="2.2000000000000002"/>
    <n v="2.2000000000000002"/>
    <n v="0.6"/>
    <n v="0"/>
    <n v="3.7"/>
    <n v="3.3"/>
    <n v="4"/>
    <s v="Yes"/>
    <n v="0"/>
    <n v="0"/>
    <m/>
    <n v="1"/>
    <s v="Stayed"/>
    <m/>
    <n v="1"/>
    <n v="0"/>
    <s v="No Recorded Promotions"/>
    <s v="5+ years"/>
    <s v="Moderate"/>
    <s v="3.6666666666666665"/>
    <n v="8.3333333333333301E-2"/>
    <n v="0"/>
  </r>
  <r>
    <s v="EMP0509"/>
    <x v="1"/>
    <s v="Recruiter"/>
    <n v="4.4000000000000004"/>
    <s v="G4"/>
    <n v="27"/>
    <s v="Bachelor"/>
    <s v="Bengaluru"/>
    <n v="6"/>
    <n v="4.9000000000000004"/>
    <n v="7"/>
    <n v="2"/>
    <n v="12"/>
    <n v="0"/>
    <s v="Band C"/>
    <n v="68900"/>
    <n v="10.199999999999999"/>
    <n v="4.5"/>
    <n v="8"/>
    <n v="0"/>
    <n v="4.0999999999999996"/>
    <n v="2"/>
    <n v="4.8"/>
    <s v="Yes"/>
    <n v="0"/>
    <n v="1"/>
    <n v="1.4"/>
    <n v="0"/>
    <s v="Stayed"/>
    <m/>
    <n v="0"/>
    <n v="0"/>
    <s v="Promoted"/>
    <s v="3â€“5 years"/>
    <s v="Low"/>
    <s v="3.633333333333333"/>
    <n v="0.5"/>
    <n v="0"/>
  </r>
  <r>
    <s v="EMP0510"/>
    <x v="3"/>
    <s v="Software Engineer"/>
    <n v="3.3"/>
    <s v="G1"/>
    <n v="28"/>
    <s v="Master"/>
    <s v="Chennai"/>
    <n v="3"/>
    <n v="10.4"/>
    <n v="13"/>
    <n v="1"/>
    <n v="12"/>
    <n v="0"/>
    <s v="Band A"/>
    <n v="28100"/>
    <n v="6.7"/>
    <n v="4.3"/>
    <n v="2.2999999999999998"/>
    <n v="0"/>
    <n v="3.4"/>
    <n v="3.4"/>
    <n v="4.5999999999999996"/>
    <s v="Yes"/>
    <n v="0"/>
    <n v="1"/>
    <n v="2.6"/>
    <n v="0"/>
    <s v="Stayed"/>
    <m/>
    <n v="0"/>
    <n v="0"/>
    <s v="Promoted"/>
    <s v="3â€“5 years"/>
    <s v="Moderate"/>
    <s v="3.7999999999999994"/>
    <n v="0.25"/>
    <n v="0"/>
  </r>
  <r>
    <s v="EMP0511"/>
    <x v="3"/>
    <s v="Software Engineer"/>
    <n v="1.8"/>
    <s v="G3"/>
    <n v="27"/>
    <s v="Bachelor"/>
    <s v="Coimbatore"/>
    <n v="1"/>
    <n v="14.1"/>
    <n v="6"/>
    <n v="1"/>
    <n v="12"/>
    <n v="0"/>
    <s v="Band C"/>
    <n v="64900"/>
    <n v="4.9000000000000004"/>
    <n v="2.2999999999999998"/>
    <n v="1.4"/>
    <n v="0"/>
    <n v="4.5999999999999996"/>
    <n v="3.4"/>
    <n v="4.9000000000000004"/>
    <s v="Yes"/>
    <n v="0"/>
    <n v="0"/>
    <m/>
    <n v="0"/>
    <s v="Stayed"/>
    <m/>
    <n v="1"/>
    <n v="0"/>
    <s v="No Recorded Promotions"/>
    <s v="1â€“3 years"/>
    <s v="Moderate"/>
    <n v="4.3"/>
    <n v="8.3333333333333301E-2"/>
    <n v="0"/>
  </r>
  <r>
    <s v="EMP0512"/>
    <x v="2"/>
    <s v="Support Team Lead"/>
    <n v="0.8"/>
    <s v="G3"/>
    <n v="24"/>
    <s v="Bachelor"/>
    <s v="Chennai"/>
    <n v="4"/>
    <n v="13"/>
    <n v="12"/>
    <n v="5"/>
    <n v="12"/>
    <n v="0"/>
    <s v="Band B"/>
    <n v="41400"/>
    <n v="4"/>
    <n v="3.6"/>
    <n v="0.1"/>
    <n v="0"/>
    <n v="2.4"/>
    <n v="3.4"/>
    <n v="3.4"/>
    <s v="Yes"/>
    <n v="0"/>
    <n v="0"/>
    <m/>
    <n v="1"/>
    <s v="Stayed"/>
    <m/>
    <n v="1"/>
    <n v="0"/>
    <s v="No Recorded Promotions"/>
    <s v="0â€“1 years"/>
    <s v="Moderate"/>
    <s v="3.0666666666666664"/>
    <s v="0.3333333333333333"/>
    <n v="0"/>
  </r>
  <r>
    <s v="EMP0513"/>
    <x v="3"/>
    <s v="Data Analyst"/>
    <n v="5.7"/>
    <s v="G4"/>
    <n v="33"/>
    <s v="Bachelor"/>
    <s v="Bengaluru"/>
    <n v="6"/>
    <n v="12.1"/>
    <n v="14"/>
    <n v="1"/>
    <n v="12"/>
    <n v="0"/>
    <s v="Band D"/>
    <n v="76900"/>
    <n v="8.8000000000000007"/>
    <n v="2.9"/>
    <n v="1.9"/>
    <n v="0"/>
    <n v="3"/>
    <n v="3.3"/>
    <n v="3.1"/>
    <s v="Yes"/>
    <n v="0"/>
    <n v="0"/>
    <m/>
    <n v="0"/>
    <s v="Stayed"/>
    <m/>
    <n v="1"/>
    <n v="0"/>
    <s v="No Recorded Promotions"/>
    <s v="5+ years"/>
    <s v="Moderate"/>
    <s v="3.1333333333333333"/>
    <n v="0.5"/>
    <n v="0"/>
  </r>
  <r>
    <s v="EMP0514"/>
    <x v="4"/>
    <s v="Sales Manager"/>
    <n v="5"/>
    <s v="G2"/>
    <n v="32"/>
    <s v="Master"/>
    <s v="Chennai"/>
    <n v="5"/>
    <n v="12.1"/>
    <n v="7"/>
    <n v="1"/>
    <n v="12"/>
    <n v="0"/>
    <s v="Band B"/>
    <n v="36300"/>
    <n v="5"/>
    <n v="3.8"/>
    <n v="0.3"/>
    <n v="0"/>
    <n v="2.9"/>
    <n v="2.6"/>
    <n v="3.8"/>
    <s v="Yes"/>
    <n v="0"/>
    <n v="1"/>
    <n v="1.3"/>
    <n v="0"/>
    <s v="Stayed"/>
    <m/>
    <n v="0"/>
    <n v="0"/>
    <s v="Promoted"/>
    <s v="3â€“5 years"/>
    <s v="Moderate"/>
    <n v="3.1"/>
    <s v="0.4166666666666667"/>
    <n v="0"/>
  </r>
  <r>
    <s v="EMP0515"/>
    <x v="4"/>
    <s v="Sales Executive"/>
    <n v="6.3"/>
    <s v="G2"/>
    <n v="26"/>
    <s v="Bachelor"/>
    <s v="Chennai"/>
    <n v="2"/>
    <n v="2.8"/>
    <n v="13"/>
    <n v="2"/>
    <n v="12"/>
    <n v="0"/>
    <s v="Band B"/>
    <n v="41500"/>
    <n v="8"/>
    <n v="2.4"/>
    <n v="0.4"/>
    <n v="0"/>
    <n v="3.9"/>
    <n v="3.7"/>
    <n v="3.2"/>
    <s v="Yes"/>
    <n v="0"/>
    <n v="0"/>
    <m/>
    <n v="1"/>
    <s v="Stayed"/>
    <m/>
    <n v="1"/>
    <n v="0"/>
    <s v="No Recorded Promotions"/>
    <s v="5+ years"/>
    <s v="Low"/>
    <n v="3.6"/>
    <s v="0.16666666666666666"/>
    <n v="0"/>
  </r>
  <r>
    <s v="EMP0516"/>
    <x v="3"/>
    <s v="Data Analyst"/>
    <n v="2.6"/>
    <s v="G4"/>
    <n v="22"/>
    <s v="Bachelor"/>
    <s v="Bengaluru"/>
    <n v="3"/>
    <n v="8.5"/>
    <n v="9"/>
    <n v="3"/>
    <n v="12"/>
    <n v="0"/>
    <s v="Band C"/>
    <n v="65900"/>
    <n v="9.6"/>
    <n v="4"/>
    <n v="2"/>
    <n v="0"/>
    <n v="2"/>
    <n v="2.6"/>
    <n v="2"/>
    <s v="Yes"/>
    <n v="0"/>
    <n v="0"/>
    <m/>
    <n v="0"/>
    <s v="Stayed"/>
    <m/>
    <n v="1"/>
    <n v="0"/>
    <s v="No Recorded Promotions"/>
    <s v="1â€“3 years"/>
    <s v="Low"/>
    <s v="2.1999999999999997"/>
    <n v="0.25"/>
    <n v="0"/>
  </r>
  <r>
    <s v="EMP0517"/>
    <x v="4"/>
    <s v="Sales Manager"/>
    <n v="12.4"/>
    <s v="G4"/>
    <n v="40"/>
    <s v="Bachelor"/>
    <s v="Chennai"/>
    <n v="6"/>
    <n v="12"/>
    <n v="4"/>
    <n v="4"/>
    <n v="12"/>
    <n v="0"/>
    <s v="Band D"/>
    <n v="91000"/>
    <n v="10.5"/>
    <n v="4.3"/>
    <n v="5.2"/>
    <n v="0"/>
    <n v="4.5999999999999996"/>
    <n v="2.2000000000000002"/>
    <n v="4.0999999999999996"/>
    <s v="Yes"/>
    <n v="0"/>
    <n v="1"/>
    <n v="0.3"/>
    <n v="0"/>
    <s v="Stayed"/>
    <m/>
    <n v="0"/>
    <n v="0"/>
    <s v="Promoted"/>
    <s v="5+ years"/>
    <s v="Moderate"/>
    <s v="3.633333333333333"/>
    <n v="0.5"/>
    <n v="0"/>
  </r>
  <r>
    <s v="EMP0518"/>
    <x v="0"/>
    <s v="Team Lead"/>
    <n v="5.3"/>
    <s v="G2"/>
    <n v="28"/>
    <s v="Bachelor"/>
    <s v="Coimbatore"/>
    <n v="3"/>
    <n v="11"/>
    <n v="4"/>
    <n v="1"/>
    <n v="12"/>
    <n v="0"/>
    <s v="Band B"/>
    <n v="44800"/>
    <n v="11.7"/>
    <n v="2.2999999999999998"/>
    <n v="1.4"/>
    <n v="0"/>
    <n v="3.3"/>
    <n v="3.8"/>
    <n v="3.2"/>
    <s v="Yes"/>
    <n v="1"/>
    <n v="1"/>
    <n v="1.7"/>
    <n v="0"/>
    <s v="Stayed"/>
    <m/>
    <n v="0"/>
    <n v="0"/>
    <s v="Promoted"/>
    <s v="5+ years"/>
    <s v="Moderate"/>
    <s v="3.4333333333333336"/>
    <n v="0.25"/>
    <n v="0"/>
  </r>
  <r>
    <s v="EMP0519"/>
    <x v="3"/>
    <s v="Software Engineer"/>
    <n v="3.4"/>
    <s v="G3"/>
    <n v="31"/>
    <s v="Bachelor"/>
    <s v="Bengaluru"/>
    <n v="2"/>
    <n v="9.3000000000000007"/>
    <n v="11"/>
    <n v="3"/>
    <n v="12"/>
    <n v="0"/>
    <s v="Band C"/>
    <n v="52400"/>
    <n v="8.6999999999999993"/>
    <n v="3.3"/>
    <n v="2.7"/>
    <n v="0"/>
    <n v="4.9000000000000004"/>
    <n v="4"/>
    <n v="2.2000000000000002"/>
    <s v="Yes"/>
    <n v="0"/>
    <n v="0"/>
    <m/>
    <n v="0"/>
    <s v="Stayed"/>
    <m/>
    <n v="1"/>
    <n v="0"/>
    <s v="No Recorded Promotions"/>
    <s v="3â€“5 years"/>
    <s v="Low"/>
    <s v="3.7000000000000006"/>
    <s v="0.16666666666666666"/>
    <n v="0"/>
  </r>
  <r>
    <s v="EMP0520"/>
    <x v="2"/>
    <s v="Support Team Lead"/>
    <n v="0.4"/>
    <s v="G2"/>
    <n v="30"/>
    <s v="Diploma"/>
    <s v="Hyderabad"/>
    <n v="2"/>
    <n v="5.6"/>
    <n v="14"/>
    <n v="0"/>
    <n v="12"/>
    <n v="0"/>
    <s v="Band B"/>
    <n v="44600"/>
    <n v="3.8"/>
    <n v="4.3"/>
    <n v="5.0999999999999996"/>
    <n v="0"/>
    <n v="3.3"/>
    <n v="3.7"/>
    <n v="3"/>
    <s v="Yes"/>
    <n v="0"/>
    <n v="0"/>
    <m/>
    <n v="0"/>
    <s v="Stayed"/>
    <m/>
    <n v="1"/>
    <n v="0"/>
    <s v="No Recorded Promotions"/>
    <s v="0â€“1 years"/>
    <s v="Low"/>
    <s v="3.3333333333333335"/>
    <s v="0.16666666666666666"/>
    <n v="0"/>
  </r>
  <r>
    <s v="EMP0521"/>
    <x v="2"/>
    <s v="Support Specialist"/>
    <n v="2.8"/>
    <s v="G3"/>
    <n v="24"/>
    <s v="Bachelor"/>
    <s v="Chennai"/>
    <n v="2"/>
    <n v="12.8"/>
    <n v="4"/>
    <n v="3"/>
    <n v="12"/>
    <n v="0"/>
    <s v="Band C"/>
    <n v="57400"/>
    <n v="9.9"/>
    <n v="2.2999999999999998"/>
    <n v="0.2"/>
    <n v="0"/>
    <n v="2.8"/>
    <n v="3"/>
    <n v="3.2"/>
    <s v="Yes"/>
    <n v="0"/>
    <n v="0"/>
    <m/>
    <n v="2"/>
    <s v="Stayed"/>
    <m/>
    <n v="1"/>
    <n v="0"/>
    <s v="No Recorded Promotions"/>
    <s v="1â€“3 years"/>
    <s v="Moderate"/>
    <n v="3"/>
    <s v="0.16666666666666666"/>
    <n v="0"/>
  </r>
  <r>
    <s v="EMP0522"/>
    <x v="4"/>
    <s v="Sales Executive"/>
    <n v="6.5"/>
    <s v="G4"/>
    <n v="27"/>
    <s v="Bachelor"/>
    <s v="Hyderabad"/>
    <n v="3"/>
    <n v="14.7"/>
    <n v="8"/>
    <n v="1"/>
    <n v="12"/>
    <n v="0"/>
    <s v="Band D"/>
    <n v="87200"/>
    <n v="10.6"/>
    <n v="2.6"/>
    <n v="2.1"/>
    <n v="0"/>
    <n v="3.9"/>
    <n v="3.3"/>
    <n v="3.4"/>
    <s v="Yes"/>
    <n v="1"/>
    <n v="2"/>
    <n v="3.3"/>
    <n v="0"/>
    <s v="Stayed"/>
    <m/>
    <n v="0"/>
    <n v="0"/>
    <s v="Promoted"/>
    <s v="5+ years"/>
    <s v="Moderate"/>
    <s v="3.533333333333333"/>
    <n v="0.25"/>
    <n v="0"/>
  </r>
  <r>
    <s v="EMP0523"/>
    <x v="3"/>
    <s v="Software Engineer"/>
    <n v="9.5"/>
    <s v="G2"/>
    <n v="42"/>
    <s v="Bachelor"/>
    <s v="Bengaluru"/>
    <n v="0"/>
    <n v="7.1"/>
    <n v="9"/>
    <n v="1"/>
    <n v="12"/>
    <n v="0"/>
    <s v="Band B"/>
    <n v="42100"/>
    <n v="7.3"/>
    <n v="3.8"/>
    <n v="3.5"/>
    <n v="0"/>
    <n v="4.2"/>
    <n v="4.5"/>
    <n v="3.4"/>
    <s v="Yes"/>
    <n v="0"/>
    <n v="1"/>
    <n v="4.9000000000000004"/>
    <n v="1"/>
    <s v="Stayed"/>
    <m/>
    <n v="0"/>
    <n v="0"/>
    <s v="Promoted"/>
    <s v="5+ years"/>
    <s v="Low"/>
    <s v="4.033333333333333"/>
    <n v="0"/>
    <n v="0"/>
  </r>
  <r>
    <s v="EMP0524"/>
    <x v="0"/>
    <s v="Team Lead"/>
    <n v="3.9"/>
    <s v="G2"/>
    <n v="31"/>
    <s v="Master"/>
    <s v="Chennai"/>
    <n v="3"/>
    <n v="21.1"/>
    <n v="12"/>
    <n v="1"/>
    <n v="12"/>
    <n v="0"/>
    <s v="Band B"/>
    <n v="43500"/>
    <n v="6.8"/>
    <n v="3.1"/>
    <n v="3"/>
    <n v="0"/>
    <n v="2.7"/>
    <n v="1.4"/>
    <n v="4.5"/>
    <s v="Yes"/>
    <n v="0"/>
    <n v="0"/>
    <m/>
    <n v="0"/>
    <s v="Stayed"/>
    <m/>
    <n v="1"/>
    <n v="0"/>
    <s v="No Recorded Promotions"/>
    <s v="3â€“5 years"/>
    <s v="High"/>
    <s v="2.8666666666666667"/>
    <n v="0.25"/>
    <n v="0"/>
  </r>
  <r>
    <s v="EMP0525"/>
    <x v="3"/>
    <s v="Software Engineer"/>
    <n v="10.5"/>
    <s v="G5"/>
    <n v="35"/>
    <s v="Bachelor"/>
    <s v="Hyderabad"/>
    <n v="4"/>
    <n v="28.8"/>
    <n v="11"/>
    <n v="2"/>
    <n v="12"/>
    <n v="0"/>
    <s v="Band D"/>
    <n v="97200"/>
    <n v="17.899999999999999"/>
    <n v="1.8"/>
    <n v="3.3"/>
    <n v="0"/>
    <n v="1.5"/>
    <n v="3.7"/>
    <n v="2.4"/>
    <s v="Yes"/>
    <n v="0"/>
    <n v="2"/>
    <n v="5.4"/>
    <n v="2"/>
    <s v="Stayed"/>
    <m/>
    <n v="0"/>
    <n v="0"/>
    <s v="Promoted"/>
    <s v="5+ years"/>
    <s v="High"/>
    <s v="2.533333333333333"/>
    <s v="0.3333333333333333"/>
    <n v="0"/>
  </r>
  <r>
    <s v="EMP0526"/>
    <x v="4"/>
    <s v="Sales Executive"/>
    <n v="1.7"/>
    <s v="G4"/>
    <n v="24"/>
    <s v="Master"/>
    <s v="Bengaluru"/>
    <n v="3"/>
    <n v="10.6"/>
    <n v="6"/>
    <n v="2"/>
    <n v="12"/>
    <n v="0"/>
    <s v="Band C"/>
    <n v="62700"/>
    <n v="2.8"/>
    <n v="2.9"/>
    <n v="0.7"/>
    <n v="0"/>
    <n v="1.7"/>
    <n v="5"/>
    <n v="3.3"/>
    <s v="Yes"/>
    <n v="0"/>
    <n v="1"/>
    <n v="1.2"/>
    <n v="0"/>
    <s v="Stayed"/>
    <m/>
    <n v="0"/>
    <n v="0"/>
    <s v="Promoted"/>
    <s v="1â€“3 years"/>
    <s v="Moderate"/>
    <s v="3.3333333333333335"/>
    <n v="0.25"/>
    <n v="0"/>
  </r>
  <r>
    <s v="EMP0527"/>
    <x v="2"/>
    <s v="Support Specialist"/>
    <n v="5.0999999999999996"/>
    <s v="G4"/>
    <n v="29"/>
    <s v="Master"/>
    <s v="Bengaluru"/>
    <n v="4"/>
    <n v="5.0999999999999996"/>
    <n v="10"/>
    <n v="0"/>
    <n v="12"/>
    <n v="0"/>
    <s v="Band D"/>
    <n v="92400"/>
    <n v="10"/>
    <n v="4.8"/>
    <n v="1.6"/>
    <n v="0"/>
    <n v="3.5"/>
    <n v="3.3"/>
    <n v="2.7"/>
    <s v="Yes"/>
    <n v="0"/>
    <n v="2"/>
    <n v="0.5"/>
    <n v="0"/>
    <s v="Stayed"/>
    <m/>
    <n v="0"/>
    <n v="0"/>
    <s v="Promoted"/>
    <s v="5+ years"/>
    <s v="Low"/>
    <s v="3.1666666666666665"/>
    <s v="0.3333333333333333"/>
    <n v="0"/>
  </r>
  <r>
    <s v="EMP0528"/>
    <x v="2"/>
    <s v="Support Team Lead"/>
    <n v="5.2"/>
    <s v="G2"/>
    <n v="26"/>
    <s v="Master"/>
    <s v="Coimbatore"/>
    <n v="3"/>
    <n v="3.4"/>
    <n v="7"/>
    <n v="1"/>
    <n v="12"/>
    <n v="0"/>
    <s v="Band A"/>
    <n v="34600"/>
    <n v="12.2"/>
    <n v="5"/>
    <n v="3.5"/>
    <n v="0"/>
    <n v="4.7"/>
    <n v="3.5"/>
    <n v="4.4000000000000004"/>
    <s v="No"/>
    <n v="0"/>
    <n v="1"/>
    <n v="0.1"/>
    <n v="2"/>
    <s v="Stayed"/>
    <m/>
    <n v="0"/>
    <n v="0"/>
    <s v="Promoted"/>
    <s v="5+ years"/>
    <s v="Low"/>
    <n v="4.2"/>
    <n v="0.25"/>
    <n v="0"/>
  </r>
  <r>
    <s v="EMP0529"/>
    <x v="0"/>
    <s v="Operations Associate"/>
    <n v="5.8"/>
    <s v="G5"/>
    <n v="35"/>
    <s v="Master"/>
    <s v="Bengaluru"/>
    <n v="4"/>
    <n v="8"/>
    <n v="2"/>
    <n v="0"/>
    <n v="12"/>
    <n v="0"/>
    <s v="Band D"/>
    <n v="95200"/>
    <n v="6.6"/>
    <n v="2.6"/>
    <n v="2"/>
    <n v="0"/>
    <n v="2.1"/>
    <n v="3.5"/>
    <n v="3"/>
    <s v="Yes"/>
    <n v="0"/>
    <n v="2"/>
    <n v="4.8"/>
    <n v="0"/>
    <s v="Left"/>
    <d v="2026-01-11T00:00:00"/>
    <n v="0"/>
    <n v="0"/>
    <s v="Promoted"/>
    <s v="5+ years"/>
    <s v="Low"/>
    <s v="2.8666666666666667"/>
    <s v="0.3333333333333333"/>
    <n v="1"/>
  </r>
  <r>
    <s v="EMP0530"/>
    <x v="4"/>
    <s v="Account Manager"/>
    <n v="4.3"/>
    <s v="G1"/>
    <n v="27"/>
    <s v="Bachelor"/>
    <s v="Remote"/>
    <n v="4"/>
    <n v="10"/>
    <n v="8"/>
    <n v="0"/>
    <n v="12"/>
    <n v="0"/>
    <s v="Band A"/>
    <n v="22400"/>
    <n v="7.3"/>
    <n v="2.4"/>
    <n v="0.3"/>
    <n v="0"/>
    <n v="3.1"/>
    <n v="3.4"/>
    <n v="3.1"/>
    <s v="Yes"/>
    <n v="0"/>
    <n v="2"/>
    <n v="2.1"/>
    <n v="0"/>
    <s v="Stayed"/>
    <m/>
    <n v="0"/>
    <n v="0"/>
    <s v="Promoted"/>
    <s v="3â€“5 years"/>
    <s v="Low"/>
    <s v="3.1999999999999997"/>
    <s v="0.3333333333333333"/>
    <n v="0"/>
  </r>
  <r>
    <s v="EMP0531"/>
    <x v="0"/>
    <s v="Operations Manager"/>
    <n v="4.9000000000000004"/>
    <s v="G2"/>
    <n v="35"/>
    <s v="Bachelor"/>
    <s v="Bengaluru"/>
    <n v="8"/>
    <n v="3.2"/>
    <n v="10"/>
    <n v="3"/>
    <n v="12"/>
    <n v="0"/>
    <s v="Band B"/>
    <n v="35600"/>
    <n v="6.4"/>
    <n v="2.8"/>
    <n v="0.4"/>
    <n v="0"/>
    <n v="3"/>
    <n v="5"/>
    <n v="4.2"/>
    <s v="Yes"/>
    <n v="0"/>
    <n v="1"/>
    <n v="1.5"/>
    <n v="0"/>
    <s v="Stayed"/>
    <m/>
    <n v="0"/>
    <n v="0"/>
    <s v="Promoted"/>
    <s v="3â€“5 years"/>
    <s v="Low"/>
    <s v="4.066666666666666"/>
    <s v="0.6666666666666666"/>
    <n v="0"/>
  </r>
  <r>
    <s v="EMP0532"/>
    <x v="0"/>
    <s v="Operations Manager"/>
    <n v="1.7"/>
    <s v="G2"/>
    <n v="26"/>
    <s v="Bachelor"/>
    <s v="Hyderabad"/>
    <n v="0"/>
    <n v="7.8"/>
    <n v="8"/>
    <n v="4"/>
    <n v="12"/>
    <n v="0"/>
    <s v="Band A"/>
    <n v="33500"/>
    <n v="8"/>
    <n v="4.8"/>
    <n v="3.1"/>
    <n v="0"/>
    <n v="5"/>
    <n v="2.4"/>
    <n v="4.5"/>
    <s v="No"/>
    <n v="0"/>
    <n v="0"/>
    <m/>
    <n v="0"/>
    <s v="Stayed"/>
    <m/>
    <n v="1"/>
    <n v="0"/>
    <s v="No Recorded Promotions"/>
    <s v="1â€“3 years"/>
    <s v="Low"/>
    <s v="3.966666666666667"/>
    <n v="0"/>
    <n v="0"/>
  </r>
  <r>
    <s v="EMP0533"/>
    <x v="4"/>
    <s v="Sales Manager"/>
    <n v="8.9"/>
    <s v="G4"/>
    <n v="31"/>
    <s v="Diploma"/>
    <s v="Bengaluru"/>
    <n v="5"/>
    <n v="20.3"/>
    <n v="9"/>
    <n v="2"/>
    <n v="12"/>
    <n v="0"/>
    <s v="Band C"/>
    <n v="71000"/>
    <n v="11.6"/>
    <n v="4"/>
    <n v="2.1"/>
    <n v="0"/>
    <n v="5"/>
    <n v="2.2999999999999998"/>
    <n v="4.5999999999999996"/>
    <s v="Yes"/>
    <n v="0"/>
    <n v="0"/>
    <m/>
    <n v="1"/>
    <s v="Stayed"/>
    <m/>
    <n v="1"/>
    <n v="0"/>
    <s v="No Recorded Promotions"/>
    <s v="5+ years"/>
    <s v="High"/>
    <s v="3.9666666666666663"/>
    <s v="0.4166666666666667"/>
    <n v="0"/>
  </r>
  <r>
    <s v="EMP0534"/>
    <x v="0"/>
    <s v="Operations Associate"/>
    <n v="7.1"/>
    <s v="G4"/>
    <n v="31"/>
    <s v="Bachelor"/>
    <s v="Hyderabad"/>
    <n v="2"/>
    <n v="1"/>
    <n v="5"/>
    <n v="2"/>
    <n v="12"/>
    <n v="0"/>
    <s v="Band D"/>
    <n v="78100"/>
    <n v="7.2"/>
    <n v="4.5"/>
    <n v="2.5"/>
    <n v="0"/>
    <n v="3.7"/>
    <n v="2.9"/>
    <n v="2.1"/>
    <s v="Yes"/>
    <n v="0"/>
    <n v="2"/>
    <n v="0.9"/>
    <n v="1"/>
    <s v="Stayed"/>
    <m/>
    <n v="0"/>
    <n v="0"/>
    <s v="Promoted"/>
    <s v="5+ years"/>
    <s v="Low"/>
    <n v="2.9"/>
    <s v="0.16666666666666666"/>
    <n v="0"/>
  </r>
  <r>
    <s v="EMP0535"/>
    <x v="3"/>
    <s v="Data Analyst"/>
    <n v="4.7"/>
    <s v="G3"/>
    <n v="21"/>
    <s v="Diploma"/>
    <s v="Remote"/>
    <n v="1"/>
    <n v="11.1"/>
    <n v="14"/>
    <n v="0"/>
    <n v="12"/>
    <n v="0"/>
    <s v="Band C"/>
    <n v="57600"/>
    <n v="20.399999999999999"/>
    <n v="4.0999999999999996"/>
    <n v="1.8"/>
    <n v="0"/>
    <n v="4.0999999999999996"/>
    <n v="4.8"/>
    <n v="3.8"/>
    <s v="Yes"/>
    <n v="0"/>
    <n v="0"/>
    <m/>
    <n v="0"/>
    <s v="Stayed"/>
    <m/>
    <n v="1"/>
    <n v="0"/>
    <s v="No Recorded Promotions"/>
    <s v="3â€“5 years"/>
    <s v="Moderate"/>
    <s v="4.233333333333333"/>
    <n v="8.3333333333333301E-2"/>
    <n v="0"/>
  </r>
  <r>
    <s v="EMP0536"/>
    <x v="3"/>
    <s v="Data Analyst"/>
    <n v="7.2"/>
    <s v="G3"/>
    <n v="33"/>
    <s v="Diploma"/>
    <s v="Chennai"/>
    <n v="1"/>
    <n v="6.3"/>
    <n v="10"/>
    <n v="4"/>
    <n v="12"/>
    <n v="0"/>
    <s v="Band B"/>
    <n v="49300"/>
    <n v="6.2"/>
    <n v="2"/>
    <n v="2.5"/>
    <n v="0"/>
    <n v="4.0999999999999996"/>
    <n v="2.7"/>
    <n v="3.6"/>
    <s v="No"/>
    <n v="0"/>
    <n v="1"/>
    <n v="0.8"/>
    <n v="0"/>
    <s v="Stayed"/>
    <m/>
    <n v="0"/>
    <n v="0"/>
    <s v="Promoted"/>
    <s v="5+ years"/>
    <s v="Low"/>
    <s v="3.466666666666667"/>
    <n v="8.3333333333333301E-2"/>
    <n v="0"/>
  </r>
  <r>
    <s v="EMP0537"/>
    <x v="5"/>
    <s v="Accountant"/>
    <n v="9.1"/>
    <s v="G2"/>
    <n v="34"/>
    <s v="Master"/>
    <s v="Chennai"/>
    <n v="4"/>
    <n v="10.199999999999999"/>
    <n v="14"/>
    <n v="1"/>
    <n v="12"/>
    <n v="0"/>
    <s v="Band B"/>
    <n v="38100"/>
    <n v="13.5"/>
    <n v="2.2999999999999998"/>
    <n v="2.5"/>
    <n v="0"/>
    <n v="2.1"/>
    <n v="3.6"/>
    <n v="3.4"/>
    <s v="Yes"/>
    <n v="0"/>
    <n v="0"/>
    <m/>
    <n v="0"/>
    <s v="Stayed"/>
    <m/>
    <n v="1"/>
    <n v="0"/>
    <s v="No Recorded Promotions"/>
    <s v="5+ years"/>
    <s v="Moderate"/>
    <s v="3.033333333333333"/>
    <s v="0.3333333333333333"/>
    <n v="0"/>
  </r>
  <r>
    <s v="EMP0538"/>
    <x v="3"/>
    <s v="Senior Software Engineer"/>
    <n v="5.7"/>
    <s v="G2"/>
    <n v="35"/>
    <s v="Master"/>
    <s v="Bengaluru"/>
    <n v="2"/>
    <n v="29.8"/>
    <n v="6"/>
    <n v="3"/>
    <n v="12"/>
    <n v="0"/>
    <s v="Band B"/>
    <n v="45300"/>
    <n v="10.199999999999999"/>
    <n v="2.6"/>
    <n v="0"/>
    <n v="0"/>
    <n v="3.9"/>
    <n v="4.2"/>
    <n v="3.5"/>
    <s v="Yes"/>
    <n v="0"/>
    <n v="3"/>
    <n v="3.2"/>
    <n v="1"/>
    <s v="Stayed"/>
    <m/>
    <n v="0"/>
    <n v="0"/>
    <s v="Promoted"/>
    <s v="5+ years"/>
    <s v="High"/>
    <s v="3.8666666666666667"/>
    <s v="0.16666666666666666"/>
    <n v="0"/>
  </r>
  <r>
    <s v="EMP0539"/>
    <x v="3"/>
    <s v="QA Engineer"/>
    <n v="13.3"/>
    <s v="G2"/>
    <n v="32"/>
    <s v="Bachelor"/>
    <s v="Coimbatore"/>
    <n v="6"/>
    <n v="9.8000000000000007"/>
    <n v="8"/>
    <n v="2"/>
    <n v="12"/>
    <n v="0"/>
    <s v="Band C"/>
    <n v="53500"/>
    <n v="8.4"/>
    <n v="2.7"/>
    <n v="0.1"/>
    <n v="0"/>
    <n v="2.4"/>
    <n v="3.9"/>
    <n v="4.4000000000000004"/>
    <s v="Yes"/>
    <n v="0"/>
    <n v="0"/>
    <m/>
    <n v="1"/>
    <s v="Stayed"/>
    <m/>
    <n v="1"/>
    <n v="0"/>
    <s v="No Recorded Promotions"/>
    <s v="5+ years"/>
    <s v="Low"/>
    <s v="3.5666666666666664"/>
    <n v="0.5"/>
    <n v="0"/>
  </r>
  <r>
    <s v="EMP0540"/>
    <x v="2"/>
    <s v="Support Specialist"/>
    <n v="6"/>
    <s v="G1"/>
    <n v="37"/>
    <s v="Bachelor"/>
    <s v="Bengaluru"/>
    <n v="2"/>
    <n v="8.6999999999999993"/>
    <n v="9"/>
    <n v="1"/>
    <n v="12"/>
    <n v="0"/>
    <s v="Band A"/>
    <n v="34200"/>
    <n v="13.9"/>
    <n v="2.6"/>
    <n v="0.6"/>
    <n v="0"/>
    <n v="3.1"/>
    <n v="4.0999999999999996"/>
    <n v="4.2"/>
    <s v="Yes"/>
    <n v="0"/>
    <n v="0"/>
    <m/>
    <n v="1"/>
    <s v="Stayed"/>
    <m/>
    <n v="1"/>
    <n v="0"/>
    <s v="No Recorded Promotions"/>
    <s v="5+ years"/>
    <s v="Low"/>
    <s v="3.7999999999999994"/>
    <s v="0.16666666666666666"/>
    <n v="0"/>
  </r>
  <r>
    <s v="EMP0541"/>
    <x v="2"/>
    <s v="Support Associate"/>
    <n v="1.9"/>
    <s v="G2"/>
    <n v="31"/>
    <s v="Bachelor"/>
    <s v="Hyderabad"/>
    <n v="1"/>
    <n v="16.8"/>
    <n v="4"/>
    <n v="2"/>
    <n v="12"/>
    <n v="0"/>
    <s v="Band A"/>
    <n v="30500"/>
    <n v="1.6"/>
    <n v="2.7"/>
    <n v="1.8"/>
    <n v="0"/>
    <n v="4.3"/>
    <n v="4.5"/>
    <n v="3.4"/>
    <s v="Yes"/>
    <n v="1"/>
    <n v="1"/>
    <m/>
    <n v="0"/>
    <s v="Stayed"/>
    <m/>
    <n v="1"/>
    <n v="0"/>
    <s v="Promoted"/>
    <s v="1â€“3 years"/>
    <s v="Moderate"/>
    <s v="4.066666666666667"/>
    <n v="8.3333333333333301E-2"/>
    <n v="0"/>
  </r>
  <r>
    <s v="EMP0542"/>
    <x v="5"/>
    <s v="Finance Manager"/>
    <n v="4.5999999999999996"/>
    <s v="G4"/>
    <n v="36"/>
    <s v="Master"/>
    <s v="Remote"/>
    <n v="3"/>
    <n v="12.9"/>
    <n v="8"/>
    <n v="3"/>
    <n v="12"/>
    <n v="0"/>
    <s v="Band D"/>
    <n v="83100"/>
    <n v="9.6999999999999993"/>
    <n v="3.8"/>
    <n v="1.6"/>
    <n v="0"/>
    <n v="3.4"/>
    <n v="3.5"/>
    <n v="3.6"/>
    <s v="Yes"/>
    <n v="0"/>
    <n v="1"/>
    <n v="1.6"/>
    <n v="0"/>
    <s v="Stayed"/>
    <m/>
    <n v="0"/>
    <n v="0"/>
    <s v="Promoted"/>
    <s v="3â€“5 years"/>
    <s v="Moderate"/>
    <n v="3.5"/>
    <n v="0.25"/>
    <n v="0"/>
  </r>
  <r>
    <s v="EMP0543"/>
    <x v="2"/>
    <s v="Support Team Lead"/>
    <n v="7.3"/>
    <s v="G3"/>
    <n v="33"/>
    <s v="Bachelor"/>
    <s v="Coimbatore"/>
    <n v="3"/>
    <n v="11.1"/>
    <n v="5"/>
    <n v="5"/>
    <n v="12"/>
    <n v="0"/>
    <s v="Band C"/>
    <n v="68600"/>
    <n v="5.0999999999999996"/>
    <n v="3.3"/>
    <n v="0.4"/>
    <n v="0"/>
    <n v="4.3"/>
    <n v="2.8"/>
    <n v="5"/>
    <s v="Yes"/>
    <n v="0"/>
    <n v="0"/>
    <m/>
    <n v="0"/>
    <s v="Stayed"/>
    <m/>
    <n v="1"/>
    <n v="0"/>
    <s v="No Recorded Promotions"/>
    <s v="5+ years"/>
    <s v="Moderate"/>
    <s v="4.033333333333333"/>
    <n v="0.25"/>
    <n v="0"/>
  </r>
  <r>
    <s v="EMP0544"/>
    <x v="2"/>
    <s v="Support Specialist"/>
    <n v="9.1"/>
    <s v="G4"/>
    <n v="39"/>
    <s v="Bachelor"/>
    <s v="Bengaluru"/>
    <n v="6"/>
    <n v="13.3"/>
    <n v="7"/>
    <n v="2"/>
    <n v="12"/>
    <n v="0"/>
    <s v="Band C"/>
    <n v="61700"/>
    <n v="6.3"/>
    <n v="4.3"/>
    <n v="4.0999999999999996"/>
    <n v="0"/>
    <n v="4.5"/>
    <n v="3.3"/>
    <n v="3.1"/>
    <s v="Yes"/>
    <n v="0"/>
    <n v="2"/>
    <n v="8.1"/>
    <n v="0"/>
    <s v="Stayed"/>
    <m/>
    <n v="0"/>
    <n v="0"/>
    <s v="Promoted"/>
    <s v="5+ years"/>
    <s v="Moderate"/>
    <s v="3.6333333333333333"/>
    <n v="0.5"/>
    <n v="0"/>
  </r>
  <r>
    <s v="EMP0545"/>
    <x v="3"/>
    <s v="Data Analyst"/>
    <n v="4.3"/>
    <s v="G2"/>
    <n v="24"/>
    <s v="Bachelor"/>
    <s v="Chennai"/>
    <n v="2"/>
    <n v="24.3"/>
    <n v="9"/>
    <n v="1"/>
    <n v="12"/>
    <n v="0"/>
    <s v="Band B"/>
    <n v="44400"/>
    <n v="6.1"/>
    <n v="3.4"/>
    <n v="2.4"/>
    <n v="0"/>
    <n v="1.7"/>
    <n v="2.9"/>
    <n v="3.4"/>
    <s v="Yes"/>
    <n v="1"/>
    <n v="0"/>
    <m/>
    <n v="2"/>
    <s v="Stayed"/>
    <m/>
    <n v="1"/>
    <n v="0"/>
    <s v="No Recorded Promotions"/>
    <s v="3â€“5 years"/>
    <s v="High"/>
    <s v="2.6666666666666665"/>
    <s v="0.16666666666666666"/>
    <n v="0"/>
  </r>
  <r>
    <s v="EMP0546"/>
    <x v="1"/>
    <s v="Recruiter"/>
    <n v="1.8"/>
    <s v="G3"/>
    <n v="31"/>
    <s v="Bachelor"/>
    <s v="Coimbatore"/>
    <n v="0"/>
    <n v="19.399999999999999"/>
    <n v="14"/>
    <n v="3"/>
    <n v="12"/>
    <n v="0"/>
    <s v="Band C"/>
    <n v="53400"/>
    <n v="4.0999999999999996"/>
    <n v="2.6"/>
    <n v="0.1"/>
    <n v="0"/>
    <n v="3.3"/>
    <n v="5"/>
    <n v="3.2"/>
    <s v="Yes"/>
    <n v="1"/>
    <n v="0"/>
    <m/>
    <n v="0"/>
    <s v="Stayed"/>
    <m/>
    <n v="1"/>
    <n v="0"/>
    <s v="No Recorded Promotions"/>
    <s v="1â€“3 years"/>
    <s v="Moderate"/>
    <s v="3.8333333333333335"/>
    <n v="0"/>
    <n v="0"/>
  </r>
  <r>
    <s v="EMP0547"/>
    <x v="4"/>
    <s v="Sales Manager"/>
    <n v="3.2"/>
    <s v="G1"/>
    <n v="26"/>
    <s v="Master"/>
    <s v="Chennai"/>
    <n v="2"/>
    <n v="8.1999999999999993"/>
    <n v="10"/>
    <n v="1"/>
    <n v="12"/>
    <n v="0"/>
    <s v="Band A"/>
    <n v="27400"/>
    <n v="1.4"/>
    <n v="3.4"/>
    <n v="1.5"/>
    <n v="0"/>
    <n v="4.3"/>
    <n v="2.7"/>
    <n v="3.4"/>
    <s v="Yes"/>
    <n v="0"/>
    <n v="0"/>
    <m/>
    <n v="0"/>
    <s v="Stayed"/>
    <m/>
    <n v="1"/>
    <n v="0"/>
    <s v="No Recorded Promotions"/>
    <s v="3â€“5 years"/>
    <s v="Low"/>
    <s v="3.466666666666667"/>
    <s v="0.16666666666666666"/>
    <n v="0"/>
  </r>
  <r>
    <s v="EMP0548"/>
    <x v="3"/>
    <s v="QA Engineer"/>
    <n v="1.1000000000000001"/>
    <s v="G2"/>
    <n v="21"/>
    <s v="Doctorate"/>
    <s v="Coimbatore"/>
    <n v="3"/>
    <n v="28.7"/>
    <n v="12"/>
    <n v="2"/>
    <n v="12"/>
    <n v="0"/>
    <s v="Band B"/>
    <n v="38500"/>
    <n v="9.6"/>
    <n v="1.8"/>
    <n v="0.3"/>
    <n v="0"/>
    <n v="4.4000000000000004"/>
    <n v="3.3"/>
    <n v="4.4000000000000004"/>
    <s v="Yes"/>
    <n v="1"/>
    <n v="1"/>
    <m/>
    <n v="1"/>
    <s v="Left"/>
    <d v="2024-10-20T00:00:00"/>
    <n v="1"/>
    <n v="0"/>
    <s v="Promoted"/>
    <s v="1â€“3 years"/>
    <s v="High"/>
    <s v="4.033333333333334"/>
    <n v="0.25"/>
    <n v="1"/>
  </r>
  <r>
    <s v="EMP0549"/>
    <x v="0"/>
    <s v="Team Lead"/>
    <n v="6.5"/>
    <s v="G2"/>
    <n v="28"/>
    <s v="Bachelor"/>
    <s v="Coimbatore"/>
    <n v="0"/>
    <n v="6.7"/>
    <n v="9"/>
    <n v="1"/>
    <n v="12"/>
    <n v="0"/>
    <s v="Band B"/>
    <n v="42700"/>
    <n v="7.7"/>
    <n v="1.1000000000000001"/>
    <n v="1.7"/>
    <n v="0"/>
    <n v="3.5"/>
    <n v="1.8"/>
    <n v="3"/>
    <s v="Yes"/>
    <n v="0"/>
    <n v="0"/>
    <m/>
    <n v="0"/>
    <s v="Stayed"/>
    <m/>
    <n v="1"/>
    <n v="0"/>
    <s v="No Recorded Promotions"/>
    <s v="5+ years"/>
    <s v="Low"/>
    <s v="2.766666666666667"/>
    <n v="0"/>
    <n v="0"/>
  </r>
  <r>
    <s v="EMP0550"/>
    <x v="1"/>
    <s v="HR Executive"/>
    <n v="2.8"/>
    <s v="G2"/>
    <n v="29"/>
    <s v="Bachelor"/>
    <s v="Bengaluru"/>
    <n v="6"/>
    <n v="11.1"/>
    <n v="17"/>
    <n v="4"/>
    <n v="12"/>
    <n v="0"/>
    <s v="Band B"/>
    <n v="43800"/>
    <n v="6.8"/>
    <n v="3.8"/>
    <n v="1.2"/>
    <n v="0"/>
    <n v="3.7"/>
    <n v="3.3"/>
    <n v="3.8"/>
    <s v="Yes"/>
    <n v="0"/>
    <n v="2"/>
    <n v="2.2000000000000002"/>
    <n v="0"/>
    <s v="Stayed"/>
    <m/>
    <n v="0"/>
    <n v="0"/>
    <s v="Promoted"/>
    <s v="1â€“3 years"/>
    <s v="Moderate"/>
    <n v="3.6"/>
    <n v="0.5"/>
    <n v="0"/>
  </r>
  <r>
    <s v="EMP0551"/>
    <x v="1"/>
    <s v="Recruiter"/>
    <n v="2.2000000000000002"/>
    <s v="G1"/>
    <n v="25"/>
    <s v="Bachelor"/>
    <s v="Bengaluru"/>
    <n v="3"/>
    <n v="12.1"/>
    <n v="5"/>
    <n v="3"/>
    <n v="12"/>
    <n v="0"/>
    <s v="Band A"/>
    <n v="31800"/>
    <n v="11"/>
    <n v="4.0999999999999996"/>
    <n v="0.9"/>
    <n v="0"/>
    <n v="4.0999999999999996"/>
    <n v="2.9"/>
    <n v="2.2000000000000002"/>
    <s v="Yes"/>
    <n v="0"/>
    <n v="1"/>
    <n v="0.2"/>
    <n v="0"/>
    <s v="Stayed"/>
    <m/>
    <n v="0"/>
    <n v="0"/>
    <s v="Promoted"/>
    <s v="1â€“3 years"/>
    <s v="Moderate"/>
    <s v="3.0666666666666664"/>
    <n v="0.25"/>
    <n v="0"/>
  </r>
  <r>
    <s v="EMP0552"/>
    <x v="3"/>
    <s v="Senior Software Engineer"/>
    <n v="6.9"/>
    <s v="G3"/>
    <n v="34"/>
    <s v="Bachelor"/>
    <s v="Chennai"/>
    <n v="2"/>
    <n v="7.9"/>
    <n v="14"/>
    <n v="2"/>
    <n v="12"/>
    <n v="0"/>
    <s v="Band B"/>
    <n v="45700"/>
    <n v="9.8000000000000007"/>
    <n v="3.3"/>
    <n v="2.8"/>
    <n v="0"/>
    <n v="4.0999999999999996"/>
    <n v="3.8"/>
    <n v="4.3"/>
    <s v="Yes"/>
    <n v="0"/>
    <n v="0"/>
    <m/>
    <n v="0"/>
    <s v="Stayed"/>
    <m/>
    <n v="1"/>
    <n v="0"/>
    <s v="No Recorded Promotions"/>
    <s v="5+ years"/>
    <s v="Low"/>
    <s v="4.066666666666666"/>
    <s v="0.16666666666666666"/>
    <n v="0"/>
  </r>
  <r>
    <s v="EMP0553"/>
    <x v="3"/>
    <s v="Software Engineer"/>
    <n v="10.3"/>
    <s v="G2"/>
    <n v="29"/>
    <s v="Doctorate"/>
    <s v="Chennai"/>
    <n v="1"/>
    <n v="26.6"/>
    <n v="7"/>
    <n v="2"/>
    <n v="12"/>
    <n v="0"/>
    <s v="Band B"/>
    <n v="39400"/>
    <n v="6.9"/>
    <n v="2.8"/>
    <n v="2.8"/>
    <n v="0"/>
    <n v="3"/>
    <n v="3.8"/>
    <n v="3.5"/>
    <s v="Yes"/>
    <n v="0"/>
    <n v="1"/>
    <n v="8.4"/>
    <n v="0"/>
    <s v="Stayed"/>
    <m/>
    <n v="0"/>
    <n v="0"/>
    <s v="Promoted"/>
    <s v="5+ years"/>
    <s v="High"/>
    <s v="3.4333333333333336"/>
    <n v="8.3333333333333301E-2"/>
    <n v="0"/>
  </r>
  <r>
    <s v="EMP0554"/>
    <x v="2"/>
    <s v="Support Associate"/>
    <n v="2.2000000000000002"/>
    <s v="G2"/>
    <n v="21"/>
    <s v="Master"/>
    <s v="Chennai"/>
    <n v="2"/>
    <n v="7.6"/>
    <n v="13"/>
    <n v="0"/>
    <n v="12"/>
    <n v="0"/>
    <s v="Band B"/>
    <n v="38500"/>
    <n v="20.2"/>
    <n v="2"/>
    <n v="0.7"/>
    <n v="0"/>
    <n v="4.2"/>
    <n v="4.5"/>
    <n v="3.2"/>
    <s v="Yes"/>
    <n v="0"/>
    <n v="3"/>
    <n v="1.3"/>
    <n v="0"/>
    <s v="Stayed"/>
    <m/>
    <n v="0"/>
    <n v="0"/>
    <s v="Promoted"/>
    <s v="1â€“3 years"/>
    <s v="Low"/>
    <s v="3.9666666666666663"/>
    <s v="0.16666666666666666"/>
    <n v="0"/>
  </r>
  <r>
    <s v="EMP0555"/>
    <x v="3"/>
    <s v="Data Analyst"/>
    <n v="4.3"/>
    <s v="G2"/>
    <n v="36"/>
    <s v="Bachelor"/>
    <s v="Remote"/>
    <n v="2"/>
    <n v="9.1999999999999993"/>
    <n v="5"/>
    <n v="1"/>
    <n v="12"/>
    <n v="0"/>
    <s v="Band B"/>
    <n v="46700"/>
    <n v="12.1"/>
    <n v="4.3"/>
    <n v="3.1"/>
    <n v="0"/>
    <n v="3"/>
    <n v="4.4000000000000004"/>
    <n v="5"/>
    <s v="Yes"/>
    <n v="0"/>
    <n v="0"/>
    <m/>
    <n v="1"/>
    <s v="Stayed"/>
    <m/>
    <n v="1"/>
    <n v="0"/>
    <s v="No Recorded Promotions"/>
    <s v="3â€“5 years"/>
    <s v="Low"/>
    <s v="4.133333333333334"/>
    <s v="0.16666666666666666"/>
    <n v="0"/>
  </r>
  <r>
    <s v="EMP0556"/>
    <x v="3"/>
    <s v="Software Engineer"/>
    <n v="3.3"/>
    <s v="G3"/>
    <n v="33"/>
    <s v="Bachelor"/>
    <s v="Remote"/>
    <n v="3"/>
    <n v="21.4"/>
    <n v="5"/>
    <n v="2"/>
    <n v="12"/>
    <n v="0"/>
    <s v="Band B"/>
    <n v="35700"/>
    <n v="17.8"/>
    <n v="3.6"/>
    <n v="0.7"/>
    <n v="0"/>
    <n v="3.5"/>
    <n v="3.1"/>
    <n v="4.3"/>
    <s v="Yes"/>
    <n v="0"/>
    <n v="3"/>
    <n v="2.2000000000000002"/>
    <n v="2"/>
    <s v="Stayed"/>
    <m/>
    <n v="0"/>
    <n v="0"/>
    <s v="Promoted"/>
    <s v="3â€“5 years"/>
    <s v="High"/>
    <s v="3.633333333333333"/>
    <n v="0.25"/>
    <n v="0"/>
  </r>
  <r>
    <s v="EMP0557"/>
    <x v="4"/>
    <s v="Sales Manager"/>
    <n v="9.3000000000000007"/>
    <s v="G2"/>
    <n v="31"/>
    <s v="Bachelor"/>
    <s v="Chennai"/>
    <n v="8"/>
    <n v="6.9"/>
    <n v="11"/>
    <n v="2"/>
    <n v="12"/>
    <n v="0"/>
    <s v="Band B"/>
    <n v="39100"/>
    <n v="6.3"/>
    <n v="3.5"/>
    <n v="0.2"/>
    <n v="0"/>
    <n v="3.5"/>
    <n v="2.4"/>
    <n v="2.6"/>
    <s v="Yes"/>
    <n v="0"/>
    <n v="1"/>
    <n v="8.5"/>
    <n v="0"/>
    <s v="Stayed"/>
    <m/>
    <n v="0"/>
    <n v="0"/>
    <s v="Promoted"/>
    <s v="5+ years"/>
    <s v="Low"/>
    <s v="2.8333333333333335"/>
    <s v="0.6666666666666666"/>
    <n v="0"/>
  </r>
  <r>
    <s v="EMP0558"/>
    <x v="1"/>
    <s v="HR Manager"/>
    <n v="3.6"/>
    <s v="G2"/>
    <n v="30"/>
    <s v="Diploma"/>
    <s v="Chennai"/>
    <n v="10"/>
    <n v="3.1"/>
    <n v="3"/>
    <n v="2"/>
    <n v="12"/>
    <n v="0"/>
    <s v="Band A"/>
    <n v="31800"/>
    <n v="9"/>
    <n v="3.2"/>
    <n v="0.1"/>
    <n v="0"/>
    <n v="2.5"/>
    <n v="2.5"/>
    <n v="3.3"/>
    <s v="Yes"/>
    <n v="0"/>
    <n v="0"/>
    <m/>
    <n v="0"/>
    <s v="Stayed"/>
    <m/>
    <n v="1"/>
    <n v="0"/>
    <s v="No Recorded Promotions"/>
    <s v="3â€“5 years"/>
    <s v="Low"/>
    <s v="2.766666666666667"/>
    <s v="0.8333333333333334"/>
    <n v="0"/>
  </r>
  <r>
    <s v="EMP0559"/>
    <x v="5"/>
    <s v="Accountant"/>
    <n v="1.6"/>
    <s v="G3"/>
    <n v="32"/>
    <s v="Bachelor"/>
    <s v="Coimbatore"/>
    <n v="5"/>
    <n v="11.4"/>
    <n v="4"/>
    <n v="3"/>
    <n v="12"/>
    <n v="0"/>
    <s v="Band B"/>
    <n v="43500"/>
    <n v="3"/>
    <n v="2.8"/>
    <n v="0.8"/>
    <n v="0"/>
    <n v="2.6"/>
    <n v="3.5"/>
    <n v="5"/>
    <s v="Yes"/>
    <n v="0"/>
    <n v="1"/>
    <n v="0.5"/>
    <n v="1"/>
    <s v="Stayed"/>
    <m/>
    <n v="0"/>
    <n v="0"/>
    <s v="Promoted"/>
    <s v="1â€“3 years"/>
    <s v="Moderate"/>
    <s v="3.6999999999999997"/>
    <s v="0.4166666666666667"/>
    <n v="0"/>
  </r>
  <r>
    <s v="EMP0560"/>
    <x v="1"/>
    <s v="Recruiter"/>
    <n v="3.7"/>
    <s v="G1"/>
    <n v="31"/>
    <s v="Master"/>
    <s v="Bengaluru"/>
    <n v="3"/>
    <n v="4.0999999999999996"/>
    <n v="11"/>
    <n v="1"/>
    <n v="12"/>
    <n v="0"/>
    <s v="Band A"/>
    <n v="32100"/>
    <n v="6.7"/>
    <n v="2.2000000000000002"/>
    <n v="0.8"/>
    <n v="0"/>
    <n v="5"/>
    <n v="3.3"/>
    <n v="5"/>
    <s v="Yes"/>
    <n v="0"/>
    <n v="1"/>
    <n v="2.5"/>
    <n v="1"/>
    <s v="Stayed"/>
    <m/>
    <n v="0"/>
    <n v="0"/>
    <s v="Promoted"/>
    <s v="3â€“5 years"/>
    <s v="Low"/>
    <s v="4.433333333333334"/>
    <n v="0.25"/>
    <n v="0"/>
  </r>
  <r>
    <s v="EMP0561"/>
    <x v="3"/>
    <s v="QA Engineer"/>
    <n v="8.1"/>
    <s v="G4"/>
    <n v="35"/>
    <s v="Bachelor"/>
    <s v="Chennai"/>
    <n v="6"/>
    <n v="3.6"/>
    <n v="4"/>
    <n v="2"/>
    <n v="12"/>
    <n v="0"/>
    <s v="Band C"/>
    <n v="71500"/>
    <n v="5.7"/>
    <n v="3.4"/>
    <n v="1.5"/>
    <n v="0"/>
    <n v="2.5"/>
    <n v="3.4"/>
    <n v="4.0999999999999996"/>
    <s v="Yes"/>
    <n v="0"/>
    <n v="2"/>
    <n v="6.7"/>
    <n v="0"/>
    <s v="Stayed"/>
    <m/>
    <n v="0"/>
    <n v="0"/>
    <s v="Promoted"/>
    <s v="5+ years"/>
    <s v="Low"/>
    <s v="3.3333333333333335"/>
    <n v="0.5"/>
    <n v="0"/>
  </r>
  <r>
    <s v="EMP0562"/>
    <x v="4"/>
    <s v="Account Manager"/>
    <n v="3.2"/>
    <s v="G1"/>
    <n v="34"/>
    <s v="Bachelor"/>
    <s v="Chennai"/>
    <n v="2"/>
    <n v="1"/>
    <n v="12"/>
    <n v="0"/>
    <n v="12"/>
    <n v="0"/>
    <s v="Band A"/>
    <n v="20500"/>
    <n v="20"/>
    <n v="2.7"/>
    <n v="0.6"/>
    <n v="0"/>
    <n v="3.6"/>
    <n v="2.7"/>
    <n v="1.9"/>
    <s v="Yes"/>
    <n v="0"/>
    <n v="2"/>
    <n v="2.1"/>
    <n v="0"/>
    <s v="Stayed"/>
    <m/>
    <n v="0"/>
    <n v="0"/>
    <s v="Promoted"/>
    <s v="3â€“5 years"/>
    <s v="Low"/>
    <s v="2.733333333333334"/>
    <s v="0.16666666666666666"/>
    <n v="0"/>
  </r>
  <r>
    <s v="EMP0563"/>
    <x v="2"/>
    <s v="Support Team Lead"/>
    <n v="2.4"/>
    <s v="G2"/>
    <n v="25"/>
    <s v="Master"/>
    <s v="Coimbatore"/>
    <n v="2"/>
    <n v="1.2"/>
    <n v="9"/>
    <n v="1"/>
    <n v="12"/>
    <n v="0"/>
    <s v="Band B"/>
    <n v="37500"/>
    <n v="5.2"/>
    <n v="2.8"/>
    <n v="3"/>
    <n v="0"/>
    <n v="3.8"/>
    <n v="4.5"/>
    <n v="4.5"/>
    <s v="Yes"/>
    <n v="0"/>
    <n v="2"/>
    <m/>
    <n v="0"/>
    <s v="Stayed"/>
    <m/>
    <n v="1"/>
    <n v="0"/>
    <s v="Promoted"/>
    <s v="1â€“3 years"/>
    <s v="Low"/>
    <s v="4.266666666666667"/>
    <s v="0.16666666666666666"/>
    <n v="0"/>
  </r>
  <r>
    <s v="EMP0564"/>
    <x v="0"/>
    <s v="Team Lead"/>
    <n v="3.5"/>
    <s v="G1"/>
    <n v="30"/>
    <s v="Master"/>
    <s v="Chennai"/>
    <n v="4"/>
    <n v="1.3"/>
    <n v="8"/>
    <n v="1"/>
    <n v="12"/>
    <n v="0"/>
    <s v="Band B"/>
    <n v="35600"/>
    <n v="7.1"/>
    <n v="4.7"/>
    <n v="0.1"/>
    <n v="0"/>
    <n v="3.3"/>
    <n v="1.9"/>
    <n v="2.9"/>
    <s v="Yes"/>
    <n v="0"/>
    <n v="0"/>
    <m/>
    <n v="0"/>
    <s v="Stayed"/>
    <m/>
    <n v="1"/>
    <n v="0"/>
    <s v="No Recorded Promotions"/>
    <s v="3â€“5 years"/>
    <s v="Low"/>
    <s v="2.6999999999999997"/>
    <s v="0.3333333333333333"/>
    <n v="0"/>
  </r>
  <r>
    <s v="EMP0565"/>
    <x v="0"/>
    <s v="Team Lead"/>
    <n v="1.7"/>
    <s v="G3"/>
    <n v="28"/>
    <s v="Bachelor"/>
    <s v="Chennai"/>
    <n v="5"/>
    <n v="31.4"/>
    <n v="4"/>
    <n v="1"/>
    <n v="12"/>
    <n v="0"/>
    <s v="Band B"/>
    <n v="40700"/>
    <n v="2.2000000000000002"/>
    <n v="3.2"/>
    <n v="0.7"/>
    <n v="0"/>
    <n v="3.9"/>
    <n v="2.7"/>
    <n v="4.5"/>
    <s v="Yes"/>
    <n v="0"/>
    <n v="1"/>
    <n v="0.7"/>
    <n v="0"/>
    <s v="Stayed"/>
    <m/>
    <n v="0"/>
    <n v="0"/>
    <s v="Promoted"/>
    <s v="1â€“3 years"/>
    <s v="High"/>
    <s v="3.6999999999999997"/>
    <s v="0.4166666666666667"/>
    <n v="0"/>
  </r>
  <r>
    <s v="EMP0566"/>
    <x v="0"/>
    <s v="Team Lead"/>
    <n v="3.3"/>
    <s v="G2"/>
    <n v="28"/>
    <s v="Bachelor"/>
    <s v="Chennai"/>
    <n v="2"/>
    <n v="1.3"/>
    <n v="16"/>
    <n v="2"/>
    <n v="12"/>
    <n v="0"/>
    <s v="Band B"/>
    <n v="41200"/>
    <n v="10.1"/>
    <n v="1"/>
    <n v="0.3"/>
    <n v="0"/>
    <n v="3.6"/>
    <n v="2.2000000000000002"/>
    <n v="2.8"/>
    <s v="Yes"/>
    <n v="0"/>
    <n v="1"/>
    <n v="2.9"/>
    <n v="1"/>
    <s v="Stayed"/>
    <m/>
    <n v="0"/>
    <n v="0"/>
    <s v="Promoted"/>
    <s v="3â€“5 years"/>
    <s v="Low"/>
    <s v="2.866666666666667"/>
    <s v="0.16666666666666666"/>
    <n v="0"/>
  </r>
  <r>
    <s v="EMP0567"/>
    <x v="0"/>
    <s v="Operations Manager"/>
    <n v="2.5"/>
    <s v="G4"/>
    <n v="27"/>
    <s v="Bachelor"/>
    <s v="Bengaluru"/>
    <n v="2"/>
    <n v="4"/>
    <n v="7"/>
    <n v="2"/>
    <n v="12"/>
    <n v="0"/>
    <s v="Band D"/>
    <n v="83800"/>
    <n v="4.4000000000000004"/>
    <n v="2.7"/>
    <n v="1.2"/>
    <n v="0"/>
    <n v="2.5"/>
    <n v="3"/>
    <n v="3.8"/>
    <s v="Yes"/>
    <n v="0"/>
    <n v="0"/>
    <m/>
    <n v="0"/>
    <s v="Stayed"/>
    <m/>
    <n v="1"/>
    <n v="0"/>
    <s v="No Recorded Promotions"/>
    <s v="1â€“3 years"/>
    <s v="Low"/>
    <n v="3.1"/>
    <s v="0.16666666666666666"/>
    <n v="0"/>
  </r>
  <r>
    <s v="EMP0568"/>
    <x v="3"/>
    <s v="QA Engineer"/>
    <n v="14.8"/>
    <s v="G2"/>
    <n v="41"/>
    <s v="Master"/>
    <s v="Coimbatore"/>
    <n v="2"/>
    <n v="9.3000000000000007"/>
    <n v="8"/>
    <n v="2"/>
    <n v="12"/>
    <n v="0"/>
    <s v="Band B"/>
    <n v="45000"/>
    <n v="11.7"/>
    <n v="2.2999999999999998"/>
    <n v="0.1"/>
    <n v="0"/>
    <n v="3.8"/>
    <n v="4.3"/>
    <n v="2.9"/>
    <s v="Yes"/>
    <n v="0"/>
    <n v="1"/>
    <n v="5.6"/>
    <n v="1"/>
    <s v="Stayed"/>
    <m/>
    <n v="0"/>
    <n v="0"/>
    <s v="Promoted"/>
    <s v="5+ years"/>
    <s v="Low"/>
    <s v="3.6666666666666665"/>
    <s v="0.16666666666666666"/>
    <n v="0"/>
  </r>
  <r>
    <s v="EMP0569"/>
    <x v="4"/>
    <s v="Account Manager"/>
    <n v="0.6"/>
    <s v="G3"/>
    <n v="27"/>
    <s v="Bachelor"/>
    <s v="Chennai"/>
    <n v="3"/>
    <n v="16.2"/>
    <n v="15"/>
    <n v="3"/>
    <n v="12"/>
    <n v="0"/>
    <s v="Band C"/>
    <n v="64000"/>
    <n v="0.8"/>
    <n v="3.1"/>
    <n v="0.9"/>
    <n v="0"/>
    <n v="2.8"/>
    <n v="2.9"/>
    <n v="3.1"/>
    <s v="Yes"/>
    <n v="0"/>
    <n v="1"/>
    <n v="0.2"/>
    <n v="0"/>
    <s v="Stayed"/>
    <m/>
    <n v="0"/>
    <n v="0"/>
    <s v="Promoted"/>
    <s v="0â€“1 years"/>
    <s v="Moderate"/>
    <s v="2.933333333333333"/>
    <n v="0.25"/>
    <n v="0"/>
  </r>
  <r>
    <s v="EMP0570"/>
    <x v="5"/>
    <s v="Finance Manager"/>
    <n v="1.9"/>
    <s v="G2"/>
    <n v="24"/>
    <s v="Bachelor"/>
    <s v="Coimbatore"/>
    <n v="2"/>
    <n v="17.5"/>
    <n v="9"/>
    <n v="3"/>
    <n v="12"/>
    <n v="0"/>
    <s v="Band A"/>
    <n v="35000"/>
    <n v="7.5"/>
    <n v="1.9"/>
    <n v="0.7"/>
    <n v="0"/>
    <n v="4.9000000000000004"/>
    <n v="3.3"/>
    <n v="3.9"/>
    <s v="Yes"/>
    <n v="0"/>
    <n v="1"/>
    <n v="0.7"/>
    <n v="0"/>
    <s v="Stayed"/>
    <m/>
    <n v="0"/>
    <n v="0"/>
    <s v="Promoted"/>
    <s v="1â€“3 years"/>
    <s v="Moderate"/>
    <s v="4.033333333333333"/>
    <s v="0.16666666666666666"/>
    <n v="0"/>
  </r>
  <r>
    <s v="EMP0571"/>
    <x v="4"/>
    <s v="Sales Manager"/>
    <n v="2.4"/>
    <s v="G1"/>
    <n v="32"/>
    <s v="Bachelor"/>
    <s v="Coimbatore"/>
    <n v="1"/>
    <n v="5.0999999999999996"/>
    <n v="8"/>
    <n v="2"/>
    <n v="12"/>
    <n v="0"/>
    <s v="Band A"/>
    <n v="33100"/>
    <n v="0.6"/>
    <n v="3.6"/>
    <n v="0.9"/>
    <n v="0"/>
    <n v="3.7"/>
    <n v="3.8"/>
    <n v="2.2999999999999998"/>
    <s v="No"/>
    <n v="0"/>
    <n v="2"/>
    <n v="1"/>
    <n v="0"/>
    <s v="Stayed"/>
    <m/>
    <n v="0"/>
    <n v="0"/>
    <s v="Promoted"/>
    <s v="1â€“3 years"/>
    <s v="Low"/>
    <s v="3.266666666666667"/>
    <n v="8.3333333333333301E-2"/>
    <n v="0"/>
  </r>
  <r>
    <s v="EMP0572"/>
    <x v="2"/>
    <s v="Support Team Lead"/>
    <n v="1.7"/>
    <s v="G2"/>
    <n v="24"/>
    <s v="Diploma"/>
    <s v="Hyderabad"/>
    <n v="4"/>
    <n v="10.9"/>
    <n v="14"/>
    <n v="1"/>
    <n v="12"/>
    <n v="0"/>
    <s v="Band B"/>
    <n v="43500"/>
    <n v="6"/>
    <n v="2.9"/>
    <n v="1"/>
    <n v="0"/>
    <n v="2.7"/>
    <n v="2.9"/>
    <n v="5"/>
    <s v="Yes"/>
    <n v="0"/>
    <n v="0"/>
    <m/>
    <n v="0"/>
    <s v="Stayed"/>
    <m/>
    <n v="1"/>
    <n v="0"/>
    <s v="No Recorded Promotions"/>
    <s v="1â€“3 years"/>
    <s v="Moderate"/>
    <s v="3.533333333333333"/>
    <s v="0.3333333333333333"/>
    <n v="0"/>
  </r>
  <r>
    <s v="EMP0573"/>
    <x v="1"/>
    <s v="HR Manager"/>
    <n v="5.0999999999999996"/>
    <s v="G3"/>
    <n v="30"/>
    <s v="Bachelor"/>
    <s v="Remote"/>
    <n v="2"/>
    <n v="9.1"/>
    <n v="15"/>
    <n v="1"/>
    <n v="12"/>
    <n v="0"/>
    <s v="Band C"/>
    <n v="54200"/>
    <n v="6.9"/>
    <n v="2.8"/>
    <n v="4.7"/>
    <n v="0"/>
    <n v="3.6"/>
    <n v="3.5"/>
    <n v="2.6"/>
    <s v="Yes"/>
    <n v="0"/>
    <n v="2"/>
    <n v="2.2999999999999998"/>
    <n v="0"/>
    <s v="Stayed"/>
    <m/>
    <n v="0"/>
    <n v="0"/>
    <s v="Promoted"/>
    <s v="5+ years"/>
    <s v="Low"/>
    <s v="3.233333333333333"/>
    <s v="0.16666666666666666"/>
    <n v="0"/>
  </r>
  <r>
    <s v="EMP0574"/>
    <x v="0"/>
    <s v="Team Lead"/>
    <n v="2.1"/>
    <s v="G2"/>
    <n v="27"/>
    <s v="Master"/>
    <s v="Chennai"/>
    <n v="1"/>
    <n v="10.5"/>
    <n v="9"/>
    <n v="4"/>
    <n v="12"/>
    <n v="0"/>
    <s v="Band A"/>
    <n v="31300"/>
    <n v="5.6"/>
    <n v="3.3"/>
    <n v="1.8"/>
    <n v="0"/>
    <n v="2.5"/>
    <n v="3.4"/>
    <n v="2.5"/>
    <s v="Yes"/>
    <n v="0"/>
    <n v="0"/>
    <m/>
    <n v="0"/>
    <s v="Stayed"/>
    <m/>
    <n v="1"/>
    <n v="0"/>
    <s v="No Recorded Promotions"/>
    <s v="1â€“3 years"/>
    <s v="Moderate"/>
    <s v="2.8000000000000003"/>
    <n v="8.3333333333333301E-2"/>
    <n v="0"/>
  </r>
  <r>
    <s v="EMP0575"/>
    <x v="2"/>
    <s v="Support Team Lead"/>
    <n v="1"/>
    <s v="G5"/>
    <n v="28"/>
    <s v="Bachelor"/>
    <s v="Hyderabad"/>
    <n v="4"/>
    <n v="11.6"/>
    <n v="9"/>
    <n v="4"/>
    <n v="12"/>
    <n v="0"/>
    <s v="Band D"/>
    <n v="83600"/>
    <n v="6"/>
    <n v="3.1"/>
    <n v="1.8"/>
    <n v="0"/>
    <n v="3.5"/>
    <n v="2.2000000000000002"/>
    <n v="3.9"/>
    <s v="No"/>
    <n v="0"/>
    <n v="2"/>
    <n v="0.4"/>
    <n v="0"/>
    <s v="Stayed"/>
    <m/>
    <n v="0"/>
    <n v="0"/>
    <s v="Promoted"/>
    <s v="0â€“1 years"/>
    <s v="Moderate"/>
    <s v="3.1999999999999997"/>
    <s v="0.3333333333333333"/>
    <n v="0"/>
  </r>
  <r>
    <s v="EMP0576"/>
    <x v="5"/>
    <s v="Accountant"/>
    <n v="4.0999999999999996"/>
    <s v="G3"/>
    <n v="22"/>
    <s v="Bachelor"/>
    <s v="Bengaluru"/>
    <n v="2"/>
    <n v="14.1"/>
    <n v="9"/>
    <n v="4"/>
    <n v="12"/>
    <n v="0"/>
    <s v="Band B"/>
    <n v="38500"/>
    <n v="11.9"/>
    <n v="3.1"/>
    <n v="0.6"/>
    <n v="0"/>
    <n v="3.1"/>
    <n v="2.8"/>
    <n v="4.4000000000000004"/>
    <s v="No"/>
    <n v="0"/>
    <n v="1"/>
    <n v="3.6"/>
    <n v="0"/>
    <s v="Stayed"/>
    <m/>
    <n v="0"/>
    <n v="0"/>
    <s v="Promoted"/>
    <s v="3â€“5 years"/>
    <s v="Moderate"/>
    <s v="3.4333333333333336"/>
    <s v="0.16666666666666666"/>
    <n v="0"/>
  </r>
  <r>
    <s v="EMP0577"/>
    <x v="2"/>
    <s v="Support Associate"/>
    <n v="3"/>
    <s v="G5"/>
    <n v="33"/>
    <s v="Doctorate"/>
    <s v="Bengaluru"/>
    <n v="1"/>
    <n v="6.2"/>
    <n v="9"/>
    <n v="2"/>
    <n v="12"/>
    <n v="0"/>
    <s v="Band D"/>
    <n v="103300"/>
    <n v="16.7"/>
    <n v="3"/>
    <n v="2.7"/>
    <n v="0"/>
    <n v="2.6"/>
    <n v="3.5"/>
    <n v="3.1"/>
    <s v="No"/>
    <n v="0"/>
    <n v="2"/>
    <n v="0.5"/>
    <n v="0"/>
    <s v="Stayed"/>
    <m/>
    <n v="0"/>
    <n v="0"/>
    <s v="Promoted"/>
    <s v="1â€“3 years"/>
    <s v="Low"/>
    <s v="3.0666666666666664"/>
    <n v="8.3333333333333301E-2"/>
    <n v="0"/>
  </r>
  <r>
    <s v="EMP0578"/>
    <x v="5"/>
    <s v="Financial Analyst"/>
    <n v="2.2000000000000002"/>
    <s v="G2"/>
    <n v="25"/>
    <s v="Bachelor"/>
    <s v="Coimbatore"/>
    <n v="4"/>
    <n v="7.6"/>
    <n v="10"/>
    <n v="0"/>
    <n v="12"/>
    <n v="0"/>
    <s v="Band B"/>
    <n v="40300"/>
    <n v="9.4"/>
    <n v="3.2"/>
    <n v="3"/>
    <n v="0"/>
    <n v="2.5"/>
    <n v="4.4000000000000004"/>
    <n v="2.5"/>
    <s v="Yes"/>
    <n v="0"/>
    <n v="0"/>
    <m/>
    <n v="0"/>
    <s v="Stayed"/>
    <m/>
    <n v="1"/>
    <n v="0"/>
    <s v="No Recorded Promotions"/>
    <s v="1â€“3 years"/>
    <s v="Low"/>
    <s v="3.1333333333333333"/>
    <s v="0.3333333333333333"/>
    <n v="0"/>
  </r>
  <r>
    <s v="EMP0579"/>
    <x v="2"/>
    <s v="Support Team Lead"/>
    <n v="9.1999999999999993"/>
    <s v="G4"/>
    <n v="40"/>
    <s v="Bachelor"/>
    <s v="Chennai"/>
    <n v="2"/>
    <n v="42.2"/>
    <n v="14"/>
    <n v="6"/>
    <n v="12"/>
    <n v="0"/>
    <s v="Band D"/>
    <n v="78300"/>
    <n v="4.5999999999999996"/>
    <n v="3.5"/>
    <n v="2.1"/>
    <n v="0"/>
    <n v="5"/>
    <n v="4.4000000000000004"/>
    <n v="2.7"/>
    <s v="No"/>
    <n v="0"/>
    <n v="0"/>
    <m/>
    <n v="0"/>
    <s v="Stayed"/>
    <m/>
    <n v="1"/>
    <n v="0"/>
    <s v="No Recorded Promotions"/>
    <s v="5+ years"/>
    <s v="High"/>
    <s v="4.033333333333334"/>
    <s v="0.16666666666666666"/>
    <n v="0"/>
  </r>
  <r>
    <s v="EMP0580"/>
    <x v="4"/>
    <s v="Account Manager"/>
    <n v="5.2"/>
    <s v="G3"/>
    <n v="29"/>
    <s v="Bachelor"/>
    <s v="Chennai"/>
    <n v="3"/>
    <n v="6.6"/>
    <n v="13"/>
    <n v="0"/>
    <n v="12"/>
    <n v="0"/>
    <s v="Band C"/>
    <n v="53700"/>
    <n v="8.3000000000000007"/>
    <n v="3.4"/>
    <n v="2"/>
    <n v="0"/>
    <n v="3.4"/>
    <n v="5"/>
    <n v="2.6"/>
    <s v="Yes"/>
    <n v="0"/>
    <n v="0"/>
    <m/>
    <n v="1"/>
    <s v="Stayed"/>
    <m/>
    <n v="1"/>
    <n v="0"/>
    <s v="No Recorded Promotions"/>
    <s v="5+ years"/>
    <s v="Low"/>
    <s v="3.6666666666666665"/>
    <n v="0.25"/>
    <n v="0"/>
  </r>
  <r>
    <s v="EMP0581"/>
    <x v="1"/>
    <s v="Recruiter"/>
    <n v="4.8"/>
    <s v="G3"/>
    <n v="31"/>
    <s v="Bachelor"/>
    <s v="Remote"/>
    <n v="2"/>
    <n v="11.1"/>
    <n v="5"/>
    <n v="0"/>
    <n v="12"/>
    <n v="0"/>
    <s v="Band C"/>
    <n v="63000"/>
    <n v="6.6"/>
    <n v="4.2"/>
    <n v="0.2"/>
    <n v="0"/>
    <n v="2.9"/>
    <n v="3.6"/>
    <n v="3.6"/>
    <s v="Yes"/>
    <n v="0"/>
    <n v="2"/>
    <n v="3.4"/>
    <n v="2"/>
    <s v="Stayed"/>
    <m/>
    <n v="0"/>
    <n v="0"/>
    <s v="Promoted"/>
    <s v="3â€“5 years"/>
    <s v="Moderate"/>
    <s v="3.3666666666666667"/>
    <s v="0.16666666666666666"/>
    <n v="0"/>
  </r>
  <r>
    <s v="EMP0582"/>
    <x v="5"/>
    <s v="Financial Analyst"/>
    <n v="5.3"/>
    <s v="G5"/>
    <n v="39"/>
    <s v="Bachelor"/>
    <s v="Bengaluru"/>
    <n v="2"/>
    <n v="9.1999999999999993"/>
    <n v="8"/>
    <n v="6"/>
    <n v="12"/>
    <n v="0"/>
    <s v="Band D"/>
    <n v="103300"/>
    <n v="11.6"/>
    <n v="2.7"/>
    <n v="1.8"/>
    <n v="0"/>
    <n v="2.8"/>
    <n v="2.8"/>
    <n v="3.3"/>
    <s v="Yes"/>
    <n v="0"/>
    <n v="0"/>
    <m/>
    <n v="0"/>
    <s v="Stayed"/>
    <m/>
    <n v="1"/>
    <n v="0"/>
    <s v="No Recorded Promotions"/>
    <s v="5+ years"/>
    <s v="Low"/>
    <s v="2.9666666666666663"/>
    <s v="0.16666666666666666"/>
    <n v="0"/>
  </r>
  <r>
    <s v="EMP0583"/>
    <x v="3"/>
    <s v="Senior Software Engineer"/>
    <n v="5.0999999999999996"/>
    <s v="G3"/>
    <n v="30"/>
    <s v="Master"/>
    <s v="Coimbatore"/>
    <n v="2"/>
    <n v="10.8"/>
    <n v="12"/>
    <n v="3"/>
    <n v="12"/>
    <n v="0"/>
    <s v="Band C"/>
    <n v="50800"/>
    <n v="9.1999999999999993"/>
    <n v="3.4"/>
    <n v="3.9"/>
    <n v="0"/>
    <n v="3.7"/>
    <n v="3.1"/>
    <n v="3.7"/>
    <s v="Yes"/>
    <n v="0"/>
    <n v="0"/>
    <m/>
    <n v="0"/>
    <s v="Stayed"/>
    <m/>
    <n v="1"/>
    <n v="0"/>
    <s v="No Recorded Promotions"/>
    <s v="5+ years"/>
    <s v="Moderate"/>
    <n v="3.5"/>
    <s v="0.16666666666666666"/>
    <n v="0"/>
  </r>
  <r>
    <s v="EMP0584"/>
    <x v="4"/>
    <s v="Account Manager"/>
    <n v="3.2"/>
    <s v="G4"/>
    <n v="34"/>
    <s v="Bachelor"/>
    <s v="Coimbatore"/>
    <n v="2"/>
    <n v="21.8"/>
    <n v="10"/>
    <n v="3"/>
    <n v="12"/>
    <n v="0"/>
    <s v="Band C"/>
    <n v="72500"/>
    <n v="1.7"/>
    <n v="5"/>
    <n v="1.8"/>
    <n v="0"/>
    <n v="2.7"/>
    <n v="3.1"/>
    <n v="3.7"/>
    <s v="Yes"/>
    <n v="0"/>
    <n v="1"/>
    <n v="0.9"/>
    <n v="0"/>
    <s v="Stayed"/>
    <m/>
    <n v="0"/>
    <n v="0"/>
    <s v="Promoted"/>
    <s v="3â€“5 years"/>
    <s v="High"/>
    <s v="3.1666666666666665"/>
    <s v="0.16666666666666666"/>
    <n v="0"/>
  </r>
  <r>
    <s v="EMP0585"/>
    <x v="2"/>
    <s v="Support Specialist"/>
    <n v="2.1"/>
    <s v="G3"/>
    <n v="28"/>
    <s v="Bachelor"/>
    <s v="Chennai"/>
    <n v="2"/>
    <n v="8.8000000000000007"/>
    <n v="6"/>
    <n v="2"/>
    <n v="12"/>
    <n v="0"/>
    <s v="Band C"/>
    <n v="64900"/>
    <n v="12.4"/>
    <n v="3.2"/>
    <n v="2.4"/>
    <n v="0"/>
    <n v="2.2999999999999998"/>
    <n v="2.8"/>
    <n v="4.0999999999999996"/>
    <s v="Yes"/>
    <n v="0"/>
    <n v="0"/>
    <m/>
    <n v="2"/>
    <s v="Stayed"/>
    <m/>
    <n v="1"/>
    <n v="0"/>
    <s v="No Recorded Promotions"/>
    <s v="1â€“3 years"/>
    <s v="Low"/>
    <s v="3.0666666666666664"/>
    <s v="0.16666666666666666"/>
    <n v="0"/>
  </r>
  <r>
    <s v="EMP0586"/>
    <x v="0"/>
    <s v="Team Lead"/>
    <n v="4.0999999999999996"/>
    <s v="G1"/>
    <n v="32"/>
    <s v="Diploma"/>
    <s v="Chennai"/>
    <n v="5"/>
    <n v="3.5"/>
    <n v="5"/>
    <n v="2"/>
    <n v="12"/>
    <n v="0"/>
    <s v="Band A"/>
    <n v="31000"/>
    <n v="11.9"/>
    <n v="3.2"/>
    <n v="0.9"/>
    <n v="0"/>
    <n v="3.3"/>
    <n v="3.5"/>
    <n v="3.1"/>
    <s v="Yes"/>
    <n v="0"/>
    <n v="2"/>
    <n v="1.8"/>
    <n v="1"/>
    <s v="Stayed"/>
    <m/>
    <n v="0"/>
    <n v="0"/>
    <s v="Promoted"/>
    <s v="3â€“5 years"/>
    <s v="Low"/>
    <s v="3.3000000000000003"/>
    <s v="0.4166666666666667"/>
    <n v="0"/>
  </r>
  <r>
    <s v="EMP0587"/>
    <x v="3"/>
    <s v="Senior Software Engineer"/>
    <n v="3.1"/>
    <s v="G3"/>
    <n v="29"/>
    <s v="Master"/>
    <s v="Bengaluru"/>
    <n v="3"/>
    <n v="6.1"/>
    <n v="13"/>
    <n v="2"/>
    <n v="12"/>
    <n v="0"/>
    <s v="Band C"/>
    <n v="50400"/>
    <n v="14"/>
    <n v="2.1"/>
    <n v="0.6"/>
    <n v="0"/>
    <n v="3.3"/>
    <n v="3.6"/>
    <n v="2.8"/>
    <s v="Yes"/>
    <n v="0"/>
    <n v="0"/>
    <m/>
    <n v="0"/>
    <s v="Stayed"/>
    <m/>
    <n v="1"/>
    <n v="0"/>
    <s v="No Recorded Promotions"/>
    <s v="3â€“5 years"/>
    <s v="Low"/>
    <s v="3.233333333333333"/>
    <n v="0.25"/>
    <n v="0"/>
  </r>
  <r>
    <s v="EMP0588"/>
    <x v="4"/>
    <s v="Sales Executive"/>
    <n v="0.6"/>
    <s v="G2"/>
    <n v="30"/>
    <s v="Diploma"/>
    <s v="Coimbatore"/>
    <n v="5"/>
    <n v="8.8000000000000007"/>
    <n v="6"/>
    <n v="0"/>
    <n v="12"/>
    <n v="0"/>
    <s v="Band B"/>
    <n v="37800"/>
    <n v="5.9"/>
    <n v="2.6"/>
    <n v="0.3"/>
    <n v="0"/>
    <n v="2.9"/>
    <n v="2.1"/>
    <n v="3.5"/>
    <s v="Yes"/>
    <n v="0"/>
    <n v="0"/>
    <m/>
    <n v="1"/>
    <s v="Stayed"/>
    <m/>
    <n v="1"/>
    <n v="0"/>
    <s v="No Recorded Promotions"/>
    <s v="0â€“1 years"/>
    <s v="Low"/>
    <s v="2.8333333333333335"/>
    <s v="0.4166666666666667"/>
    <n v="0"/>
  </r>
  <r>
    <s v="EMP0589"/>
    <x v="3"/>
    <s v="Data Analyst"/>
    <n v="1.6"/>
    <s v="G4"/>
    <n v="25"/>
    <s v="Master"/>
    <s v="Hyderabad"/>
    <n v="3"/>
    <n v="11.9"/>
    <n v="6"/>
    <n v="4"/>
    <n v="12"/>
    <n v="0"/>
    <s v="Band C"/>
    <n v="73900"/>
    <n v="9.1999999999999993"/>
    <n v="3.1"/>
    <n v="3.4"/>
    <n v="0"/>
    <n v="2.5"/>
    <n v="4.2"/>
    <n v="3.4"/>
    <s v="Yes"/>
    <n v="0"/>
    <n v="3"/>
    <m/>
    <n v="2"/>
    <s v="Stayed"/>
    <m/>
    <n v="1"/>
    <n v="0"/>
    <s v="Promoted"/>
    <s v="1â€“3 years"/>
    <s v="Moderate"/>
    <s v="3.3666666666666667"/>
    <n v="0.25"/>
    <n v="0"/>
  </r>
  <r>
    <s v="EMP0590"/>
    <x v="3"/>
    <s v="Senior Software Engineer"/>
    <n v="2.8"/>
    <s v="G4"/>
    <n v="25"/>
    <s v="Bachelor"/>
    <s v="Bengaluru"/>
    <n v="3"/>
    <n v="5.0999999999999996"/>
    <n v="13"/>
    <n v="2"/>
    <n v="12"/>
    <n v="0"/>
    <s v="Band C"/>
    <n v="67300"/>
    <n v="3.3"/>
    <n v="3.7"/>
    <n v="1.1000000000000001"/>
    <n v="0"/>
    <n v="3.3"/>
    <n v="1.5"/>
    <n v="3.6"/>
    <s v="Yes"/>
    <n v="1"/>
    <n v="0"/>
    <m/>
    <n v="0"/>
    <s v="Stayed"/>
    <m/>
    <n v="1"/>
    <n v="0"/>
    <s v="No Recorded Promotions"/>
    <s v="1â€“3 years"/>
    <s v="Low"/>
    <s v="2.8000000000000003"/>
    <n v="0.25"/>
    <n v="0"/>
  </r>
  <r>
    <s v="EMP0591"/>
    <x v="2"/>
    <s v="Support Associate"/>
    <n v="7"/>
    <s v="G1"/>
    <n v="30"/>
    <s v="Bachelor"/>
    <s v="Bengaluru"/>
    <n v="3"/>
    <n v="5.7"/>
    <n v="10"/>
    <n v="3"/>
    <n v="12"/>
    <n v="0"/>
    <s v="Band A"/>
    <n v="28300"/>
    <n v="7.8"/>
    <n v="3.8"/>
    <n v="3"/>
    <n v="0"/>
    <n v="2.9"/>
    <n v="3"/>
    <n v="2.8"/>
    <s v="Yes"/>
    <n v="0"/>
    <n v="1"/>
    <n v="2"/>
    <n v="1"/>
    <s v="Stayed"/>
    <m/>
    <n v="0"/>
    <n v="0"/>
    <s v="Promoted"/>
    <s v="5+ years"/>
    <s v="Low"/>
    <n v="2.9"/>
    <n v="0.25"/>
    <n v="0"/>
  </r>
  <r>
    <s v="EMP0592"/>
    <x v="1"/>
    <s v="Recruiter"/>
    <n v="4.0999999999999996"/>
    <s v="G1"/>
    <n v="30"/>
    <s v="Bachelor"/>
    <s v="Hyderabad"/>
    <n v="1"/>
    <n v="12.2"/>
    <n v="8"/>
    <n v="3"/>
    <n v="12"/>
    <n v="0"/>
    <s v="Band A"/>
    <n v="28800"/>
    <n v="9.6"/>
    <n v="3.5"/>
    <n v="0.8"/>
    <n v="0"/>
    <n v="2.8"/>
    <n v="4.2"/>
    <n v="3.9"/>
    <s v="Yes"/>
    <n v="0"/>
    <n v="0"/>
    <m/>
    <n v="0"/>
    <s v="Stayed"/>
    <m/>
    <n v="1"/>
    <n v="0"/>
    <s v="No Recorded Promotions"/>
    <s v="3â€“5 years"/>
    <s v="Moderate"/>
    <s v="3.6333333333333333"/>
    <n v="8.3333333333333301E-2"/>
    <n v="0"/>
  </r>
  <r>
    <s v="EMP0593"/>
    <x v="4"/>
    <s v="Account Manager"/>
    <n v="1.8"/>
    <s v="G1"/>
    <n v="27"/>
    <s v="Bachelor"/>
    <s v="Chennai"/>
    <n v="5"/>
    <n v="12.5"/>
    <n v="13"/>
    <n v="2"/>
    <n v="12"/>
    <n v="0"/>
    <s v="Band A"/>
    <n v="33100"/>
    <n v="5.5"/>
    <n v="3.9"/>
    <n v="3.2"/>
    <n v="0"/>
    <n v="3.3"/>
    <n v="3.7"/>
    <n v="2.5"/>
    <s v="Yes"/>
    <n v="1"/>
    <n v="1"/>
    <n v="1.7"/>
    <n v="0"/>
    <s v="Stayed"/>
    <m/>
    <n v="0"/>
    <n v="0"/>
    <s v="Promoted"/>
    <s v="1â€“3 years"/>
    <s v="Moderate"/>
    <s v="3.1666666666666665"/>
    <s v="0.4166666666666667"/>
    <n v="0"/>
  </r>
  <r>
    <s v="EMP0594"/>
    <x v="5"/>
    <s v="Accountant"/>
    <n v="1.4"/>
    <s v="G2"/>
    <n v="30"/>
    <s v="Bachelor"/>
    <s v="Bengaluru"/>
    <n v="3"/>
    <n v="19.7"/>
    <n v="5"/>
    <n v="4"/>
    <n v="12"/>
    <n v="0"/>
    <s v="Band B"/>
    <n v="41600"/>
    <n v="9.4"/>
    <n v="2.2999999999999998"/>
    <n v="1.3"/>
    <n v="0"/>
    <n v="5"/>
    <n v="3.3"/>
    <n v="3"/>
    <s v="No"/>
    <n v="1"/>
    <n v="0"/>
    <m/>
    <n v="0"/>
    <s v="Stayed"/>
    <m/>
    <n v="1"/>
    <n v="0"/>
    <s v="No Recorded Promotions"/>
    <s v="1â€“3 years"/>
    <s v="Moderate"/>
    <s v="3.766666666666667"/>
    <n v="0.25"/>
    <n v="0"/>
  </r>
  <r>
    <s v="EMP0595"/>
    <x v="3"/>
    <s v="Senior Software Engineer"/>
    <n v="8"/>
    <s v="G1"/>
    <n v="39"/>
    <s v="Master"/>
    <s v="Bengaluru"/>
    <n v="2"/>
    <n v="6.1"/>
    <n v="5"/>
    <n v="2"/>
    <n v="12"/>
    <n v="0"/>
    <s v="Band A"/>
    <n v="29000"/>
    <n v="8.6999999999999993"/>
    <n v="3.6"/>
    <n v="0.9"/>
    <n v="0"/>
    <n v="4.5"/>
    <n v="5"/>
    <n v="4.3"/>
    <s v="Yes"/>
    <n v="0"/>
    <n v="0"/>
    <m/>
    <n v="0"/>
    <s v="Stayed"/>
    <m/>
    <n v="1"/>
    <n v="0"/>
    <s v="No Recorded Promotions"/>
    <s v="5+ years"/>
    <s v="Low"/>
    <s v="4.6000000000000005"/>
    <s v="0.16666666666666666"/>
    <n v="0"/>
  </r>
  <r>
    <s v="EMP0596"/>
    <x v="4"/>
    <s v="Sales Executive"/>
    <n v="3.3"/>
    <s v="G3"/>
    <n v="25"/>
    <s v="Bachelor"/>
    <s v="Chennai"/>
    <n v="3"/>
    <n v="15.1"/>
    <n v="9"/>
    <n v="1"/>
    <n v="12"/>
    <n v="0"/>
    <s v="Band C"/>
    <n v="58500"/>
    <n v="6.2"/>
    <n v="3.2"/>
    <n v="0.9"/>
    <n v="0"/>
    <n v="5"/>
    <n v="2.8"/>
    <n v="2.5"/>
    <s v="Yes"/>
    <n v="0"/>
    <n v="0"/>
    <m/>
    <n v="0"/>
    <s v="Stayed"/>
    <m/>
    <n v="1"/>
    <n v="0"/>
    <s v="No Recorded Promotions"/>
    <s v="3â€“5 years"/>
    <s v="Moderate"/>
    <s v="3.4333333333333336"/>
    <n v="0.25"/>
    <n v="0"/>
  </r>
  <r>
    <s v="EMP0597"/>
    <x v="0"/>
    <s v="Team Lead"/>
    <n v="0.1"/>
    <s v="G3"/>
    <n v="23"/>
    <s v="Bachelor"/>
    <s v="Chennai"/>
    <n v="2"/>
    <n v="9.1999999999999993"/>
    <n v="8"/>
    <n v="3"/>
    <n v="12"/>
    <n v="0"/>
    <s v="Band C"/>
    <n v="52100"/>
    <n v="13.6"/>
    <n v="3.3"/>
    <n v="2.6"/>
    <n v="0"/>
    <n v="2.8"/>
    <n v="1.4"/>
    <n v="4.2"/>
    <s v="Yes"/>
    <n v="0"/>
    <n v="2"/>
    <m/>
    <n v="2"/>
    <s v="Stayed"/>
    <m/>
    <n v="1"/>
    <n v="0"/>
    <s v="Promoted"/>
    <s v="0â€“1 years"/>
    <s v="Low"/>
    <s v="2.7999999999999994"/>
    <s v="0.16666666666666666"/>
    <n v="0"/>
  </r>
  <r>
    <s v="EMP0598"/>
    <x v="0"/>
    <s v="Operations Manager"/>
    <n v="3.4"/>
    <s v="G4"/>
    <n v="24"/>
    <s v="Bachelor"/>
    <s v="Chennai"/>
    <n v="4"/>
    <n v="6.9"/>
    <n v="9"/>
    <n v="2"/>
    <n v="12"/>
    <n v="0"/>
    <s v="Band C"/>
    <n v="74400"/>
    <n v="7.1"/>
    <n v="2.9"/>
    <n v="1.8"/>
    <n v="0"/>
    <n v="4.8"/>
    <n v="3.6"/>
    <n v="2.2999999999999998"/>
    <s v="Yes"/>
    <n v="0"/>
    <n v="0"/>
    <m/>
    <n v="0"/>
    <s v="Stayed"/>
    <m/>
    <n v="1"/>
    <n v="0"/>
    <s v="No Recorded Promotions"/>
    <s v="3â€“5 years"/>
    <s v="Low"/>
    <s v="3.5666666666666664"/>
    <s v="0.3333333333333333"/>
    <n v="0"/>
  </r>
  <r>
    <s v="EMP0599"/>
    <x v="2"/>
    <s v="Support Team Lead"/>
    <n v="6"/>
    <s v="G2"/>
    <n v="40"/>
    <s v="Bachelor"/>
    <s v="Chennai"/>
    <n v="6"/>
    <n v="9.4"/>
    <n v="7"/>
    <n v="4"/>
    <n v="12"/>
    <n v="0"/>
    <s v="Band B"/>
    <n v="41500"/>
    <n v="8.5"/>
    <n v="2.2999999999999998"/>
    <n v="2.7"/>
    <n v="0"/>
    <n v="3.5"/>
    <n v="1.6"/>
    <n v="2.1"/>
    <s v="Yes"/>
    <n v="0"/>
    <n v="1"/>
    <n v="0.8"/>
    <n v="0"/>
    <s v="Stayed"/>
    <m/>
    <n v="0"/>
    <n v="0"/>
    <s v="Promoted"/>
    <s v="5+ years"/>
    <s v="Low"/>
    <n v="2.4"/>
    <n v="0.5"/>
    <n v="0"/>
  </r>
  <r>
    <s v="EMP0600"/>
    <x v="0"/>
    <s v="Team Lead"/>
    <n v="1.4"/>
    <s v="G2"/>
    <n v="29"/>
    <s v="Bachelor"/>
    <s v="Coimbatore"/>
    <n v="2"/>
    <n v="10.5"/>
    <n v="9"/>
    <n v="2"/>
    <n v="12"/>
    <n v="0"/>
    <s v="Band A"/>
    <n v="28400"/>
    <n v="2.1"/>
    <n v="2.1"/>
    <n v="3.8"/>
    <n v="0"/>
    <n v="4.2"/>
    <n v="2.5"/>
    <n v="2.2000000000000002"/>
    <s v="Yes"/>
    <n v="0"/>
    <n v="1"/>
    <n v="1.2"/>
    <n v="0"/>
    <s v="Stayed"/>
    <m/>
    <n v="0"/>
    <n v="0"/>
    <s v="Promoted"/>
    <s v="1â€“3 years"/>
    <s v="Moderate"/>
    <s v="2.966666666666667"/>
    <s v="0.16666666666666666"/>
    <n v="0"/>
  </r>
  <r>
    <s v="EMP0601"/>
    <x v="1"/>
    <s v="HR Manager"/>
    <n v="3.9"/>
    <s v="G1"/>
    <n v="32"/>
    <s v="Bachelor"/>
    <s v="Chennai"/>
    <n v="3"/>
    <n v="3.1"/>
    <n v="6"/>
    <n v="1"/>
    <n v="12"/>
    <n v="0"/>
    <s v="Band A"/>
    <n v="18300"/>
    <n v="10.1"/>
    <n v="3.5"/>
    <n v="1"/>
    <n v="0"/>
    <n v="3.7"/>
    <n v="3.8"/>
    <n v="3.5"/>
    <s v="No"/>
    <n v="0"/>
    <n v="1"/>
    <n v="0.6"/>
    <n v="0"/>
    <s v="Stayed"/>
    <m/>
    <n v="0"/>
    <n v="0"/>
    <s v="Promoted"/>
    <s v="3â€“5 years"/>
    <s v="Low"/>
    <s v="3.6666666666666665"/>
    <n v="0.25"/>
    <n v="0"/>
  </r>
  <r>
    <s v="EMP0602"/>
    <x v="0"/>
    <s v="Operations Associate"/>
    <n v="4.2"/>
    <s v="G4"/>
    <n v="25"/>
    <s v="Bachelor"/>
    <s v="Bengaluru"/>
    <n v="3"/>
    <n v="3.4"/>
    <n v="8"/>
    <n v="3"/>
    <n v="12"/>
    <n v="0"/>
    <s v="Band C"/>
    <n v="74300"/>
    <n v="6.1"/>
    <n v="3.6"/>
    <n v="2.2000000000000002"/>
    <n v="0"/>
    <n v="3"/>
    <n v="2.8"/>
    <n v="4"/>
    <s v="Yes"/>
    <n v="0"/>
    <n v="1"/>
    <n v="0.3"/>
    <n v="1"/>
    <s v="Left"/>
    <d v="2026-01-26T00:00:00"/>
    <n v="0"/>
    <n v="0"/>
    <s v="Promoted"/>
    <s v="3â€“5 years"/>
    <s v="Low"/>
    <s v="3.266666666666667"/>
    <n v="0.25"/>
    <n v="1"/>
  </r>
  <r>
    <s v="EMP0603"/>
    <x v="2"/>
    <s v="Support Team Lead"/>
    <n v="1.5"/>
    <s v="G1"/>
    <n v="27"/>
    <s v="Diploma"/>
    <s v="Chennai"/>
    <n v="3"/>
    <n v="16.7"/>
    <n v="10"/>
    <n v="1"/>
    <n v="12"/>
    <n v="0"/>
    <s v="Band A"/>
    <n v="25100"/>
    <n v="11.8"/>
    <n v="3.1"/>
    <n v="1.2"/>
    <n v="0"/>
    <n v="3.9"/>
    <n v="3.7"/>
    <n v="4.4000000000000004"/>
    <s v="No"/>
    <n v="0"/>
    <n v="0"/>
    <m/>
    <n v="2"/>
    <s v="Stayed"/>
    <m/>
    <n v="1"/>
    <n v="0"/>
    <s v="No Recorded Promotions"/>
    <s v="1â€“3 years"/>
    <s v="Moderate"/>
    <n v="4"/>
    <n v="0.25"/>
    <n v="0"/>
  </r>
  <r>
    <s v="EMP0604"/>
    <x v="0"/>
    <s v="Team Lead"/>
    <n v="8.5"/>
    <s v="G1"/>
    <n v="37"/>
    <s v="Bachelor"/>
    <s v="Chennai"/>
    <n v="4"/>
    <n v="7.5"/>
    <n v="7"/>
    <n v="5"/>
    <n v="12"/>
    <n v="0"/>
    <s v="Band A"/>
    <n v="24700"/>
    <n v="2.8"/>
    <n v="3.2"/>
    <n v="0.8"/>
    <n v="0"/>
    <n v="3.7"/>
    <n v="3.3"/>
    <n v="4.4000000000000004"/>
    <s v="Yes"/>
    <n v="1"/>
    <n v="0"/>
    <m/>
    <n v="2"/>
    <s v="Stayed"/>
    <m/>
    <n v="1"/>
    <n v="0"/>
    <s v="No Recorded Promotions"/>
    <s v="5+ years"/>
    <s v="Low"/>
    <s v="3.8000000000000003"/>
    <s v="0.3333333333333333"/>
    <n v="0"/>
  </r>
  <r>
    <s v="EMP0605"/>
    <x v="2"/>
    <s v="Support Team Lead"/>
    <n v="4.2"/>
    <s v="G1"/>
    <n v="29"/>
    <s v="Bachelor"/>
    <s v="Chennai"/>
    <n v="2"/>
    <n v="11.9"/>
    <n v="11"/>
    <n v="0"/>
    <n v="12"/>
    <n v="0"/>
    <s v="Band A"/>
    <n v="26100"/>
    <n v="9.6999999999999993"/>
    <n v="2.6"/>
    <n v="1.8"/>
    <n v="0"/>
    <n v="1.7"/>
    <n v="4"/>
    <n v="4.0999999999999996"/>
    <s v="Yes"/>
    <n v="0"/>
    <n v="2"/>
    <n v="2.1"/>
    <n v="0"/>
    <s v="Stayed"/>
    <m/>
    <n v="0"/>
    <n v="0"/>
    <s v="Promoted"/>
    <s v="3â€“5 years"/>
    <s v="Moderate"/>
    <s v="3.266666666666667"/>
    <s v="0.16666666666666666"/>
    <n v="0"/>
  </r>
  <r>
    <s v="EMP0606"/>
    <x v="0"/>
    <s v="Operations Manager"/>
    <n v="2.8"/>
    <s v="G4"/>
    <n v="33"/>
    <s v="Bachelor"/>
    <s v="Chennai"/>
    <n v="0"/>
    <n v="16.3"/>
    <n v="9"/>
    <n v="5"/>
    <n v="12"/>
    <n v="0"/>
    <s v="Band D"/>
    <n v="78700"/>
    <n v="0"/>
    <n v="3.7"/>
    <n v="0.2"/>
    <n v="0"/>
    <n v="3.2"/>
    <n v="1.7"/>
    <n v="2.7"/>
    <s v="Yes"/>
    <n v="0"/>
    <n v="0"/>
    <m/>
    <n v="1"/>
    <s v="Stayed"/>
    <m/>
    <n v="1"/>
    <n v="0"/>
    <s v="No Recorded Promotions"/>
    <s v="1â€“3 years"/>
    <s v="Moderate"/>
    <s v="2.5333333333333337"/>
    <n v="0"/>
    <n v="0"/>
  </r>
  <r>
    <s v="EMP0607"/>
    <x v="2"/>
    <s v="Support Specialist"/>
    <n v="3.3"/>
    <s v="G1"/>
    <n v="39"/>
    <s v="Bachelor"/>
    <s v="Remote"/>
    <n v="3"/>
    <n v="9.5"/>
    <n v="12"/>
    <n v="2"/>
    <n v="12"/>
    <n v="0"/>
    <s v="Band A"/>
    <n v="29800"/>
    <n v="10.5"/>
    <n v="3.3"/>
    <n v="2.9"/>
    <n v="0"/>
    <n v="4.0999999999999996"/>
    <n v="4.4000000000000004"/>
    <n v="2.7"/>
    <s v="Yes"/>
    <n v="0"/>
    <n v="1"/>
    <n v="2.7"/>
    <n v="0"/>
    <s v="Stayed"/>
    <m/>
    <n v="0"/>
    <n v="0"/>
    <s v="Promoted"/>
    <s v="3â€“5 years"/>
    <s v="Low"/>
    <s v="3.733333333333333"/>
    <n v="0.25"/>
    <n v="0"/>
  </r>
  <r>
    <s v="EMP0608"/>
    <x v="3"/>
    <s v="Senior Software Engineer"/>
    <n v="1.2"/>
    <s v="G3"/>
    <n v="23"/>
    <s v="Master"/>
    <s v="Chennai"/>
    <n v="4"/>
    <n v="15.3"/>
    <n v="3"/>
    <n v="3"/>
    <n v="12"/>
    <n v="0"/>
    <s v="Band C"/>
    <n v="56800"/>
    <n v="7.3"/>
    <n v="2.9"/>
    <n v="1.7"/>
    <n v="0"/>
    <n v="3.5"/>
    <n v="2.8"/>
    <n v="4"/>
    <s v="Yes"/>
    <n v="0"/>
    <n v="2"/>
    <n v="1.2"/>
    <n v="0"/>
    <s v="Stayed"/>
    <m/>
    <n v="0"/>
    <n v="0"/>
    <s v="Promoted"/>
    <s v="1â€“3 years"/>
    <s v="Moderate"/>
    <s v="3.4333333333333336"/>
    <s v="0.3333333333333333"/>
    <n v="0"/>
  </r>
  <r>
    <s v="EMP0609"/>
    <x v="0"/>
    <s v="Team Lead"/>
    <n v="1.2"/>
    <s v="G3"/>
    <n v="23"/>
    <s v="Bachelor"/>
    <s v="Chennai"/>
    <n v="3"/>
    <n v="10.6"/>
    <n v="5"/>
    <n v="3"/>
    <n v="12"/>
    <n v="0"/>
    <s v="Band C"/>
    <n v="54800"/>
    <n v="9.6"/>
    <n v="4"/>
    <n v="0.6"/>
    <n v="0"/>
    <n v="3.7"/>
    <n v="4.5999999999999996"/>
    <n v="3.4"/>
    <s v="Yes"/>
    <n v="1"/>
    <n v="1"/>
    <n v="0.3"/>
    <n v="0"/>
    <s v="Stayed"/>
    <m/>
    <n v="0"/>
    <n v="0"/>
    <s v="Promoted"/>
    <s v="1â€“3 years"/>
    <s v="Moderate"/>
    <s v="3.9000000000000004"/>
    <n v="0.25"/>
    <n v="0"/>
  </r>
  <r>
    <s v="EMP0610"/>
    <x v="1"/>
    <s v="HR Manager"/>
    <n v="2.6"/>
    <s v="G3"/>
    <n v="25"/>
    <s v="Master"/>
    <s v="Chennai"/>
    <n v="5"/>
    <n v="11"/>
    <n v="6"/>
    <n v="4"/>
    <n v="12"/>
    <n v="0"/>
    <s v="Band B"/>
    <n v="46700"/>
    <n v="5.6"/>
    <n v="3.8"/>
    <n v="1.7"/>
    <n v="0"/>
    <n v="2.6"/>
    <n v="2.4"/>
    <n v="2.6"/>
    <s v="Yes"/>
    <n v="0"/>
    <n v="0"/>
    <m/>
    <n v="0"/>
    <s v="Stayed"/>
    <m/>
    <n v="1"/>
    <n v="0"/>
    <s v="No Recorded Promotions"/>
    <s v="1â€“3 years"/>
    <s v="Moderate"/>
    <s v="2.533333333333333"/>
    <s v="0.4166666666666667"/>
    <n v="0"/>
  </r>
  <r>
    <s v="EMP0611"/>
    <x v="5"/>
    <s v="Finance Manager"/>
    <n v="2.7"/>
    <s v="G1"/>
    <n v="35"/>
    <s v="Bachelor"/>
    <s v="Coimbatore"/>
    <n v="3"/>
    <n v="23.1"/>
    <n v="10"/>
    <n v="3"/>
    <n v="12"/>
    <n v="0"/>
    <s v="Band A"/>
    <n v="30900"/>
    <n v="4.2"/>
    <n v="1.8"/>
    <n v="0.1"/>
    <n v="0"/>
    <n v="3.5"/>
    <n v="4.9000000000000004"/>
    <n v="4.4000000000000004"/>
    <s v="Yes"/>
    <n v="0"/>
    <n v="1"/>
    <n v="2.2000000000000002"/>
    <n v="0"/>
    <s v="Stayed"/>
    <m/>
    <n v="0"/>
    <n v="0"/>
    <s v="Promoted"/>
    <s v="1â€“3 years"/>
    <s v="High"/>
    <s v="4.266666666666667"/>
    <n v="0.25"/>
    <n v="0"/>
  </r>
  <r>
    <s v="EMP0612"/>
    <x v="0"/>
    <s v="Operations Manager"/>
    <n v="3.1"/>
    <s v="G1"/>
    <n v="33"/>
    <s v="Bachelor"/>
    <s v="Bengaluru"/>
    <n v="7"/>
    <n v="8.6999999999999993"/>
    <n v="9"/>
    <n v="1"/>
    <n v="12"/>
    <n v="0"/>
    <s v="Band A"/>
    <n v="30500"/>
    <n v="6.3"/>
    <n v="3.2"/>
    <n v="0.3"/>
    <n v="0"/>
    <n v="3.2"/>
    <n v="2.2999999999999998"/>
    <n v="1.9"/>
    <s v="Yes"/>
    <n v="0"/>
    <n v="0"/>
    <m/>
    <n v="0"/>
    <s v="Stayed"/>
    <m/>
    <n v="1"/>
    <n v="0"/>
    <s v="No Recorded Promotions"/>
    <s v="3â€“5 years"/>
    <s v="Low"/>
    <s v="2.466666666666667"/>
    <s v="0.5833333333333334"/>
    <n v="0"/>
  </r>
  <r>
    <s v="EMP0613"/>
    <x v="2"/>
    <s v="Support Associate"/>
    <n v="9"/>
    <s v="G2"/>
    <n v="34"/>
    <s v="Diploma"/>
    <s v="Hyderabad"/>
    <n v="3"/>
    <n v="16.8"/>
    <n v="8"/>
    <n v="2"/>
    <n v="12"/>
    <n v="0"/>
    <s v="Band B"/>
    <n v="41400"/>
    <n v="8.8000000000000007"/>
    <n v="2.2999999999999998"/>
    <n v="0.3"/>
    <n v="0"/>
    <n v="3.1"/>
    <n v="1.6"/>
    <n v="3.7"/>
    <s v="Yes"/>
    <n v="0"/>
    <n v="1"/>
    <n v="0.5"/>
    <n v="1"/>
    <s v="Stayed"/>
    <m/>
    <n v="0"/>
    <n v="0"/>
    <s v="Promoted"/>
    <s v="5+ years"/>
    <s v="Moderate"/>
    <s v="2.8000000000000003"/>
    <n v="0.25"/>
    <n v="0"/>
  </r>
  <r>
    <s v="EMP0614"/>
    <x v="2"/>
    <s v="Support Specialist"/>
    <n v="5.8"/>
    <s v="G1"/>
    <n v="32"/>
    <s v="Bachelor"/>
    <s v="Coimbatore"/>
    <n v="1"/>
    <n v="2.5"/>
    <n v="8"/>
    <n v="3"/>
    <n v="12"/>
    <n v="0"/>
    <s v="Band A"/>
    <n v="29800"/>
    <n v="10.3"/>
    <n v="3.3"/>
    <n v="0.3"/>
    <n v="0"/>
    <n v="3.3"/>
    <n v="3.2"/>
    <n v="3.3"/>
    <s v="Yes"/>
    <n v="1"/>
    <n v="1"/>
    <n v="4.8"/>
    <n v="0"/>
    <s v="Stayed"/>
    <m/>
    <n v="0"/>
    <n v="0"/>
    <s v="Promoted"/>
    <s v="5+ years"/>
    <s v="Low"/>
    <s v="3.266666666666667"/>
    <n v="8.3333333333333301E-2"/>
    <n v="0"/>
  </r>
  <r>
    <s v="EMP0615"/>
    <x v="4"/>
    <s v="Sales Executive"/>
    <n v="0.7"/>
    <s v="G3"/>
    <n v="23"/>
    <s v="Bachelor"/>
    <s v="Bengaluru"/>
    <n v="3"/>
    <n v="11.6"/>
    <n v="15"/>
    <n v="1"/>
    <n v="12"/>
    <n v="0"/>
    <s v="Band C"/>
    <n v="56900"/>
    <n v="9.1999999999999993"/>
    <n v="1"/>
    <n v="1.1000000000000001"/>
    <n v="0"/>
    <n v="4.0999999999999996"/>
    <n v="4.3"/>
    <n v="3.2"/>
    <s v="Yes"/>
    <n v="0"/>
    <n v="1"/>
    <n v="0.4"/>
    <n v="0"/>
    <s v="Stayed"/>
    <m/>
    <n v="0"/>
    <n v="0"/>
    <s v="Promoted"/>
    <s v="0â€“1 years"/>
    <s v="Moderate"/>
    <s v="3.866666666666666"/>
    <n v="0.25"/>
    <n v="0"/>
  </r>
  <r>
    <s v="EMP0616"/>
    <x v="0"/>
    <s v="Operations Manager"/>
    <n v="7.9"/>
    <s v="G2"/>
    <n v="37"/>
    <s v="Master"/>
    <s v="Coimbatore"/>
    <n v="4"/>
    <n v="27.2"/>
    <n v="15"/>
    <n v="2"/>
    <n v="12"/>
    <n v="0"/>
    <s v="Band B"/>
    <n v="37600"/>
    <n v="4.3"/>
    <n v="3.4"/>
    <n v="1.7"/>
    <n v="0"/>
    <n v="3.6"/>
    <n v="3.9"/>
    <n v="3.4"/>
    <s v="Yes"/>
    <n v="0"/>
    <n v="1"/>
    <n v="0.3"/>
    <n v="3"/>
    <s v="Stayed"/>
    <m/>
    <n v="0"/>
    <n v="0"/>
    <s v="Promoted"/>
    <s v="5+ years"/>
    <s v="High"/>
    <s v="3.6333333333333333"/>
    <s v="0.3333333333333333"/>
    <n v="0"/>
  </r>
  <r>
    <s v="EMP0617"/>
    <x v="0"/>
    <s v="Operations Manager"/>
    <n v="2.6"/>
    <s v="G2"/>
    <n v="27"/>
    <s v="Bachelor"/>
    <s v="Hyderabad"/>
    <n v="4"/>
    <n v="44.3"/>
    <n v="14"/>
    <n v="1"/>
    <n v="12"/>
    <n v="0"/>
    <s v="Band B"/>
    <n v="43300"/>
    <n v="15.4"/>
    <n v="3.8"/>
    <n v="7.9"/>
    <n v="0"/>
    <n v="3.5"/>
    <n v="4.2"/>
    <n v="2.7"/>
    <s v="Yes"/>
    <n v="0"/>
    <n v="1"/>
    <n v="2"/>
    <n v="0"/>
    <s v="Left"/>
    <d v="2024-12-17T00:00:00"/>
    <n v="0"/>
    <n v="0"/>
    <s v="Promoted"/>
    <s v="1â€“3 years"/>
    <s v="High"/>
    <s v="3.466666666666667"/>
    <s v="0.3333333333333333"/>
    <n v="1"/>
  </r>
  <r>
    <s v="EMP0618"/>
    <x v="4"/>
    <s v="Sales Executive"/>
    <n v="6.2"/>
    <s v="G1"/>
    <n v="31"/>
    <s v="Bachelor"/>
    <s v="Bengaluru"/>
    <n v="3"/>
    <n v="2.7"/>
    <n v="9"/>
    <n v="1"/>
    <n v="12"/>
    <n v="0"/>
    <s v="Band A"/>
    <n v="31800"/>
    <n v="9.3000000000000007"/>
    <n v="3.1"/>
    <n v="3.2"/>
    <n v="0"/>
    <n v="5"/>
    <n v="3.9"/>
    <n v="3.4"/>
    <s v="No"/>
    <n v="1"/>
    <n v="0"/>
    <m/>
    <n v="0"/>
    <s v="Stayed"/>
    <m/>
    <n v="1"/>
    <n v="0"/>
    <s v="No Recorded Promotions"/>
    <s v="5+ years"/>
    <s v="Low"/>
    <s v="4.1000000000000005"/>
    <n v="0.25"/>
    <n v="0"/>
  </r>
  <r>
    <s v="EMP0619"/>
    <x v="3"/>
    <s v="QA Engineer"/>
    <n v="2.8"/>
    <s v="G3"/>
    <n v="31"/>
    <s v="Bachelor"/>
    <s v="Chennai"/>
    <n v="1"/>
    <n v="7.4"/>
    <n v="5"/>
    <n v="2"/>
    <n v="12"/>
    <n v="0"/>
    <s v="Band C"/>
    <n v="52600"/>
    <n v="5.5"/>
    <n v="2.2000000000000002"/>
    <n v="0.1"/>
    <n v="0"/>
    <n v="3.7"/>
    <n v="3.3"/>
    <n v="3.4"/>
    <s v="Yes"/>
    <n v="1"/>
    <n v="0"/>
    <m/>
    <n v="0"/>
    <s v="Stayed"/>
    <m/>
    <n v="1"/>
    <n v="0"/>
    <s v="No Recorded Promotions"/>
    <s v="1â€“3 years"/>
    <s v="Low"/>
    <s v="3.466666666666667"/>
    <n v="8.3333333333333301E-2"/>
    <n v="0"/>
  </r>
  <r>
    <s v="EMP0620"/>
    <x v="3"/>
    <s v="Data Analyst"/>
    <n v="4.0999999999999996"/>
    <s v="G1"/>
    <n v="29"/>
    <s v="Diploma"/>
    <s v="Bengaluru"/>
    <n v="5"/>
    <n v="4.0999999999999996"/>
    <n v="11"/>
    <n v="3"/>
    <n v="12"/>
    <n v="0"/>
    <s v="Band A"/>
    <n v="34200"/>
    <n v="9.6999999999999993"/>
    <n v="5"/>
    <n v="4.8"/>
    <n v="0"/>
    <n v="4.4000000000000004"/>
    <n v="3.9"/>
    <n v="4.0999999999999996"/>
    <s v="Yes"/>
    <n v="0"/>
    <n v="1"/>
    <n v="2.6"/>
    <n v="0"/>
    <s v="Stayed"/>
    <m/>
    <n v="0"/>
    <n v="0"/>
    <s v="Promoted"/>
    <s v="3â€“5 years"/>
    <s v="Low"/>
    <s v="4.133333333333334"/>
    <s v="0.4166666666666667"/>
    <n v="0"/>
  </r>
  <r>
    <s v="EMP0621"/>
    <x v="0"/>
    <s v="Operations Manager"/>
    <n v="1.3"/>
    <s v="G3"/>
    <n v="26"/>
    <s v="Master"/>
    <s v="Hyderabad"/>
    <n v="5"/>
    <n v="9"/>
    <n v="11"/>
    <n v="2"/>
    <n v="12"/>
    <n v="0"/>
    <s v="Band B"/>
    <n v="43900"/>
    <n v="9"/>
    <n v="4.2"/>
    <n v="0.6"/>
    <n v="0"/>
    <n v="3.5"/>
    <n v="3.3"/>
    <n v="4.7"/>
    <s v="Yes"/>
    <n v="0"/>
    <n v="0"/>
    <m/>
    <n v="0"/>
    <s v="Stayed"/>
    <m/>
    <n v="1"/>
    <n v="0"/>
    <s v="No Recorded Promotions"/>
    <s v="1â€“3 years"/>
    <s v="Low"/>
    <s v="3.8333333333333335"/>
    <s v="0.4166666666666667"/>
    <n v="0"/>
  </r>
  <r>
    <s v="EMP0622"/>
    <x v="1"/>
    <s v="Recruiter"/>
    <n v="4.7"/>
    <s v="G1"/>
    <n v="31"/>
    <s v="Bachelor"/>
    <s v="Coimbatore"/>
    <n v="5"/>
    <n v="18.8"/>
    <n v="7"/>
    <n v="0"/>
    <n v="12"/>
    <n v="0"/>
    <s v="Band A"/>
    <n v="27500"/>
    <n v="7.3"/>
    <n v="2.7"/>
    <n v="2"/>
    <n v="0"/>
    <n v="3"/>
    <n v="2.6"/>
    <n v="3.5"/>
    <s v="Yes"/>
    <n v="0"/>
    <n v="0"/>
    <m/>
    <n v="0"/>
    <s v="Stayed"/>
    <m/>
    <n v="1"/>
    <n v="0"/>
    <s v="No Recorded Promotions"/>
    <s v="3â€“5 years"/>
    <s v="Moderate"/>
    <s v="3.033333333333333"/>
    <s v="0.4166666666666667"/>
    <n v="0"/>
  </r>
  <r>
    <s v="EMP0623"/>
    <x v="2"/>
    <s v="Support Associate"/>
    <n v="6.7"/>
    <s v="G5"/>
    <n v="36"/>
    <s v="Diploma"/>
    <s v="Remote"/>
    <n v="1"/>
    <n v="23.7"/>
    <n v="12"/>
    <n v="0"/>
    <n v="12"/>
    <n v="0"/>
    <s v="Band D"/>
    <n v="93400"/>
    <n v="6.8"/>
    <n v="3"/>
    <n v="1.1000000000000001"/>
    <n v="0"/>
    <n v="2.2999999999999998"/>
    <n v="3.4"/>
    <n v="2.7"/>
    <s v="Yes"/>
    <n v="0"/>
    <n v="5"/>
    <n v="6"/>
    <n v="0"/>
    <s v="Stayed"/>
    <m/>
    <n v="0"/>
    <n v="0"/>
    <s v="Promoted"/>
    <s v="5+ years"/>
    <s v="High"/>
    <s v="2.7999999999999994"/>
    <n v="8.3333333333333301E-2"/>
    <n v="0"/>
  </r>
  <r>
    <s v="EMP0624"/>
    <x v="1"/>
    <s v="HR Manager"/>
    <n v="0.8"/>
    <s v="G3"/>
    <n v="33"/>
    <s v="Master"/>
    <s v="Hyderabad"/>
    <n v="1"/>
    <n v="24.2"/>
    <n v="7"/>
    <n v="4"/>
    <n v="12"/>
    <n v="0"/>
    <s v="Band C"/>
    <n v="54200"/>
    <n v="11.9"/>
    <n v="1.4"/>
    <n v="5"/>
    <n v="0"/>
    <n v="3.5"/>
    <n v="3.1"/>
    <n v="2.5"/>
    <s v="Yes"/>
    <n v="0"/>
    <n v="0"/>
    <m/>
    <n v="0"/>
    <s v="Stayed"/>
    <m/>
    <n v="1"/>
    <n v="0"/>
    <s v="No Recorded Promotions"/>
    <s v="0â€“1 years"/>
    <s v="High"/>
    <s v="3.033333333333333"/>
    <n v="8.3333333333333301E-2"/>
    <n v="0"/>
  </r>
  <r>
    <s v="EMP0625"/>
    <x v="2"/>
    <s v="Support Team Lead"/>
    <n v="6.7"/>
    <s v="G1"/>
    <n v="35"/>
    <s v="Doctorate"/>
    <s v="Chennai"/>
    <n v="2"/>
    <n v="2.4"/>
    <n v="7"/>
    <n v="2"/>
    <n v="12"/>
    <n v="0"/>
    <s v="Band A"/>
    <n v="34200"/>
    <n v="14.9"/>
    <n v="3.6"/>
    <n v="3"/>
    <n v="0"/>
    <n v="1"/>
    <n v="4.5"/>
    <n v="4.8"/>
    <s v="Yes"/>
    <n v="0"/>
    <n v="0"/>
    <m/>
    <n v="1"/>
    <s v="Stayed"/>
    <m/>
    <n v="1"/>
    <n v="0"/>
    <s v="No Recorded Promotions"/>
    <s v="5+ years"/>
    <s v="Low"/>
    <s v="3.4333333333333336"/>
    <s v="0.16666666666666666"/>
    <n v="0"/>
  </r>
  <r>
    <s v="EMP0626"/>
    <x v="4"/>
    <s v="Account Manager"/>
    <n v="2.1"/>
    <s v="G1"/>
    <n v="31"/>
    <s v="Bachelor"/>
    <s v="Hyderabad"/>
    <n v="1"/>
    <n v="10.3"/>
    <n v="10"/>
    <n v="4"/>
    <n v="12"/>
    <n v="0"/>
    <s v="Band A"/>
    <n v="24700"/>
    <n v="0"/>
    <n v="2"/>
    <n v="4.5"/>
    <n v="0"/>
    <n v="3.5"/>
    <n v="2.7"/>
    <n v="4.7"/>
    <s v="Yes"/>
    <n v="0"/>
    <n v="0"/>
    <m/>
    <n v="0"/>
    <s v="Stayed"/>
    <m/>
    <n v="1"/>
    <n v="0"/>
    <s v="No Recorded Promotions"/>
    <s v="1â€“3 years"/>
    <s v="Moderate"/>
    <s v="3.6333333333333333"/>
    <n v="8.3333333333333301E-2"/>
    <n v="0"/>
  </r>
  <r>
    <s v="EMP0627"/>
    <x v="0"/>
    <s v="Operations Manager"/>
    <n v="10.9"/>
    <s v="G2"/>
    <n v="36"/>
    <s v="Bachelor"/>
    <s v="Bengaluru"/>
    <n v="1"/>
    <n v="6"/>
    <n v="8"/>
    <n v="3"/>
    <n v="12"/>
    <n v="0"/>
    <s v="Band C"/>
    <n v="60200"/>
    <n v="12.9"/>
    <n v="3.8"/>
    <n v="2.1"/>
    <n v="0"/>
    <n v="3.6"/>
    <n v="2.7"/>
    <n v="4.0999999999999996"/>
    <s v="Yes"/>
    <n v="0"/>
    <n v="2"/>
    <n v="0.8"/>
    <n v="0"/>
    <s v="Stayed"/>
    <m/>
    <n v="0"/>
    <n v="0"/>
    <s v="Promoted"/>
    <s v="5+ years"/>
    <s v="Low"/>
    <s v="3.466666666666667"/>
    <n v="8.3333333333333301E-2"/>
    <n v="0"/>
  </r>
  <r>
    <s v="EMP0628"/>
    <x v="3"/>
    <s v="Software Engineer"/>
    <n v="6.3"/>
    <s v="G1"/>
    <n v="29"/>
    <s v="Master"/>
    <s v="Coimbatore"/>
    <n v="1"/>
    <n v="8.5"/>
    <n v="12"/>
    <n v="5"/>
    <n v="12"/>
    <n v="0"/>
    <s v="Band A"/>
    <n v="27400"/>
    <n v="8.1"/>
    <n v="4.0999999999999996"/>
    <n v="0.8"/>
    <n v="0"/>
    <n v="3.1"/>
    <n v="2.6"/>
    <n v="3.4"/>
    <s v="Yes"/>
    <n v="0"/>
    <n v="2"/>
    <n v="3.4"/>
    <n v="0"/>
    <s v="Stayed"/>
    <m/>
    <n v="0"/>
    <n v="0"/>
    <s v="Promoted"/>
    <s v="5+ years"/>
    <s v="Low"/>
    <s v="3.033333333333333"/>
    <n v="8.3333333333333301E-2"/>
    <n v="0"/>
  </r>
  <r>
    <s v="EMP0629"/>
    <x v="5"/>
    <s v="Financial Analyst"/>
    <n v="5.5"/>
    <s v="G1"/>
    <n v="34"/>
    <s v="Bachelor"/>
    <s v="Coimbatore"/>
    <n v="7"/>
    <n v="6.7"/>
    <n v="11"/>
    <n v="2"/>
    <n v="12"/>
    <n v="0"/>
    <s v="Band A"/>
    <n v="30700"/>
    <n v="8.9"/>
    <n v="3.1"/>
    <n v="2.4"/>
    <n v="0"/>
    <n v="3.2"/>
    <n v="4.9000000000000004"/>
    <n v="4.0999999999999996"/>
    <s v="Yes"/>
    <n v="0"/>
    <n v="0"/>
    <m/>
    <n v="1"/>
    <s v="Stayed"/>
    <m/>
    <n v="1"/>
    <n v="0"/>
    <s v="No Recorded Promotions"/>
    <s v="5+ years"/>
    <s v="Low"/>
    <s v="4.066666666666667"/>
    <s v="0.5833333333333334"/>
    <n v="0"/>
  </r>
  <r>
    <s v="EMP0630"/>
    <x v="0"/>
    <s v="Operations Associate"/>
    <n v="3.3"/>
    <s v="G4"/>
    <n v="30"/>
    <s v="Bachelor"/>
    <s v="Hyderabad"/>
    <n v="2"/>
    <n v="2.6"/>
    <n v="10"/>
    <n v="3"/>
    <n v="12"/>
    <n v="0"/>
    <s v="Band C"/>
    <n v="71400"/>
    <n v="13.4"/>
    <n v="2.2000000000000002"/>
    <n v="3.8"/>
    <n v="0"/>
    <n v="2.2000000000000002"/>
    <n v="2.6"/>
    <n v="4.4000000000000004"/>
    <s v="Yes"/>
    <n v="0"/>
    <n v="2"/>
    <n v="3"/>
    <n v="0"/>
    <s v="Stayed"/>
    <m/>
    <n v="0"/>
    <n v="0"/>
    <s v="Promoted"/>
    <s v="3â€“5 years"/>
    <s v="Low"/>
    <s v="3.066666666666667"/>
    <s v="0.16666666666666666"/>
    <n v="0"/>
  </r>
  <r>
    <s v="EMP0631"/>
    <x v="2"/>
    <s v="Support Team Lead"/>
    <n v="16.600000000000001"/>
    <s v="G3"/>
    <n v="37"/>
    <s v="Bachelor"/>
    <s v="Bengaluru"/>
    <n v="2"/>
    <n v="23.8"/>
    <n v="10"/>
    <n v="2"/>
    <n v="12"/>
    <n v="0"/>
    <s v="Band C"/>
    <n v="63700"/>
    <n v="0"/>
    <n v="4.3"/>
    <n v="0.5"/>
    <n v="0"/>
    <n v="4.5"/>
    <n v="4.4000000000000004"/>
    <n v="2.9"/>
    <s v="Yes"/>
    <n v="0"/>
    <n v="0"/>
    <m/>
    <n v="1"/>
    <s v="Stayed"/>
    <m/>
    <n v="1"/>
    <n v="0"/>
    <s v="No Recorded Promotions"/>
    <s v="5+ years"/>
    <s v="High"/>
    <s v="3.9333333333333336"/>
    <s v="0.16666666666666666"/>
    <n v="0"/>
  </r>
  <r>
    <s v="EMP0632"/>
    <x v="2"/>
    <s v="Support Team Lead"/>
    <n v="2.6"/>
    <s v="G1"/>
    <n v="27"/>
    <s v="Master"/>
    <s v="Coimbatore"/>
    <n v="3"/>
    <n v="5.2"/>
    <n v="8"/>
    <n v="4"/>
    <n v="12"/>
    <n v="0"/>
    <s v="Band A"/>
    <n v="25600"/>
    <n v="11.3"/>
    <n v="3.2"/>
    <n v="1.9"/>
    <n v="0"/>
    <n v="3"/>
    <n v="2.2999999999999998"/>
    <n v="3.4"/>
    <s v="Yes"/>
    <n v="0"/>
    <n v="2"/>
    <n v="0.5"/>
    <n v="0"/>
    <s v="Stayed"/>
    <m/>
    <n v="0"/>
    <n v="0"/>
    <s v="Promoted"/>
    <s v="1â€“3 years"/>
    <s v="Low"/>
    <n v="2.9"/>
    <n v="0.25"/>
    <n v="0"/>
  </r>
  <r>
    <s v="EMP0633"/>
    <x v="3"/>
    <s v="Data Analyst"/>
    <n v="1.6"/>
    <s v="G3"/>
    <n v="27"/>
    <s v="Master"/>
    <s v="Chennai"/>
    <n v="5"/>
    <n v="6.1"/>
    <n v="9"/>
    <n v="1"/>
    <n v="12"/>
    <n v="0"/>
    <s v="Band C"/>
    <n v="58700"/>
    <n v="13.1"/>
    <n v="3.3"/>
    <n v="2.8"/>
    <n v="0"/>
    <n v="2.4"/>
    <n v="3.7"/>
    <n v="2.5"/>
    <s v="Yes"/>
    <n v="0"/>
    <n v="1"/>
    <n v="0.2"/>
    <n v="0"/>
    <s v="Stayed"/>
    <m/>
    <n v="0"/>
    <n v="0"/>
    <s v="Promoted"/>
    <s v="1â€“3 years"/>
    <s v="Low"/>
    <s v="2.8666666666666667"/>
    <s v="0.4166666666666667"/>
    <n v="0"/>
  </r>
  <r>
    <s v="EMP0634"/>
    <x v="4"/>
    <s v="Account Manager"/>
    <n v="2.2000000000000002"/>
    <s v="G2"/>
    <n v="26"/>
    <s v="Bachelor"/>
    <s v="Coimbatore"/>
    <n v="2"/>
    <n v="27.4"/>
    <n v="9"/>
    <n v="4"/>
    <n v="12"/>
    <n v="0"/>
    <s v="Band A"/>
    <n v="34200"/>
    <n v="5.2"/>
    <n v="2.4"/>
    <n v="0.7"/>
    <n v="0"/>
    <n v="3.8"/>
    <n v="3.3"/>
    <n v="3.3"/>
    <s v="No"/>
    <n v="1"/>
    <n v="2"/>
    <n v="1.7"/>
    <n v="0"/>
    <s v="Stayed"/>
    <m/>
    <n v="0"/>
    <n v="0"/>
    <s v="Promoted"/>
    <s v="1â€“3 years"/>
    <s v="High"/>
    <s v="3.4666666666666663"/>
    <s v="0.16666666666666666"/>
    <n v="0"/>
  </r>
  <r>
    <s v="EMP0635"/>
    <x v="3"/>
    <s v="Software Engineer"/>
    <n v="7.5"/>
    <s v="G5"/>
    <n v="39"/>
    <s v="Diploma"/>
    <s v="Remote"/>
    <n v="1"/>
    <n v="2.1"/>
    <n v="9"/>
    <n v="2"/>
    <n v="12"/>
    <n v="0"/>
    <s v="Band D"/>
    <n v="81000"/>
    <n v="2.4"/>
    <n v="3.4"/>
    <n v="0.9"/>
    <n v="0"/>
    <n v="3.4"/>
    <n v="4.3"/>
    <n v="4.5999999999999996"/>
    <s v="Yes"/>
    <n v="0"/>
    <n v="2"/>
    <n v="1.2"/>
    <n v="0"/>
    <s v="Stayed"/>
    <m/>
    <n v="0"/>
    <n v="0"/>
    <s v="Promoted"/>
    <s v="5+ years"/>
    <s v="Low"/>
    <n v="4.0999999999999996"/>
    <n v="8.3333333333333301E-2"/>
    <n v="0"/>
  </r>
  <r>
    <s v="EMP0636"/>
    <x v="3"/>
    <s v="Software Engineer"/>
    <n v="4"/>
    <s v="G1"/>
    <n v="32"/>
    <s v="Bachelor"/>
    <s v="Bengaluru"/>
    <n v="5"/>
    <n v="13.9"/>
    <n v="8"/>
    <n v="0"/>
    <n v="12"/>
    <n v="0"/>
    <s v="Band A"/>
    <n v="25000"/>
    <n v="14.6"/>
    <n v="3"/>
    <n v="1.2"/>
    <n v="0"/>
    <n v="3"/>
    <n v="4.2"/>
    <n v="4.3"/>
    <s v="Yes"/>
    <n v="0"/>
    <n v="1"/>
    <n v="0.3"/>
    <n v="1"/>
    <s v="Stayed"/>
    <m/>
    <n v="0"/>
    <n v="0"/>
    <s v="Promoted"/>
    <s v="3â€“5 years"/>
    <s v="Moderate"/>
    <s v="3.8333333333333335"/>
    <s v="0.4166666666666667"/>
    <n v="0"/>
  </r>
  <r>
    <s v="EMP0637"/>
    <x v="0"/>
    <s v="Team Lead"/>
    <n v="3.6"/>
    <s v="G3"/>
    <n v="35"/>
    <s v="Bachelor"/>
    <s v="Chennai"/>
    <n v="3"/>
    <n v="20.7"/>
    <n v="6"/>
    <n v="2"/>
    <n v="12"/>
    <n v="0"/>
    <s v="Band C"/>
    <n v="62500"/>
    <n v="1"/>
    <n v="2"/>
    <n v="1.9"/>
    <n v="0"/>
    <n v="2.9"/>
    <n v="3.3"/>
    <n v="3.5"/>
    <s v="No"/>
    <n v="0"/>
    <n v="0"/>
    <m/>
    <n v="0"/>
    <s v="Stayed"/>
    <m/>
    <n v="1"/>
    <n v="0"/>
    <s v="No Recorded Promotions"/>
    <s v="3â€“5 years"/>
    <s v="High"/>
    <s v="3.233333333333333"/>
    <n v="0.25"/>
    <n v="0"/>
  </r>
  <r>
    <s v="EMP0638"/>
    <x v="0"/>
    <s v="Operations Manager"/>
    <n v="2.6"/>
    <s v="G4"/>
    <n v="30"/>
    <s v="Master"/>
    <s v="Hyderabad"/>
    <n v="4"/>
    <n v="25.9"/>
    <n v="8"/>
    <n v="3"/>
    <n v="12"/>
    <n v="0"/>
    <s v="Band D"/>
    <n v="81200"/>
    <n v="9.6999999999999993"/>
    <n v="4.4000000000000004"/>
    <n v="1.3"/>
    <n v="0"/>
    <n v="3.3"/>
    <n v="2.7"/>
    <n v="1.2"/>
    <s v="No"/>
    <n v="0"/>
    <n v="1"/>
    <n v="2.5"/>
    <n v="0"/>
    <s v="Stayed"/>
    <m/>
    <n v="0"/>
    <n v="0"/>
    <s v="Promoted"/>
    <s v="1â€“3 years"/>
    <s v="High"/>
    <n v="2.4"/>
    <s v="0.3333333333333333"/>
    <n v="0"/>
  </r>
  <r>
    <s v="EMP0639"/>
    <x v="0"/>
    <s v="Operations Associate"/>
    <n v="3.4"/>
    <s v="G1"/>
    <n v="30"/>
    <s v="Bachelor"/>
    <s v="Hyderabad"/>
    <n v="6"/>
    <n v="13.2"/>
    <n v="10"/>
    <n v="1"/>
    <n v="12"/>
    <n v="0"/>
    <s v="Band A"/>
    <n v="21700"/>
    <n v="12.1"/>
    <n v="4.8"/>
    <n v="1.5"/>
    <n v="0"/>
    <n v="4.5"/>
    <n v="4.7"/>
    <n v="2.9"/>
    <s v="Yes"/>
    <n v="0"/>
    <n v="1"/>
    <n v="1"/>
    <n v="0"/>
    <s v="Stayed"/>
    <m/>
    <n v="0"/>
    <n v="0"/>
    <s v="Promoted"/>
    <s v="3â€“5 years"/>
    <s v="Moderate"/>
    <s v="4.033333333333333"/>
    <n v="0.5"/>
    <n v="0"/>
  </r>
  <r>
    <s v="EMP0640"/>
    <x v="2"/>
    <s v="Support Team Lead"/>
    <n v="2.5"/>
    <s v="G1"/>
    <n v="25"/>
    <s v="Diploma"/>
    <s v="Coimbatore"/>
    <n v="1"/>
    <n v="17"/>
    <n v="5"/>
    <n v="3"/>
    <n v="12"/>
    <n v="0"/>
    <s v="Band A"/>
    <n v="31000"/>
    <n v="9.6"/>
    <n v="4.0999999999999996"/>
    <n v="5.5"/>
    <n v="0"/>
    <n v="3.7"/>
    <n v="2.6"/>
    <n v="3.5"/>
    <s v="Yes"/>
    <n v="0"/>
    <n v="0"/>
    <m/>
    <n v="0"/>
    <s v="Stayed"/>
    <m/>
    <n v="1"/>
    <n v="0"/>
    <s v="No Recorded Promotions"/>
    <s v="1â€“3 years"/>
    <s v="Moderate"/>
    <s v="3.266666666666667"/>
    <n v="8.3333333333333301E-2"/>
    <n v="0"/>
  </r>
  <r>
    <s v="EMP0641"/>
    <x v="0"/>
    <s v="Operations Associate"/>
    <n v="5.9"/>
    <s v="G2"/>
    <n v="32"/>
    <s v="Master"/>
    <s v="Chennai"/>
    <n v="2"/>
    <n v="20.7"/>
    <n v="9"/>
    <n v="1"/>
    <n v="12"/>
    <n v="0"/>
    <s v="Band A"/>
    <n v="30700"/>
    <n v="10.3"/>
    <n v="4"/>
    <n v="1.3"/>
    <n v="0"/>
    <n v="3.3"/>
    <n v="1.2"/>
    <n v="3.2"/>
    <s v="Yes"/>
    <n v="0"/>
    <n v="0"/>
    <m/>
    <n v="1"/>
    <s v="Stayed"/>
    <m/>
    <n v="1"/>
    <n v="0"/>
    <s v="No Recorded Promotions"/>
    <s v="5+ years"/>
    <s v="High"/>
    <s v="2.566666666666667"/>
    <s v="0.16666666666666666"/>
    <n v="0"/>
  </r>
  <r>
    <s v="EMP0642"/>
    <x v="0"/>
    <s v="Team Lead"/>
    <n v="3.1"/>
    <s v="G4"/>
    <n v="29"/>
    <s v="Bachelor"/>
    <s v="Bengaluru"/>
    <n v="1"/>
    <n v="9.1"/>
    <n v="7"/>
    <n v="0"/>
    <n v="12"/>
    <n v="0"/>
    <s v="Band C"/>
    <n v="70900"/>
    <n v="6.9"/>
    <n v="4.8"/>
    <n v="4.2"/>
    <n v="0"/>
    <n v="4.0999999999999996"/>
    <n v="1.5"/>
    <n v="3.4"/>
    <s v="Yes"/>
    <n v="0"/>
    <n v="1"/>
    <n v="1.9"/>
    <n v="1"/>
    <s v="Stayed"/>
    <m/>
    <n v="0"/>
    <n v="0"/>
    <s v="Promoted"/>
    <s v="3â€“5 years"/>
    <s v="Low"/>
    <n v="3"/>
    <n v="8.3333333333333301E-2"/>
    <n v="0"/>
  </r>
  <r>
    <s v="EMP0643"/>
    <x v="3"/>
    <s v="Software Engineer"/>
    <n v="2.2000000000000002"/>
    <s v="G3"/>
    <n v="23"/>
    <s v="Master"/>
    <s v="Chennai"/>
    <n v="1"/>
    <n v="4.5"/>
    <n v="7"/>
    <n v="1"/>
    <n v="12"/>
    <n v="0"/>
    <s v="Band B"/>
    <n v="44600"/>
    <n v="9.9"/>
    <n v="2.2999999999999998"/>
    <n v="7.3"/>
    <n v="0"/>
    <n v="3.3"/>
    <n v="1.7"/>
    <n v="3.6"/>
    <s v="Yes"/>
    <n v="0"/>
    <n v="1"/>
    <n v="1.3"/>
    <n v="0"/>
    <s v="Stayed"/>
    <m/>
    <n v="0"/>
    <n v="0"/>
    <s v="Promoted"/>
    <s v="1â€“3 years"/>
    <s v="Low"/>
    <s v="2.8666666666666667"/>
    <n v="8.3333333333333301E-2"/>
    <n v="0"/>
  </r>
  <r>
    <s v="EMP0644"/>
    <x v="3"/>
    <s v="Senior Software Engineer"/>
    <n v="7.1"/>
    <s v="G3"/>
    <n v="31"/>
    <s v="Diploma"/>
    <s v="Chennai"/>
    <n v="3"/>
    <n v="28.8"/>
    <n v="8"/>
    <n v="2"/>
    <n v="12"/>
    <n v="0"/>
    <s v="Band C"/>
    <n v="62000"/>
    <n v="5.2"/>
    <n v="2.2000000000000002"/>
    <n v="0.6"/>
    <n v="0"/>
    <n v="3.7"/>
    <n v="3.7"/>
    <n v="3"/>
    <s v="No"/>
    <n v="0"/>
    <n v="0"/>
    <m/>
    <n v="0"/>
    <s v="Left"/>
    <d v="2025-07-25T00:00:00"/>
    <n v="1"/>
    <n v="0"/>
    <s v="No Recorded Promotions"/>
    <s v="5+ years"/>
    <s v="High"/>
    <s v="3.466666666666667"/>
    <n v="0.25"/>
    <n v="1"/>
  </r>
  <r>
    <s v="EMP0645"/>
    <x v="0"/>
    <s v="Team Lead"/>
    <n v="1.6"/>
    <s v="G4"/>
    <n v="26"/>
    <s v="Master"/>
    <s v="Bengaluru"/>
    <n v="3"/>
    <n v="15.7"/>
    <n v="6"/>
    <n v="1"/>
    <n v="12"/>
    <n v="0"/>
    <s v="Band C"/>
    <n v="74700"/>
    <n v="5.7"/>
    <n v="2.8"/>
    <n v="3.1"/>
    <n v="0"/>
    <n v="3.4"/>
    <n v="5"/>
    <n v="3.4"/>
    <s v="Yes"/>
    <n v="0"/>
    <n v="0"/>
    <m/>
    <n v="0"/>
    <s v="Stayed"/>
    <m/>
    <n v="1"/>
    <n v="0"/>
    <s v="No Recorded Promotions"/>
    <s v="1â€“3 years"/>
    <s v="Moderate"/>
    <s v="3.9333333333333336"/>
    <n v="0.25"/>
    <n v="0"/>
  </r>
  <r>
    <s v="EMP0646"/>
    <x v="2"/>
    <s v="Support Associate"/>
    <n v="4"/>
    <s v="G4"/>
    <n v="32"/>
    <s v="Diploma"/>
    <s v="Remote"/>
    <n v="2"/>
    <n v="10.3"/>
    <n v="6"/>
    <n v="3"/>
    <n v="12"/>
    <n v="0"/>
    <s v="Band D"/>
    <n v="80600"/>
    <n v="8.1"/>
    <n v="3.5"/>
    <n v="0.8"/>
    <n v="0"/>
    <n v="3.8"/>
    <n v="1.4"/>
    <n v="3.3"/>
    <s v="Yes"/>
    <n v="0"/>
    <n v="0"/>
    <m/>
    <n v="0"/>
    <s v="Stayed"/>
    <m/>
    <n v="1"/>
    <n v="0"/>
    <s v="No Recorded Promotions"/>
    <s v="3â€“5 years"/>
    <s v="Moderate"/>
    <s v="2.8333333333333335"/>
    <s v="0.16666666666666666"/>
    <n v="0"/>
  </r>
  <r>
    <s v="EMP0647"/>
    <x v="3"/>
    <s v="QA Engineer"/>
    <n v="0.6"/>
    <s v="G2"/>
    <n v="28"/>
    <s v="Diploma"/>
    <s v="Chennai"/>
    <n v="2"/>
    <n v="2.7"/>
    <n v="11"/>
    <n v="2"/>
    <n v="12"/>
    <n v="0"/>
    <s v="Band B"/>
    <n v="36700"/>
    <n v="1.8"/>
    <n v="2.9"/>
    <n v="3"/>
    <n v="0"/>
    <n v="2.9"/>
    <n v="2.5"/>
    <n v="2.8"/>
    <s v="No"/>
    <n v="0"/>
    <n v="2"/>
    <n v="0.2"/>
    <n v="0"/>
    <s v="Left"/>
    <d v="2025-11-28T00:00:00"/>
    <n v="0"/>
    <n v="0"/>
    <s v="Promoted"/>
    <s v="0â€“1 years"/>
    <s v="Low"/>
    <s v="2.733333333333333"/>
    <s v="0.16666666666666666"/>
    <n v="1"/>
  </r>
  <r>
    <s v="EMP0648"/>
    <x v="5"/>
    <s v="Finance Manager"/>
    <n v="1.1000000000000001"/>
    <s v="G2"/>
    <n v="25"/>
    <s v="Bachelor"/>
    <s v="Hyderabad"/>
    <n v="1"/>
    <n v="0.7"/>
    <n v="9"/>
    <n v="3"/>
    <n v="12"/>
    <n v="0"/>
    <s v="Band B"/>
    <n v="37100"/>
    <n v="10.3"/>
    <n v="2.2999999999999998"/>
    <n v="0.8"/>
    <n v="0"/>
    <n v="2.2999999999999998"/>
    <n v="3.3"/>
    <n v="4.9000000000000004"/>
    <s v="Yes"/>
    <n v="0"/>
    <n v="0"/>
    <m/>
    <n v="2"/>
    <s v="Stayed"/>
    <m/>
    <n v="1"/>
    <n v="0"/>
    <s v="No Recorded Promotions"/>
    <s v="1â€“3 years"/>
    <s v="Low"/>
    <n v="3.5"/>
    <n v="8.3333333333333301E-2"/>
    <n v="0"/>
  </r>
  <r>
    <s v="EMP0649"/>
    <x v="0"/>
    <s v="Operations Manager"/>
    <n v="2.8"/>
    <s v="G3"/>
    <n v="31"/>
    <s v="Bachelor"/>
    <s v="Remote"/>
    <n v="6"/>
    <n v="13.7"/>
    <n v="13"/>
    <n v="1"/>
    <n v="12"/>
    <n v="0"/>
    <s v="Band B"/>
    <n v="43200"/>
    <n v="0"/>
    <n v="3.2"/>
    <n v="0.1"/>
    <n v="0"/>
    <n v="4.0999999999999996"/>
    <n v="4.5999999999999996"/>
    <n v="3"/>
    <s v="Yes"/>
    <n v="0"/>
    <n v="1"/>
    <n v="0.7"/>
    <n v="0"/>
    <s v="Stayed"/>
    <m/>
    <n v="0"/>
    <n v="0"/>
    <s v="Promoted"/>
    <s v="1â€“3 years"/>
    <s v="Moderate"/>
    <n v="3.9"/>
    <n v="0.5"/>
    <n v="0"/>
  </r>
  <r>
    <s v="EMP0650"/>
    <x v="3"/>
    <s v="Senior Software Engineer"/>
    <n v="2.5"/>
    <s v="G2"/>
    <n v="28"/>
    <s v="Bachelor"/>
    <s v="Chennai"/>
    <n v="4"/>
    <n v="0.6"/>
    <n v="12"/>
    <n v="2"/>
    <n v="12"/>
    <n v="0"/>
    <s v="Band A"/>
    <n v="33600"/>
    <n v="9.5"/>
    <n v="3.1"/>
    <n v="2.6"/>
    <n v="0"/>
    <n v="4.7"/>
    <n v="2.5"/>
    <n v="1.6"/>
    <s v="Yes"/>
    <n v="0"/>
    <n v="0"/>
    <m/>
    <n v="0"/>
    <s v="Stayed"/>
    <m/>
    <n v="1"/>
    <n v="0"/>
    <s v="No Recorded Promotions"/>
    <s v="1â€“3 years"/>
    <s v="Low"/>
    <s v="2.9333333333333336"/>
    <s v="0.3333333333333333"/>
    <n v="0"/>
  </r>
  <r>
    <s v="EMP0651"/>
    <x v="4"/>
    <s v="Sales Manager"/>
    <n v="2.5"/>
    <s v="G4"/>
    <n v="21"/>
    <s v="Diploma"/>
    <s v="Chennai"/>
    <n v="6"/>
    <n v="10.199999999999999"/>
    <n v="10"/>
    <n v="3"/>
    <n v="12"/>
    <n v="0"/>
    <s v="Band D"/>
    <n v="78600"/>
    <n v="9.8000000000000007"/>
    <n v="4"/>
    <n v="1.5"/>
    <n v="0"/>
    <n v="2.2999999999999998"/>
    <n v="3.7"/>
    <n v="4.8"/>
    <s v="Yes"/>
    <n v="0"/>
    <n v="0"/>
    <m/>
    <n v="0"/>
    <s v="Stayed"/>
    <m/>
    <n v="1"/>
    <n v="0"/>
    <s v="No Recorded Promotions"/>
    <s v="1â€“3 years"/>
    <s v="Moderate"/>
    <n v="3.6"/>
    <n v="0.5"/>
    <n v="0"/>
  </r>
  <r>
    <s v="EMP0652"/>
    <x v="2"/>
    <s v="Support Team Lead"/>
    <n v="6.3"/>
    <s v="G1"/>
    <n v="30"/>
    <s v="Diploma"/>
    <s v="Bengaluru"/>
    <n v="4"/>
    <n v="5.4"/>
    <n v="15"/>
    <n v="2"/>
    <n v="12"/>
    <n v="0"/>
    <s v="Band A"/>
    <n v="31100"/>
    <n v="4.8"/>
    <n v="3.2"/>
    <n v="3.9"/>
    <n v="0"/>
    <n v="3.5"/>
    <n v="3"/>
    <n v="2.7"/>
    <s v="Yes"/>
    <n v="0"/>
    <n v="1"/>
    <n v="5.5"/>
    <n v="0"/>
    <s v="Stayed"/>
    <m/>
    <n v="0"/>
    <n v="0"/>
    <s v="Promoted"/>
    <s v="5+ years"/>
    <s v="Low"/>
    <s v="3.0666666666666664"/>
    <s v="0.3333333333333333"/>
    <n v="0"/>
  </r>
  <r>
    <s v="EMP0653"/>
    <x v="0"/>
    <s v="Operations Manager"/>
    <n v="6.5"/>
    <s v="G1"/>
    <n v="37"/>
    <s v="Master"/>
    <s v="Bengaluru"/>
    <n v="1"/>
    <n v="6.7"/>
    <n v="14"/>
    <n v="2"/>
    <n v="12"/>
    <n v="0"/>
    <s v="Band A"/>
    <n v="30300"/>
    <n v="3.1"/>
    <n v="1.5"/>
    <n v="0.8"/>
    <n v="0"/>
    <n v="2.9"/>
    <n v="5"/>
    <n v="4.0999999999999996"/>
    <s v="Yes"/>
    <n v="0"/>
    <n v="1"/>
    <n v="0.2"/>
    <n v="1"/>
    <s v="Stayed"/>
    <m/>
    <n v="0"/>
    <n v="0"/>
    <s v="Promoted"/>
    <s v="5+ years"/>
    <s v="Low"/>
    <n v="4"/>
    <n v="8.3333333333333301E-2"/>
    <n v="0"/>
  </r>
  <r>
    <s v="EMP0654"/>
    <x v="3"/>
    <s v="Senior Software Engineer"/>
    <n v="4.5999999999999996"/>
    <s v="G4"/>
    <n v="24"/>
    <s v="Bachelor"/>
    <s v="Coimbatore"/>
    <n v="3"/>
    <n v="24.4"/>
    <n v="9"/>
    <n v="2"/>
    <n v="12"/>
    <n v="0"/>
    <s v="Band D"/>
    <n v="83700"/>
    <n v="6.4"/>
    <n v="3.5"/>
    <n v="1.3"/>
    <n v="0"/>
    <n v="4.0999999999999996"/>
    <n v="3.3"/>
    <n v="2.9"/>
    <s v="Yes"/>
    <n v="0"/>
    <n v="0"/>
    <m/>
    <n v="1"/>
    <s v="Stayed"/>
    <m/>
    <n v="1"/>
    <n v="0"/>
    <s v="No Recorded Promotions"/>
    <s v="3â€“5 years"/>
    <s v="High"/>
    <s v="3.433333333333333"/>
    <n v="0.25"/>
    <n v="0"/>
  </r>
  <r>
    <s v="EMP0655"/>
    <x v="2"/>
    <s v="Support Team Lead"/>
    <n v="1.6"/>
    <s v="G2"/>
    <n v="28"/>
    <s v="Bachelor"/>
    <s v="Bengaluru"/>
    <n v="4"/>
    <n v="5.5"/>
    <n v="7"/>
    <n v="1"/>
    <n v="12"/>
    <n v="0"/>
    <s v="Band A"/>
    <n v="32100"/>
    <n v="10.6"/>
    <n v="4.5999999999999996"/>
    <n v="0.8"/>
    <n v="0"/>
    <n v="3.5"/>
    <n v="3.5"/>
    <n v="3.9"/>
    <s v="Yes"/>
    <n v="0"/>
    <n v="1"/>
    <n v="1.4"/>
    <n v="0"/>
    <s v="Stayed"/>
    <m/>
    <n v="0"/>
    <n v="0"/>
    <s v="Promoted"/>
    <s v="1â€“3 years"/>
    <s v="Low"/>
    <s v="3.6333333333333333"/>
    <s v="0.3333333333333333"/>
    <n v="0"/>
  </r>
  <r>
    <s v="EMP0656"/>
    <x v="4"/>
    <s v="Account Manager"/>
    <n v="3.4"/>
    <s v="G1"/>
    <n v="36"/>
    <s v="Master"/>
    <s v="Bengaluru"/>
    <n v="3"/>
    <n v="10.7"/>
    <n v="4"/>
    <n v="0"/>
    <n v="12"/>
    <n v="0"/>
    <s v="Band A"/>
    <n v="31100"/>
    <n v="9.4"/>
    <n v="3.2"/>
    <n v="0.3"/>
    <n v="0"/>
    <n v="5"/>
    <n v="3.3"/>
    <n v="3.4"/>
    <s v="Yes"/>
    <n v="0"/>
    <n v="0"/>
    <m/>
    <n v="2"/>
    <s v="Stayed"/>
    <m/>
    <n v="1"/>
    <n v="0"/>
    <s v="No Recorded Promotions"/>
    <s v="3â€“5 years"/>
    <s v="Moderate"/>
    <s v="3.9000000000000004"/>
    <n v="0.25"/>
    <n v="0"/>
  </r>
  <r>
    <s v="EMP0657"/>
    <x v="2"/>
    <s v="Support Associate"/>
    <n v="11.8"/>
    <s v="G1"/>
    <n v="35"/>
    <s v="Diploma"/>
    <s v="Bengaluru"/>
    <n v="5"/>
    <n v="5.5"/>
    <n v="9"/>
    <n v="0"/>
    <n v="12"/>
    <n v="0"/>
    <s v="Band A"/>
    <n v="27600"/>
    <n v="3.6"/>
    <n v="4.0999999999999996"/>
    <n v="1.9"/>
    <n v="0"/>
    <n v="3"/>
    <n v="2.8"/>
    <n v="4.2"/>
    <s v="Yes"/>
    <n v="0"/>
    <n v="0"/>
    <m/>
    <n v="0"/>
    <s v="Stayed"/>
    <m/>
    <n v="1"/>
    <n v="0"/>
    <s v="No Recorded Promotions"/>
    <s v="5+ years"/>
    <s v="Low"/>
    <s v="3.3333333333333335"/>
    <s v="0.4166666666666667"/>
    <n v="0"/>
  </r>
  <r>
    <s v="EMP0658"/>
    <x v="4"/>
    <s v="Sales Executive"/>
    <n v="15.5"/>
    <s v="G3"/>
    <n v="42"/>
    <s v="Master"/>
    <s v="Bengaluru"/>
    <n v="3"/>
    <n v="12.8"/>
    <n v="4"/>
    <n v="1"/>
    <n v="12"/>
    <n v="0"/>
    <s v="Band C"/>
    <n v="73600"/>
    <n v="8.4"/>
    <n v="2.7"/>
    <n v="1.3"/>
    <n v="0"/>
    <n v="4.7"/>
    <n v="4.0999999999999996"/>
    <n v="3.2"/>
    <s v="Yes"/>
    <n v="0"/>
    <n v="1"/>
    <n v="13.6"/>
    <n v="0"/>
    <s v="Stayed"/>
    <m/>
    <n v="0"/>
    <n v="0"/>
    <s v="Promoted"/>
    <s v="5+ years"/>
    <s v="Moderate"/>
    <n v="4"/>
    <n v="0.25"/>
    <n v="0"/>
  </r>
  <r>
    <s v="EMP0659"/>
    <x v="5"/>
    <s v="Finance Manager"/>
    <n v="7.1"/>
    <s v="G4"/>
    <n v="28"/>
    <s v="Bachelor"/>
    <s v="Chennai"/>
    <n v="2"/>
    <n v="11.4"/>
    <n v="6"/>
    <n v="0"/>
    <n v="12"/>
    <n v="0"/>
    <s v="Band D"/>
    <n v="80300"/>
    <n v="9"/>
    <n v="3.7"/>
    <n v="0.1"/>
    <n v="0"/>
    <n v="4.8"/>
    <n v="2.2000000000000002"/>
    <n v="2.9"/>
    <s v="Yes"/>
    <n v="0"/>
    <n v="1"/>
    <n v="6.4"/>
    <n v="0"/>
    <s v="Stayed"/>
    <m/>
    <n v="0"/>
    <n v="0"/>
    <s v="Promoted"/>
    <s v="5+ years"/>
    <s v="Moderate"/>
    <s v="3.3000000000000003"/>
    <s v="0.16666666666666666"/>
    <n v="0"/>
  </r>
  <r>
    <s v="EMP0660"/>
    <x v="4"/>
    <s v="Sales Executive"/>
    <n v="1.6"/>
    <s v="G1"/>
    <n v="34"/>
    <s v="Bachelor"/>
    <s v="Chennai"/>
    <n v="2"/>
    <n v="10.3"/>
    <n v="12"/>
    <n v="3"/>
    <n v="12"/>
    <n v="0"/>
    <s v="Band A"/>
    <n v="31200"/>
    <n v="8.9"/>
    <n v="2.5"/>
    <n v="4"/>
    <n v="0"/>
    <n v="3.8"/>
    <n v="1.4"/>
    <n v="3.6"/>
    <s v="Yes"/>
    <n v="0"/>
    <n v="0"/>
    <m/>
    <n v="1"/>
    <s v="Stayed"/>
    <m/>
    <n v="1"/>
    <n v="0"/>
    <s v="No Recorded Promotions"/>
    <s v="1â€“3 years"/>
    <s v="Moderate"/>
    <s v="2.933333333333333"/>
    <s v="0.16666666666666666"/>
    <n v="0"/>
  </r>
  <r>
    <s v="EMP0661"/>
    <x v="4"/>
    <s v="Account Manager"/>
    <n v="3.4"/>
    <s v="G1"/>
    <n v="29"/>
    <s v="Diploma"/>
    <s v="Chennai"/>
    <n v="4"/>
    <n v="20.7"/>
    <n v="11"/>
    <n v="3"/>
    <n v="12"/>
    <n v="0"/>
    <s v="Band A"/>
    <n v="26200"/>
    <n v="4.0999999999999996"/>
    <n v="3"/>
    <n v="1.4"/>
    <n v="0"/>
    <n v="3.3"/>
    <n v="3.1"/>
    <n v="3.1"/>
    <s v="No"/>
    <n v="0"/>
    <n v="0"/>
    <m/>
    <n v="1"/>
    <s v="Left"/>
    <d v="2024-07-04T00:00:00"/>
    <n v="1"/>
    <n v="0"/>
    <s v="No Recorded Promotions"/>
    <s v="3â€“5 years"/>
    <s v="High"/>
    <s v="3.1666666666666665"/>
    <s v="0.3333333333333333"/>
    <n v="1"/>
  </r>
  <r>
    <s v="EMP0662"/>
    <x v="2"/>
    <s v="Support Team Lead"/>
    <n v="4.4000000000000004"/>
    <s v="G2"/>
    <n v="31"/>
    <s v="Master"/>
    <s v="Remote"/>
    <n v="1"/>
    <n v="2.1"/>
    <n v="5"/>
    <n v="1"/>
    <n v="12"/>
    <n v="0"/>
    <s v="Band B"/>
    <n v="49700"/>
    <n v="8.6"/>
    <n v="3"/>
    <n v="0.7"/>
    <n v="0"/>
    <n v="3.4"/>
    <n v="3.9"/>
    <n v="1.9"/>
    <s v="Yes"/>
    <n v="0"/>
    <n v="0"/>
    <m/>
    <n v="0"/>
    <s v="Stayed"/>
    <m/>
    <n v="1"/>
    <n v="0"/>
    <s v="No Recorded Promotions"/>
    <s v="3â€“5 years"/>
    <s v="Low"/>
    <s v="3.0666666666666664"/>
    <n v="8.3333333333333301E-2"/>
    <n v="0"/>
  </r>
  <r>
    <s v="EMP0663"/>
    <x v="3"/>
    <s v="Software Engineer"/>
    <n v="3.9"/>
    <s v="G5"/>
    <n v="35"/>
    <s v="Bachelor"/>
    <s v="Remote"/>
    <n v="1"/>
    <n v="1.5"/>
    <n v="14"/>
    <n v="2"/>
    <n v="12"/>
    <n v="0"/>
    <s v="Band E"/>
    <n v="121100"/>
    <n v="11.7"/>
    <n v="3.6"/>
    <n v="2.7"/>
    <n v="0"/>
    <n v="3.3"/>
    <n v="3.3"/>
    <n v="2.9"/>
    <s v="Yes"/>
    <n v="1"/>
    <n v="0"/>
    <m/>
    <n v="0"/>
    <s v="Stayed"/>
    <m/>
    <n v="1"/>
    <n v="0"/>
    <s v="No Recorded Promotions"/>
    <s v="3â€“5 years"/>
    <s v="Low"/>
    <s v="3.1666666666666665"/>
    <n v="8.3333333333333301E-2"/>
    <n v="0"/>
  </r>
  <r>
    <s v="EMP0664"/>
    <x v="3"/>
    <s v="Senior Software Engineer"/>
    <n v="7.6"/>
    <s v="G2"/>
    <n v="36"/>
    <s v="Bachelor"/>
    <s v="Hyderabad"/>
    <n v="4"/>
    <n v="3.3"/>
    <n v="7"/>
    <n v="4"/>
    <n v="12"/>
    <n v="0"/>
    <s v="Band B"/>
    <n v="43300"/>
    <n v="10.1"/>
    <n v="2.5"/>
    <n v="3.3"/>
    <n v="0"/>
    <n v="4.3"/>
    <n v="3.4"/>
    <n v="5"/>
    <s v="Yes"/>
    <n v="0"/>
    <n v="1"/>
    <n v="3"/>
    <n v="1"/>
    <s v="Stayed"/>
    <m/>
    <n v="0"/>
    <n v="0"/>
    <s v="Promoted"/>
    <s v="5+ years"/>
    <s v="Low"/>
    <s v="4.233333333333333"/>
    <s v="0.3333333333333333"/>
    <n v="0"/>
  </r>
  <r>
    <s v="EMP0665"/>
    <x v="4"/>
    <s v="Sales Executive"/>
    <n v="6.1"/>
    <s v="G5"/>
    <n v="29"/>
    <s v="Doctorate"/>
    <s v="Chennai"/>
    <n v="3"/>
    <n v="11.5"/>
    <n v="8"/>
    <n v="2"/>
    <n v="12"/>
    <n v="0"/>
    <s v="Band E"/>
    <n v="115100"/>
    <n v="9.6"/>
    <n v="1.9"/>
    <n v="0.4"/>
    <n v="0"/>
    <n v="2.5"/>
    <n v="2.1"/>
    <n v="1.9"/>
    <s v="Yes"/>
    <n v="0"/>
    <n v="1"/>
    <n v="2.1"/>
    <n v="0"/>
    <s v="Stayed"/>
    <m/>
    <n v="0"/>
    <n v="0"/>
    <s v="Promoted"/>
    <s v="5+ years"/>
    <s v="Moderate"/>
    <s v="2.1666666666666665"/>
    <n v="0.25"/>
    <n v="0"/>
  </r>
  <r>
    <s v="EMP0666"/>
    <x v="0"/>
    <s v="Team Lead"/>
    <n v="1.5"/>
    <s v="G4"/>
    <n v="25"/>
    <s v="Bachelor"/>
    <s v="Bengaluru"/>
    <n v="2"/>
    <n v="14.4"/>
    <n v="9"/>
    <n v="2"/>
    <n v="12"/>
    <n v="0"/>
    <s v="Band C"/>
    <n v="67500"/>
    <n v="14.6"/>
    <n v="3.6"/>
    <n v="0.3"/>
    <n v="0"/>
    <n v="3.2"/>
    <n v="4.2"/>
    <n v="3.6"/>
    <s v="Yes"/>
    <n v="0"/>
    <n v="1"/>
    <n v="0.7"/>
    <n v="1"/>
    <s v="Stayed"/>
    <m/>
    <n v="0"/>
    <n v="0"/>
    <s v="Promoted"/>
    <s v="1â€“3 years"/>
    <s v="Moderate"/>
    <s v="3.6666666666666665"/>
    <s v="0.16666666666666666"/>
    <n v="0"/>
  </r>
  <r>
    <s v="EMP0667"/>
    <x v="0"/>
    <s v="Operations Associate"/>
    <n v="2.2999999999999998"/>
    <s v="G2"/>
    <n v="30"/>
    <s v="Master"/>
    <s v="Chennai"/>
    <n v="4"/>
    <n v="14.3"/>
    <n v="6"/>
    <n v="1"/>
    <n v="12"/>
    <n v="0"/>
    <s v="Band A"/>
    <n v="32400"/>
    <n v="8.6999999999999993"/>
    <n v="3.6"/>
    <n v="0.9"/>
    <n v="0"/>
    <n v="3"/>
    <n v="3.8"/>
    <n v="3.2"/>
    <s v="Yes"/>
    <n v="0"/>
    <n v="1"/>
    <n v="2"/>
    <n v="1"/>
    <s v="Stayed"/>
    <m/>
    <n v="0"/>
    <n v="0"/>
    <s v="Promoted"/>
    <s v="1â€“3 years"/>
    <s v="Moderate"/>
    <s v="3.3333333333333335"/>
    <s v="0.3333333333333333"/>
    <n v="0"/>
  </r>
  <r>
    <s v="EMP0668"/>
    <x v="2"/>
    <s v="Support Team Lead"/>
    <n v="7.1"/>
    <s v="G4"/>
    <n v="31"/>
    <s v="Master"/>
    <s v="Coimbatore"/>
    <n v="5"/>
    <n v="7.6"/>
    <n v="6"/>
    <n v="3"/>
    <n v="12"/>
    <n v="0"/>
    <s v="Band D"/>
    <n v="82600"/>
    <n v="4.5999999999999996"/>
    <n v="3.3"/>
    <n v="2"/>
    <n v="0"/>
    <n v="1.7"/>
    <n v="3.2"/>
    <n v="4.9000000000000004"/>
    <s v="No"/>
    <n v="0"/>
    <n v="1"/>
    <n v="6.2"/>
    <n v="1"/>
    <s v="Left"/>
    <d v="2024-05-16T00:00:00"/>
    <n v="0"/>
    <n v="0"/>
    <s v="Promoted"/>
    <s v="5+ years"/>
    <s v="Low"/>
    <s v="3.266666666666667"/>
    <s v="0.4166666666666667"/>
    <n v="1"/>
  </r>
  <r>
    <s v="EMP0669"/>
    <x v="4"/>
    <s v="Sales Executive"/>
    <n v="9.1999999999999993"/>
    <s v="G3"/>
    <n v="27"/>
    <s v="Master"/>
    <s v="Chennai"/>
    <n v="5"/>
    <n v="29.3"/>
    <n v="11"/>
    <n v="3"/>
    <n v="12"/>
    <n v="0"/>
    <s v="Band C"/>
    <n v="51300"/>
    <n v="4.5999999999999996"/>
    <n v="4"/>
    <n v="4.5999999999999996"/>
    <n v="0"/>
    <n v="4.0999999999999996"/>
    <n v="3.4"/>
    <n v="2.5"/>
    <s v="Yes"/>
    <n v="0"/>
    <n v="2"/>
    <n v="1.6"/>
    <n v="0"/>
    <s v="Stayed"/>
    <m/>
    <n v="0"/>
    <n v="0"/>
    <s v="Promoted"/>
    <s v="5+ years"/>
    <s v="High"/>
    <s v="3.3333333333333335"/>
    <s v="0.4166666666666667"/>
    <n v="0"/>
  </r>
  <r>
    <s v="EMP0670"/>
    <x v="4"/>
    <s v="Sales Manager"/>
    <n v="4.4000000000000004"/>
    <s v="G2"/>
    <n v="30"/>
    <s v="Master"/>
    <s v="Hyderabad"/>
    <n v="2"/>
    <n v="13.5"/>
    <n v="10"/>
    <n v="2"/>
    <n v="12"/>
    <n v="0"/>
    <s v="Band B"/>
    <n v="45600"/>
    <n v="8.6999999999999993"/>
    <n v="3"/>
    <n v="0"/>
    <n v="0"/>
    <n v="4.3"/>
    <n v="1.9"/>
    <n v="3.5"/>
    <s v="No"/>
    <n v="0"/>
    <n v="0"/>
    <m/>
    <n v="0"/>
    <s v="Stayed"/>
    <m/>
    <n v="1"/>
    <n v="0"/>
    <s v="No Recorded Promotions"/>
    <s v="3â€“5 years"/>
    <s v="Moderate"/>
    <s v="3.233333333333333"/>
    <s v="0.16666666666666666"/>
    <n v="0"/>
  </r>
  <r>
    <s v="EMP0671"/>
    <x v="3"/>
    <s v="Data Analyst"/>
    <n v="9.9"/>
    <s v="G2"/>
    <n v="30"/>
    <s v="Doctorate"/>
    <s v="Chennai"/>
    <n v="2"/>
    <n v="27"/>
    <n v="7"/>
    <n v="4"/>
    <n v="12"/>
    <n v="0"/>
    <s v="Band B"/>
    <n v="47800"/>
    <n v="2.2000000000000002"/>
    <n v="3.5"/>
    <n v="5.7"/>
    <n v="0"/>
    <n v="2.7"/>
    <n v="2"/>
    <n v="3.9"/>
    <s v="Yes"/>
    <n v="0"/>
    <n v="1"/>
    <n v="5.3"/>
    <n v="0"/>
    <s v="Left"/>
    <d v="2025-12-04T00:00:00"/>
    <n v="0"/>
    <n v="0"/>
    <s v="Promoted"/>
    <s v="5+ years"/>
    <s v="High"/>
    <s v="2.8666666666666667"/>
    <s v="0.16666666666666666"/>
    <n v="1"/>
  </r>
  <r>
    <s v="EMP0672"/>
    <x v="5"/>
    <s v="Finance Manager"/>
    <n v="4.0999999999999996"/>
    <s v="G4"/>
    <n v="37"/>
    <s v="Bachelor"/>
    <s v="Bengaluru"/>
    <n v="0"/>
    <n v="23.5"/>
    <n v="7"/>
    <n v="1"/>
    <n v="12"/>
    <n v="0"/>
    <s v="Band C"/>
    <n v="74200"/>
    <n v="6.8"/>
    <n v="2.9"/>
    <n v="1.6"/>
    <n v="0"/>
    <n v="4.2"/>
    <n v="3.1"/>
    <n v="3.3"/>
    <s v="Yes"/>
    <n v="0"/>
    <n v="0"/>
    <m/>
    <n v="0"/>
    <s v="Stayed"/>
    <m/>
    <n v="1"/>
    <n v="0"/>
    <s v="No Recorded Promotions"/>
    <s v="3â€“5 years"/>
    <s v="High"/>
    <s v="3.5333333333333337"/>
    <n v="0"/>
    <n v="0"/>
  </r>
  <r>
    <s v="EMP0673"/>
    <x v="2"/>
    <s v="Support Team Lead"/>
    <n v="1.8"/>
    <s v="G4"/>
    <n v="29"/>
    <s v="Master"/>
    <s v="Remote"/>
    <n v="1"/>
    <n v="7.6"/>
    <n v="6"/>
    <n v="6"/>
    <n v="12"/>
    <n v="0"/>
    <s v="Band C"/>
    <n v="71500"/>
    <n v="9.9"/>
    <n v="3"/>
    <n v="3.8"/>
    <n v="0"/>
    <n v="1.9"/>
    <n v="3.7"/>
    <n v="3.4"/>
    <s v="Yes"/>
    <n v="1"/>
    <n v="0"/>
    <m/>
    <n v="0"/>
    <s v="Stayed"/>
    <m/>
    <n v="1"/>
    <n v="0"/>
    <s v="No Recorded Promotions"/>
    <s v="1â€“3 years"/>
    <s v="Low"/>
    <n v="3"/>
    <n v="8.3333333333333301E-2"/>
    <n v="0"/>
  </r>
  <r>
    <s v="EMP0674"/>
    <x v="0"/>
    <s v="Operations Associate"/>
    <n v="5.7"/>
    <s v="G3"/>
    <n v="28"/>
    <s v="Master"/>
    <s v="Bengaluru"/>
    <n v="3"/>
    <n v="18.899999999999999"/>
    <n v="15"/>
    <n v="1"/>
    <n v="12"/>
    <n v="0"/>
    <s v="Band C"/>
    <n v="61400"/>
    <n v="12.7"/>
    <n v="3.5"/>
    <n v="3.6"/>
    <n v="0"/>
    <n v="3.3"/>
    <n v="3.7"/>
    <n v="3.4"/>
    <s v="Yes"/>
    <n v="0"/>
    <n v="0"/>
    <m/>
    <n v="0"/>
    <s v="Stayed"/>
    <m/>
    <n v="1"/>
    <n v="0"/>
    <s v="No Recorded Promotions"/>
    <s v="5+ years"/>
    <s v="Moderate"/>
    <s v="3.466666666666667"/>
    <n v="0.25"/>
    <n v="0"/>
  </r>
  <r>
    <s v="EMP0675"/>
    <x v="5"/>
    <s v="Finance Manager"/>
    <n v="19.899999999999999"/>
    <s v="G5"/>
    <n v="43"/>
    <s v="Bachelor"/>
    <s v="Chennai"/>
    <n v="4"/>
    <n v="7.6"/>
    <n v="11"/>
    <n v="3"/>
    <n v="12"/>
    <n v="0"/>
    <s v="Band E"/>
    <n v="124500"/>
    <n v="1.8"/>
    <n v="5"/>
    <n v="1.3"/>
    <n v="0"/>
    <n v="3.2"/>
    <n v="2.9"/>
    <n v="3.2"/>
    <s v="Yes"/>
    <n v="0"/>
    <n v="1"/>
    <n v="5.5"/>
    <n v="0"/>
    <s v="Stayed"/>
    <m/>
    <n v="0"/>
    <n v="0"/>
    <s v="Promoted"/>
    <s v="5+ years"/>
    <s v="Low"/>
    <n v="3.1"/>
    <s v="0.3333333333333333"/>
    <n v="0"/>
  </r>
  <r>
    <s v="EMP0676"/>
    <x v="4"/>
    <s v="Account Manager"/>
    <n v="1.2"/>
    <s v="G2"/>
    <n v="21"/>
    <s v="Bachelor"/>
    <s v="Remote"/>
    <n v="2"/>
    <n v="31.8"/>
    <n v="9"/>
    <n v="0"/>
    <n v="12"/>
    <n v="0"/>
    <s v="Band B"/>
    <n v="36200"/>
    <n v="8.4"/>
    <n v="3.9"/>
    <n v="0.9"/>
    <n v="0"/>
    <n v="3.4"/>
    <n v="3.9"/>
    <n v="3.2"/>
    <s v="Yes"/>
    <n v="0"/>
    <n v="1"/>
    <n v="0.4"/>
    <n v="1"/>
    <s v="Left"/>
    <d v="2024-03-13T00:00:00"/>
    <n v="0"/>
    <n v="0"/>
    <s v="Promoted"/>
    <s v="1â€“3 years"/>
    <s v="High"/>
    <n v="3.5"/>
    <s v="0.16666666666666666"/>
    <n v="1"/>
  </r>
  <r>
    <s v="EMP0677"/>
    <x v="2"/>
    <s v="Support Team Lead"/>
    <n v="9.6999999999999993"/>
    <s v="G4"/>
    <n v="31"/>
    <s v="Doctorate"/>
    <s v="Bengaluru"/>
    <n v="5"/>
    <n v="8.1999999999999993"/>
    <n v="12"/>
    <n v="1"/>
    <n v="12"/>
    <n v="0"/>
    <s v="Band C"/>
    <n v="63900"/>
    <n v="7.7"/>
    <n v="3.7"/>
    <n v="2.1"/>
    <n v="0"/>
    <n v="3.4"/>
    <n v="4.5"/>
    <n v="4.0999999999999996"/>
    <s v="Yes"/>
    <n v="0"/>
    <n v="2"/>
    <n v="8.6"/>
    <n v="0"/>
    <s v="Stayed"/>
    <m/>
    <n v="0"/>
    <n v="0"/>
    <s v="Promoted"/>
    <s v="5+ years"/>
    <s v="Low"/>
    <n v="4"/>
    <s v="0.4166666666666667"/>
    <n v="0"/>
  </r>
  <r>
    <s v="EMP0678"/>
    <x v="1"/>
    <s v="HR Manager"/>
    <n v="5.5"/>
    <s v="G4"/>
    <n v="36"/>
    <s v="Bachelor"/>
    <s v="Coimbatore"/>
    <n v="1"/>
    <n v="15"/>
    <n v="15"/>
    <n v="3"/>
    <n v="12"/>
    <n v="0"/>
    <s v="Band D"/>
    <n v="82200"/>
    <n v="8.1999999999999993"/>
    <n v="3.9"/>
    <n v="1.6"/>
    <n v="0"/>
    <n v="3.2"/>
    <n v="3.1"/>
    <n v="3.7"/>
    <s v="Yes"/>
    <n v="0"/>
    <n v="1"/>
    <n v="1.8"/>
    <n v="1"/>
    <s v="Stayed"/>
    <m/>
    <n v="0"/>
    <n v="0"/>
    <s v="Promoted"/>
    <s v="5+ years"/>
    <s v="Moderate"/>
    <s v="3.3333333333333335"/>
    <n v="8.3333333333333301E-2"/>
    <n v="0"/>
  </r>
  <r>
    <s v="EMP0679"/>
    <x v="3"/>
    <s v="QA Engineer"/>
    <n v="2.2000000000000002"/>
    <s v="G1"/>
    <n v="37"/>
    <s v="Bachelor"/>
    <s v="Bengaluru"/>
    <n v="2"/>
    <n v="35.9"/>
    <n v="9"/>
    <n v="0"/>
    <n v="12"/>
    <n v="0"/>
    <s v="Band A"/>
    <n v="29300"/>
    <n v="8.6"/>
    <n v="1.1000000000000001"/>
    <n v="0.7"/>
    <n v="0"/>
    <n v="3"/>
    <n v="3.5"/>
    <n v="3.8"/>
    <s v="Yes"/>
    <n v="0"/>
    <n v="0"/>
    <m/>
    <n v="1"/>
    <s v="Left"/>
    <d v="2026-04-02T00:00:00"/>
    <n v="1"/>
    <n v="0"/>
    <s v="No Recorded Promotions"/>
    <s v="1â€“3 years"/>
    <s v="High"/>
    <s v="3.4333333333333336"/>
    <s v="0.16666666666666666"/>
    <n v="1"/>
  </r>
  <r>
    <s v="EMP0680"/>
    <x v="4"/>
    <s v="Account Manager"/>
    <n v="0.6"/>
    <s v="G1"/>
    <n v="30"/>
    <s v="Bachelor"/>
    <s v="Hyderabad"/>
    <n v="7"/>
    <n v="15.5"/>
    <n v="10"/>
    <n v="1"/>
    <n v="12"/>
    <n v="0"/>
    <s v="Band B"/>
    <n v="37300"/>
    <n v="7.9"/>
    <n v="3.5"/>
    <n v="1.3"/>
    <n v="0"/>
    <n v="3.2"/>
    <n v="3"/>
    <n v="3.7"/>
    <s v="Yes"/>
    <n v="0"/>
    <n v="3"/>
    <m/>
    <n v="0"/>
    <s v="Stayed"/>
    <m/>
    <n v="1"/>
    <n v="0"/>
    <s v="Promoted"/>
    <s v="0â€“1 years"/>
    <s v="Moderate"/>
    <s v="3.3000000000000003"/>
    <s v="0.5833333333333334"/>
    <n v="0"/>
  </r>
  <r>
    <s v="EMP0681"/>
    <x v="3"/>
    <s v="Software Engineer"/>
    <n v="0.3"/>
    <s v="G2"/>
    <n v="26"/>
    <s v="Bachelor"/>
    <s v="Coimbatore"/>
    <n v="4"/>
    <n v="6.9"/>
    <n v="9"/>
    <n v="2"/>
    <n v="12"/>
    <n v="0"/>
    <s v="Band B"/>
    <n v="37600"/>
    <n v="13.6"/>
    <n v="4"/>
    <n v="1"/>
    <n v="0"/>
    <n v="4.5"/>
    <n v="3.1"/>
    <n v="4.2"/>
    <s v="No"/>
    <n v="0"/>
    <n v="0"/>
    <m/>
    <n v="1"/>
    <s v="Stayed"/>
    <m/>
    <n v="1"/>
    <n v="0"/>
    <s v="No Recorded Promotions"/>
    <s v="0â€“1 years"/>
    <s v="Low"/>
    <s v="3.9333333333333336"/>
    <s v="0.3333333333333333"/>
    <n v="0"/>
  </r>
  <r>
    <s v="EMP0682"/>
    <x v="3"/>
    <s v="Software Engineer"/>
    <n v="2.4"/>
    <s v="G4"/>
    <n v="27"/>
    <s v="Master"/>
    <s v="Coimbatore"/>
    <n v="5"/>
    <n v="2.9"/>
    <n v="11"/>
    <n v="2"/>
    <n v="12"/>
    <n v="0"/>
    <s v="Band C"/>
    <n v="73000"/>
    <n v="13"/>
    <n v="3.3"/>
    <n v="1.4"/>
    <n v="0"/>
    <n v="2.8"/>
    <n v="3.4"/>
    <n v="4.4000000000000004"/>
    <s v="Yes"/>
    <n v="0"/>
    <n v="0"/>
    <m/>
    <n v="0"/>
    <s v="Stayed"/>
    <m/>
    <n v="1"/>
    <n v="0"/>
    <s v="No Recorded Promotions"/>
    <s v="1â€“3 years"/>
    <s v="Low"/>
    <s v="3.533333333333333"/>
    <s v="0.4166666666666667"/>
    <n v="0"/>
  </r>
  <r>
    <s v="EMP0683"/>
    <x v="3"/>
    <s v="Senior Software Engineer"/>
    <n v="4.9000000000000004"/>
    <s v="G2"/>
    <n v="27"/>
    <s v="Diploma"/>
    <s v="Coimbatore"/>
    <n v="2"/>
    <n v="2.1"/>
    <n v="7"/>
    <n v="1"/>
    <n v="12"/>
    <n v="0"/>
    <s v="Band B"/>
    <n v="41200"/>
    <n v="16.600000000000001"/>
    <n v="3.2"/>
    <n v="3.3"/>
    <n v="0"/>
    <n v="5"/>
    <n v="4.7"/>
    <n v="3.2"/>
    <s v="Yes"/>
    <n v="0"/>
    <n v="0"/>
    <m/>
    <n v="0"/>
    <s v="Stayed"/>
    <m/>
    <n v="1"/>
    <n v="0"/>
    <s v="No Recorded Promotions"/>
    <s v="3â€“5 years"/>
    <s v="Low"/>
    <n v="4.3"/>
    <s v="0.16666666666666666"/>
    <n v="0"/>
  </r>
  <r>
    <s v="EMP0684"/>
    <x v="1"/>
    <s v="HR Manager"/>
    <n v="6.7"/>
    <s v="G3"/>
    <n v="41"/>
    <s v="Master"/>
    <s v="Chennai"/>
    <n v="2"/>
    <n v="14.3"/>
    <n v="7"/>
    <n v="2"/>
    <n v="12"/>
    <n v="0"/>
    <s v="Band C"/>
    <n v="60000"/>
    <n v="8"/>
    <n v="2.4"/>
    <n v="1"/>
    <n v="0"/>
    <n v="2.7"/>
    <n v="4"/>
    <n v="4.0999999999999996"/>
    <s v="Yes"/>
    <n v="0"/>
    <n v="0"/>
    <m/>
    <n v="0"/>
    <s v="Left"/>
    <d v="2025-03-10T00:00:00"/>
    <n v="1"/>
    <n v="0"/>
    <s v="No Recorded Promotions"/>
    <s v="5+ years"/>
    <s v="Moderate"/>
    <n v="3.6"/>
    <s v="0.16666666666666666"/>
    <n v="1"/>
  </r>
  <r>
    <s v="EMP0685"/>
    <x v="0"/>
    <s v="Team Lead"/>
    <n v="7.8"/>
    <s v="G1"/>
    <n v="33"/>
    <s v="Master"/>
    <s v="Hyderabad"/>
    <n v="1"/>
    <n v="9.4"/>
    <n v="10"/>
    <n v="3"/>
    <n v="12"/>
    <n v="0"/>
    <s v="Band A"/>
    <n v="26900"/>
    <n v="6.4"/>
    <n v="2.8"/>
    <n v="1.8"/>
    <n v="0"/>
    <n v="3.5"/>
    <n v="3.3"/>
    <n v="2.4"/>
    <s v="Yes"/>
    <n v="1"/>
    <n v="1"/>
    <n v="5"/>
    <n v="0"/>
    <s v="Stayed"/>
    <m/>
    <n v="0"/>
    <n v="0"/>
    <s v="Promoted"/>
    <s v="5+ years"/>
    <s v="Low"/>
    <s v="3.0666666666666664"/>
    <n v="8.3333333333333301E-2"/>
    <n v="0"/>
  </r>
  <r>
    <s v="EMP0686"/>
    <x v="4"/>
    <s v="Account Manager"/>
    <n v="4.5999999999999996"/>
    <s v="G2"/>
    <n v="39"/>
    <s v="Bachelor"/>
    <s v="Chennai"/>
    <n v="6"/>
    <n v="3.3"/>
    <n v="8"/>
    <n v="3"/>
    <n v="12"/>
    <n v="0"/>
    <s v="Band B"/>
    <n v="39100"/>
    <n v="4.0999999999999996"/>
    <n v="2.4"/>
    <n v="1.3"/>
    <n v="0"/>
    <n v="3.8"/>
    <n v="2.8"/>
    <n v="1.6"/>
    <s v="No"/>
    <n v="0"/>
    <n v="0"/>
    <m/>
    <n v="1"/>
    <s v="Stayed"/>
    <m/>
    <n v="1"/>
    <n v="0"/>
    <s v="No Recorded Promotions"/>
    <s v="3â€“5 years"/>
    <s v="Low"/>
    <s v="2.733333333333333"/>
    <n v="0.5"/>
    <n v="0"/>
  </r>
  <r>
    <s v="EMP0687"/>
    <x v="1"/>
    <s v="HR Executive"/>
    <n v="4.0999999999999996"/>
    <s v="G3"/>
    <n v="36"/>
    <s v="Master"/>
    <s v="Coimbatore"/>
    <n v="3"/>
    <n v="17.399999999999999"/>
    <n v="14"/>
    <n v="3"/>
    <n v="12"/>
    <n v="0"/>
    <s v="Band C"/>
    <n v="59000"/>
    <n v="5.9"/>
    <n v="4.0999999999999996"/>
    <n v="1.3"/>
    <n v="0"/>
    <n v="3"/>
    <n v="2.4"/>
    <n v="4.9000000000000004"/>
    <s v="Yes"/>
    <n v="0"/>
    <n v="0"/>
    <m/>
    <n v="0"/>
    <s v="Stayed"/>
    <m/>
    <n v="1"/>
    <n v="0"/>
    <s v="No Recorded Promotions"/>
    <s v="3â€“5 years"/>
    <s v="Moderate"/>
    <s v="3.4333333333333336"/>
    <n v="0.25"/>
    <n v="0"/>
  </r>
  <r>
    <s v="EMP0688"/>
    <x v="2"/>
    <s v="Support Specialist"/>
    <n v="2.9"/>
    <s v="G1"/>
    <n v="22"/>
    <s v="Bachelor"/>
    <s v="Coimbatore"/>
    <n v="0"/>
    <n v="17.2"/>
    <n v="5"/>
    <n v="2"/>
    <n v="12"/>
    <n v="0"/>
    <s v="Band A"/>
    <n v="27200"/>
    <n v="10.9"/>
    <n v="4.5999999999999996"/>
    <n v="1.1000000000000001"/>
    <n v="0"/>
    <n v="4.5"/>
    <n v="3.6"/>
    <n v="3.1"/>
    <s v="Yes"/>
    <n v="0"/>
    <n v="0"/>
    <m/>
    <n v="0"/>
    <s v="Stayed"/>
    <m/>
    <n v="1"/>
    <n v="0"/>
    <s v="No Recorded Promotions"/>
    <s v="1â€“3 years"/>
    <s v="Moderate"/>
    <s v="3.733333333333333"/>
    <n v="0"/>
    <n v="0"/>
  </r>
  <r>
    <s v="EMP0689"/>
    <x v="0"/>
    <s v="Team Lead"/>
    <n v="5"/>
    <s v="G4"/>
    <n v="28"/>
    <s v="Master"/>
    <s v="Chennai"/>
    <n v="5"/>
    <n v="9.3000000000000007"/>
    <n v="6"/>
    <n v="0"/>
    <n v="12"/>
    <n v="0"/>
    <s v="Band D"/>
    <n v="80100"/>
    <n v="11.5"/>
    <n v="4.9000000000000004"/>
    <n v="2.2000000000000002"/>
    <n v="0"/>
    <n v="3.8"/>
    <n v="4.3"/>
    <n v="3.4"/>
    <s v="Yes"/>
    <n v="1"/>
    <n v="1"/>
    <n v="2.5"/>
    <n v="0"/>
    <s v="Stayed"/>
    <m/>
    <n v="0"/>
    <n v="0"/>
    <s v="Promoted"/>
    <s v="3â€“5 years"/>
    <s v="Low"/>
    <s v="3.8333333333333335"/>
    <s v="0.4166666666666667"/>
    <n v="0"/>
  </r>
  <r>
    <s v="EMP0690"/>
    <x v="5"/>
    <s v="Finance Manager"/>
    <n v="2.2000000000000002"/>
    <s v="G1"/>
    <n v="26"/>
    <s v="Master"/>
    <s v="Coimbatore"/>
    <n v="3"/>
    <n v="27.8"/>
    <n v="4"/>
    <n v="1"/>
    <n v="12"/>
    <n v="0"/>
    <s v="Band A"/>
    <n v="28400"/>
    <n v="10.7"/>
    <n v="2.4"/>
    <n v="0"/>
    <n v="0"/>
    <n v="3.1"/>
    <n v="4.8"/>
    <n v="2.4"/>
    <s v="Yes"/>
    <n v="0"/>
    <n v="0"/>
    <m/>
    <n v="0"/>
    <s v="Stayed"/>
    <m/>
    <n v="1"/>
    <n v="0"/>
    <s v="No Recorded Promotions"/>
    <s v="1â€“3 years"/>
    <s v="High"/>
    <s v="3.4333333333333336"/>
    <n v="0.25"/>
    <n v="0"/>
  </r>
  <r>
    <s v="EMP0691"/>
    <x v="4"/>
    <s v="Sales Manager"/>
    <n v="1.3"/>
    <s v="G4"/>
    <n v="27"/>
    <s v="Bachelor"/>
    <s v="Bengaluru"/>
    <n v="5"/>
    <n v="1.7"/>
    <n v="9"/>
    <n v="0"/>
    <n v="12"/>
    <n v="0"/>
    <s v="Band C"/>
    <n v="73400"/>
    <n v="5.3"/>
    <n v="2.6"/>
    <n v="2.2000000000000002"/>
    <n v="0"/>
    <n v="4.5"/>
    <n v="1"/>
    <n v="2.4"/>
    <s v="Yes"/>
    <n v="0"/>
    <n v="0"/>
    <m/>
    <n v="0"/>
    <s v="Stayed"/>
    <m/>
    <n v="1"/>
    <n v="0"/>
    <s v="No Recorded Promotions"/>
    <s v="1â€“3 years"/>
    <s v="Low"/>
    <s v="2.6333333333333333"/>
    <s v="0.4166666666666667"/>
    <n v="0"/>
  </r>
  <r>
    <s v="EMP0692"/>
    <x v="2"/>
    <s v="Support Specialist"/>
    <n v="4"/>
    <s v="G1"/>
    <n v="30"/>
    <s v="Master"/>
    <s v="Chennai"/>
    <n v="3"/>
    <n v="7.1"/>
    <n v="10"/>
    <n v="2"/>
    <n v="12"/>
    <n v="0"/>
    <s v="Band A"/>
    <n v="32800"/>
    <n v="5.4"/>
    <n v="2.5"/>
    <n v="1.7"/>
    <n v="0"/>
    <n v="2.4"/>
    <n v="5"/>
    <n v="2.8"/>
    <s v="Yes"/>
    <n v="0"/>
    <n v="0"/>
    <m/>
    <n v="0"/>
    <s v="Stayed"/>
    <m/>
    <n v="1"/>
    <n v="0"/>
    <s v="No Recorded Promotions"/>
    <s v="3â€“5 years"/>
    <s v="Low"/>
    <n v="3.4"/>
    <n v="0.25"/>
    <n v="0"/>
  </r>
  <r>
    <s v="EMP0693"/>
    <x v="3"/>
    <s v="Data Analyst"/>
    <n v="6.4"/>
    <s v="G5"/>
    <n v="44"/>
    <s v="Bachelor"/>
    <s v="Chennai"/>
    <n v="3"/>
    <n v="15.4"/>
    <n v="11"/>
    <n v="2"/>
    <n v="12"/>
    <n v="0"/>
    <s v="Band D"/>
    <n v="98500"/>
    <n v="15.8"/>
    <n v="2.2999999999999998"/>
    <n v="1.6"/>
    <n v="0"/>
    <n v="2.8"/>
    <n v="3.6"/>
    <n v="3.9"/>
    <s v="Yes"/>
    <n v="0"/>
    <n v="0"/>
    <m/>
    <n v="0"/>
    <s v="Left"/>
    <d v="2024-04-04T00:00:00"/>
    <n v="1"/>
    <n v="0"/>
    <s v="No Recorded Promotions"/>
    <s v="5+ years"/>
    <s v="Moderate"/>
    <s v="3.4333333333333336"/>
    <n v="0.25"/>
    <n v="1"/>
  </r>
  <r>
    <s v="EMP0694"/>
    <x v="4"/>
    <s v="Account Manager"/>
    <n v="1.1000000000000001"/>
    <s v="G3"/>
    <n v="23"/>
    <s v="Bachelor"/>
    <s v="Hyderabad"/>
    <n v="1"/>
    <n v="3.7"/>
    <n v="10"/>
    <n v="6"/>
    <n v="12"/>
    <n v="0"/>
    <s v="Band B"/>
    <n v="42900"/>
    <n v="4.7"/>
    <n v="2.2999999999999998"/>
    <n v="0.1"/>
    <n v="0"/>
    <n v="3.8"/>
    <n v="4"/>
    <n v="3"/>
    <s v="Yes"/>
    <n v="0"/>
    <n v="1"/>
    <n v="0.6"/>
    <n v="2"/>
    <s v="Stayed"/>
    <m/>
    <n v="0"/>
    <n v="0"/>
    <s v="Promoted"/>
    <s v="1â€“3 years"/>
    <s v="Low"/>
    <n v="3.6"/>
    <n v="8.3333333333333301E-2"/>
    <n v="0"/>
  </r>
  <r>
    <s v="EMP0695"/>
    <x v="2"/>
    <s v="Support Team Lead"/>
    <n v="2.4"/>
    <s v="G1"/>
    <n v="29"/>
    <s v="Master"/>
    <s v="Remote"/>
    <n v="3"/>
    <n v="18.7"/>
    <n v="8"/>
    <n v="1"/>
    <n v="12"/>
    <n v="0"/>
    <s v="Band A"/>
    <n v="27300"/>
    <n v="13.7"/>
    <n v="2.7"/>
    <n v="3.2"/>
    <n v="0"/>
    <n v="4"/>
    <n v="1.6"/>
    <n v="3.1"/>
    <s v="No"/>
    <n v="0"/>
    <n v="0"/>
    <m/>
    <n v="0"/>
    <s v="Stayed"/>
    <m/>
    <n v="1"/>
    <n v="0"/>
    <s v="No Recorded Promotions"/>
    <s v="1â€“3 years"/>
    <s v="Moderate"/>
    <n v="2.9"/>
    <n v="0.25"/>
    <n v="0"/>
  </r>
  <r>
    <s v="EMP0696"/>
    <x v="5"/>
    <s v="Financial Analyst"/>
    <n v="3.8"/>
    <s v="G1"/>
    <n v="32"/>
    <s v="Bachelor"/>
    <s v="Coimbatore"/>
    <n v="2"/>
    <n v="22.7"/>
    <n v="9"/>
    <n v="2"/>
    <n v="12"/>
    <n v="0"/>
    <s v="Band A"/>
    <n v="25900"/>
    <n v="9.6"/>
    <n v="4"/>
    <n v="1"/>
    <n v="0"/>
    <n v="3.6"/>
    <n v="3"/>
    <n v="2.8"/>
    <s v="Yes"/>
    <n v="0"/>
    <n v="0"/>
    <m/>
    <n v="0"/>
    <s v="Stayed"/>
    <m/>
    <n v="1"/>
    <n v="0"/>
    <s v="No Recorded Promotions"/>
    <s v="3â€“5 years"/>
    <s v="High"/>
    <s v="3.133333333333333"/>
    <s v="0.16666666666666666"/>
    <n v="0"/>
  </r>
  <r>
    <s v="EMP0697"/>
    <x v="0"/>
    <s v="Operations Associate"/>
    <n v="3.8"/>
    <s v="G1"/>
    <n v="30"/>
    <s v="Bachelor"/>
    <s v="Chennai"/>
    <n v="1"/>
    <n v="0.4"/>
    <n v="12"/>
    <n v="1"/>
    <n v="12"/>
    <n v="0"/>
    <s v="Band A"/>
    <n v="21400"/>
    <n v="5.0999999999999996"/>
    <n v="2.6"/>
    <n v="1"/>
    <n v="0"/>
    <n v="3.2"/>
    <n v="3.9"/>
    <n v="4.3"/>
    <s v="Yes"/>
    <n v="0"/>
    <n v="0"/>
    <m/>
    <n v="0"/>
    <s v="Stayed"/>
    <m/>
    <n v="1"/>
    <n v="0"/>
    <s v="No Recorded Promotions"/>
    <s v="3â€“5 years"/>
    <s v="Low"/>
    <s v="3.7999999999999994"/>
    <n v="8.3333333333333301E-2"/>
    <n v="0"/>
  </r>
  <r>
    <s v="EMP0698"/>
    <x v="5"/>
    <s v="Financial Analyst"/>
    <n v="5.4"/>
    <s v="G3"/>
    <n v="32"/>
    <s v="Bachelor"/>
    <s v="Chennai"/>
    <n v="0"/>
    <n v="28.5"/>
    <n v="4"/>
    <n v="2"/>
    <n v="12"/>
    <n v="0"/>
    <s v="Band C"/>
    <n v="54000"/>
    <n v="3.3"/>
    <n v="4.0999999999999996"/>
    <n v="0.5"/>
    <n v="0"/>
    <n v="3.1"/>
    <n v="2.1"/>
    <n v="3.4"/>
    <s v="Yes"/>
    <n v="1"/>
    <n v="2"/>
    <n v="4.9000000000000004"/>
    <n v="1"/>
    <s v="Stayed"/>
    <m/>
    <n v="0"/>
    <n v="0"/>
    <s v="Promoted"/>
    <s v="5+ years"/>
    <s v="High"/>
    <s v="2.8666666666666667"/>
    <n v="0"/>
    <n v="0"/>
  </r>
  <r>
    <s v="EMP0699"/>
    <x v="0"/>
    <s v="Operations Associate"/>
    <n v="11.6"/>
    <s v="G4"/>
    <n v="33"/>
    <s v="Bachelor"/>
    <s v="Chennai"/>
    <n v="7"/>
    <n v="14.7"/>
    <n v="13"/>
    <n v="0"/>
    <n v="12"/>
    <n v="0"/>
    <s v="Band D"/>
    <n v="82000"/>
    <n v="5.2"/>
    <n v="4.4000000000000004"/>
    <n v="0.6"/>
    <n v="0"/>
    <n v="4.3"/>
    <n v="1"/>
    <n v="3"/>
    <s v="Yes"/>
    <n v="0"/>
    <n v="1"/>
    <n v="10.7"/>
    <n v="0"/>
    <s v="Stayed"/>
    <m/>
    <n v="0"/>
    <n v="0"/>
    <s v="Promoted"/>
    <s v="5+ years"/>
    <s v="Moderate"/>
    <s v="2.766666666666667"/>
    <s v="0.5833333333333334"/>
    <n v="0"/>
  </r>
  <r>
    <s v="EMP0700"/>
    <x v="4"/>
    <s v="Sales Executive"/>
    <n v="0.4"/>
    <s v="G2"/>
    <n v="27"/>
    <s v="Master"/>
    <s v="Coimbatore"/>
    <n v="2"/>
    <n v="6.4"/>
    <n v="16"/>
    <n v="0"/>
    <n v="12"/>
    <n v="0"/>
    <s v="Band B"/>
    <n v="42700"/>
    <n v="9.6999999999999993"/>
    <n v="3.5"/>
    <n v="0.1"/>
    <n v="0"/>
    <n v="3.5"/>
    <n v="3.5"/>
    <n v="3.4"/>
    <s v="Yes"/>
    <n v="1"/>
    <n v="0"/>
    <m/>
    <n v="1"/>
    <s v="Stayed"/>
    <m/>
    <n v="1"/>
    <n v="0"/>
    <s v="No Recorded Promotions"/>
    <s v="0â€“1 years"/>
    <s v="Low"/>
    <s v="3.466666666666667"/>
    <s v="0.16666666666666666"/>
    <n v="0"/>
  </r>
  <r>
    <s v="EMP0701"/>
    <x v="4"/>
    <s v="Sales Manager"/>
    <n v="12"/>
    <s v="G2"/>
    <n v="40"/>
    <s v="Diploma"/>
    <s v="Remote"/>
    <n v="3"/>
    <n v="2.2999999999999998"/>
    <n v="11"/>
    <n v="4"/>
    <n v="12"/>
    <n v="0"/>
    <s v="Band B"/>
    <n v="37700"/>
    <n v="4.4000000000000004"/>
    <n v="4.3"/>
    <n v="1.5"/>
    <n v="0"/>
    <n v="2.5"/>
    <n v="3.3"/>
    <n v="3.2"/>
    <s v="Yes"/>
    <n v="1"/>
    <n v="0"/>
    <m/>
    <n v="0"/>
    <s v="Stayed"/>
    <m/>
    <n v="1"/>
    <n v="0"/>
    <s v="No Recorded Promotions"/>
    <s v="5+ years"/>
    <s v="Low"/>
    <n v="3"/>
    <n v="0.25"/>
    <n v="0"/>
  </r>
  <r>
    <s v="EMP0702"/>
    <x v="4"/>
    <s v="Sales Manager"/>
    <n v="11.3"/>
    <s v="G3"/>
    <n v="39"/>
    <s v="Bachelor"/>
    <s v="Bengaluru"/>
    <n v="1"/>
    <n v="20.5"/>
    <n v="6"/>
    <n v="1"/>
    <n v="12"/>
    <n v="0"/>
    <s v="Band C"/>
    <n v="59900"/>
    <n v="14.2"/>
    <n v="2"/>
    <n v="0.8"/>
    <n v="0"/>
    <n v="2.5"/>
    <n v="4.5"/>
    <n v="3.1"/>
    <s v="Yes"/>
    <n v="0"/>
    <n v="2"/>
    <n v="8"/>
    <n v="0"/>
    <s v="Stayed"/>
    <m/>
    <n v="0"/>
    <n v="0"/>
    <s v="Promoted"/>
    <s v="5+ years"/>
    <s v="High"/>
    <s v="3.3666666666666667"/>
    <n v="8.3333333333333301E-2"/>
    <n v="0"/>
  </r>
  <r>
    <s v="EMP0703"/>
    <x v="3"/>
    <s v="Software Engineer"/>
    <n v="6.8"/>
    <s v="G3"/>
    <n v="35"/>
    <s v="Bachelor"/>
    <s v="Chennai"/>
    <n v="5"/>
    <n v="3.2"/>
    <n v="15"/>
    <n v="3"/>
    <n v="12"/>
    <n v="0"/>
    <s v="Band C"/>
    <n v="63300"/>
    <n v="7.2"/>
    <n v="2.7"/>
    <n v="2.8"/>
    <n v="0"/>
    <n v="4.7"/>
    <n v="3.1"/>
    <n v="3.4"/>
    <s v="Yes"/>
    <n v="0"/>
    <n v="1"/>
    <n v="3.5"/>
    <n v="0"/>
    <s v="Stayed"/>
    <m/>
    <n v="0"/>
    <n v="0"/>
    <s v="Promoted"/>
    <s v="5+ years"/>
    <s v="Low"/>
    <s v="3.733333333333334"/>
    <s v="0.4166666666666667"/>
    <n v="0"/>
  </r>
  <r>
    <s v="EMP0704"/>
    <x v="2"/>
    <s v="Support Team Lead"/>
    <n v="4.4000000000000004"/>
    <s v="G3"/>
    <n v="36"/>
    <s v="Master"/>
    <s v="Remote"/>
    <n v="2"/>
    <n v="14.7"/>
    <n v="7"/>
    <n v="2"/>
    <n v="12"/>
    <n v="0"/>
    <s v="Band C"/>
    <n v="50200"/>
    <n v="10.8"/>
    <n v="3.4"/>
    <n v="1.9"/>
    <n v="0"/>
    <n v="2.7"/>
    <n v="3.1"/>
    <n v="3.9"/>
    <s v="Yes"/>
    <n v="0"/>
    <n v="0"/>
    <m/>
    <n v="0"/>
    <s v="Stayed"/>
    <m/>
    <n v="1"/>
    <n v="0"/>
    <s v="No Recorded Promotions"/>
    <s v="3â€“5 years"/>
    <s v="Moderate"/>
    <s v="3.233333333333334"/>
    <s v="0.16666666666666666"/>
    <n v="0"/>
  </r>
  <r>
    <s v="EMP0705"/>
    <x v="4"/>
    <s v="Sales Executive"/>
    <n v="2.2000000000000002"/>
    <s v="G2"/>
    <n v="32"/>
    <s v="Bachelor"/>
    <s v="Coimbatore"/>
    <n v="2"/>
    <n v="3.3"/>
    <n v="11"/>
    <n v="0"/>
    <n v="12"/>
    <n v="0"/>
    <s v="Band B"/>
    <n v="40600"/>
    <n v="10.5"/>
    <n v="3.4"/>
    <n v="1.6"/>
    <n v="0"/>
    <n v="3.5"/>
    <n v="3.8"/>
    <n v="2.7"/>
    <s v="Yes"/>
    <n v="0"/>
    <n v="0"/>
    <m/>
    <n v="0"/>
    <s v="Stayed"/>
    <m/>
    <n v="1"/>
    <n v="0"/>
    <s v="No Recorded Promotions"/>
    <s v="1â€“3 years"/>
    <s v="Low"/>
    <s v="3.3333333333333335"/>
    <s v="0.16666666666666666"/>
    <n v="0"/>
  </r>
  <r>
    <s v="EMP0706"/>
    <x v="5"/>
    <s v="Accountant"/>
    <n v="6.8"/>
    <s v="G3"/>
    <n v="33"/>
    <s v="Bachelor"/>
    <s v="Chennai"/>
    <n v="2"/>
    <n v="10.1"/>
    <n v="8"/>
    <n v="1"/>
    <n v="12"/>
    <n v="0"/>
    <s v="Band C"/>
    <n v="66400"/>
    <n v="14.5"/>
    <n v="4.5"/>
    <n v="0.9"/>
    <n v="0"/>
    <n v="4.5"/>
    <n v="4.0999999999999996"/>
    <n v="3.8"/>
    <s v="Yes"/>
    <n v="0"/>
    <n v="0"/>
    <m/>
    <n v="0"/>
    <s v="Stayed"/>
    <m/>
    <n v="1"/>
    <n v="0"/>
    <s v="No Recorded Promotions"/>
    <s v="5+ years"/>
    <s v="Moderate"/>
    <s v="4.133333333333333"/>
    <s v="0.16666666666666666"/>
    <n v="0"/>
  </r>
  <r>
    <s v="EMP0707"/>
    <x v="0"/>
    <s v="Operations Manager"/>
    <n v="4.5"/>
    <s v="G5"/>
    <n v="26"/>
    <s v="Bachelor"/>
    <s v="Coimbatore"/>
    <n v="4"/>
    <n v="19.899999999999999"/>
    <n v="15"/>
    <n v="1"/>
    <n v="12"/>
    <n v="0"/>
    <s v="Band D"/>
    <n v="76500"/>
    <n v="6.2"/>
    <n v="2.2999999999999998"/>
    <n v="1.1000000000000001"/>
    <n v="0"/>
    <n v="3.8"/>
    <n v="2.6"/>
    <n v="5"/>
    <s v="Yes"/>
    <n v="0"/>
    <n v="0"/>
    <m/>
    <n v="0"/>
    <s v="Stayed"/>
    <m/>
    <n v="1"/>
    <n v="0"/>
    <s v="No Recorded Promotions"/>
    <s v="3â€“5 years"/>
    <s v="Moderate"/>
    <s v="3.8000000000000003"/>
    <s v="0.3333333333333333"/>
    <n v="0"/>
  </r>
  <r>
    <s v="EMP0708"/>
    <x v="0"/>
    <s v="Operations Associate"/>
    <n v="2.9"/>
    <s v="G2"/>
    <n v="26"/>
    <s v="Bachelor"/>
    <s v="Chennai"/>
    <n v="2"/>
    <n v="6.5"/>
    <n v="11"/>
    <n v="5"/>
    <n v="12"/>
    <n v="0"/>
    <s v="Band B"/>
    <n v="39800"/>
    <n v="8.4"/>
    <n v="2.7"/>
    <n v="4.5"/>
    <n v="0"/>
    <n v="2.6"/>
    <n v="4.0999999999999996"/>
    <n v="3.5"/>
    <s v="Yes"/>
    <n v="0"/>
    <n v="1"/>
    <n v="1.9"/>
    <n v="0"/>
    <s v="Stayed"/>
    <m/>
    <n v="0"/>
    <n v="0"/>
    <s v="Promoted"/>
    <s v="1â€“3 years"/>
    <s v="Low"/>
    <n v="3.4"/>
    <s v="0.16666666666666666"/>
    <n v="0"/>
  </r>
  <r>
    <s v="EMP0709"/>
    <x v="1"/>
    <s v="HR Manager"/>
    <n v="6.6"/>
    <s v="G1"/>
    <n v="32"/>
    <s v="Master"/>
    <s v="Hyderabad"/>
    <n v="4"/>
    <n v="120"/>
    <n v="11"/>
    <n v="3"/>
    <n v="12"/>
    <n v="1"/>
    <s v="Band A"/>
    <n v="34100"/>
    <n v="2.4"/>
    <n v="3.1"/>
    <n v="0.9"/>
    <n v="0"/>
    <n v="2.4"/>
    <n v="2.7"/>
    <n v="3.4"/>
    <s v="No"/>
    <n v="0"/>
    <n v="0"/>
    <m/>
    <n v="0"/>
    <s v="Stayed"/>
    <m/>
    <n v="1"/>
    <n v="0"/>
    <s v="No Recorded Promotions"/>
    <s v="5+ years"/>
    <s v="Extreme"/>
    <s v="2.8333333333333335"/>
    <s v="0.3333333333333333"/>
    <n v="0"/>
  </r>
  <r>
    <s v="EMP0710"/>
    <x v="1"/>
    <s v="HR Manager"/>
    <n v="7.4"/>
    <s v="G1"/>
    <n v="34"/>
    <s v="Bachelor"/>
    <s v="Coimbatore"/>
    <n v="2"/>
    <n v="15.7"/>
    <n v="12"/>
    <n v="0"/>
    <n v="12"/>
    <n v="0"/>
    <s v="Band A"/>
    <n v="29000"/>
    <n v="8.4"/>
    <n v="2.7"/>
    <n v="1.1000000000000001"/>
    <n v="0"/>
    <n v="5"/>
    <n v="3.2"/>
    <n v="3.3"/>
    <s v="Yes"/>
    <n v="0"/>
    <n v="0"/>
    <m/>
    <n v="1"/>
    <s v="Stayed"/>
    <m/>
    <n v="1"/>
    <n v="0"/>
    <s v="No Recorded Promotions"/>
    <s v="5+ years"/>
    <s v="Moderate"/>
    <s v="3.8333333333333335"/>
    <s v="0.16666666666666666"/>
    <n v="0"/>
  </r>
  <r>
    <s v="EMP0711"/>
    <x v="2"/>
    <s v="Support Associate"/>
    <n v="9.1"/>
    <s v="G3"/>
    <n v="33"/>
    <s v="Bachelor"/>
    <s v="Bengaluru"/>
    <n v="3"/>
    <n v="3.8"/>
    <n v="10"/>
    <n v="1"/>
    <n v="12"/>
    <n v="0"/>
    <s v="Band C"/>
    <n v="67100"/>
    <n v="12.6"/>
    <n v="2.2999999999999998"/>
    <n v="0.5"/>
    <n v="0"/>
    <n v="2.4"/>
    <n v="3.8"/>
    <n v="3.8"/>
    <s v="Yes"/>
    <n v="0"/>
    <n v="0"/>
    <m/>
    <n v="1"/>
    <s v="Stayed"/>
    <m/>
    <n v="1"/>
    <n v="0"/>
    <s v="No Recorded Promotions"/>
    <s v="5+ years"/>
    <s v="Low"/>
    <s v="3.3333333333333335"/>
    <n v="0.25"/>
    <n v="0"/>
  </r>
  <r>
    <s v="EMP0712"/>
    <x v="0"/>
    <s v="Operations Associate"/>
    <n v="2"/>
    <s v="G2"/>
    <n v="24"/>
    <s v="Master"/>
    <s v="Coimbatore"/>
    <n v="1"/>
    <n v="2.5"/>
    <n v="9"/>
    <n v="2"/>
    <n v="12"/>
    <n v="0"/>
    <s v="Band B"/>
    <n v="40900"/>
    <n v="8.9"/>
    <n v="2.8"/>
    <n v="1"/>
    <n v="0"/>
    <n v="2.8"/>
    <n v="4"/>
    <n v="2.1"/>
    <s v="Yes"/>
    <n v="0"/>
    <n v="0"/>
    <m/>
    <n v="1"/>
    <s v="Stayed"/>
    <m/>
    <n v="1"/>
    <n v="0"/>
    <s v="No Recorded Promotions"/>
    <s v="1â€“3 years"/>
    <s v="Low"/>
    <s v="2.966666666666667"/>
    <n v="8.3333333333333301E-2"/>
    <n v="0"/>
  </r>
  <r>
    <s v="EMP0713"/>
    <x v="0"/>
    <s v="Operations Manager"/>
    <n v="8.4"/>
    <s v="G5"/>
    <n v="30"/>
    <s v="Bachelor"/>
    <s v="Remote"/>
    <n v="2"/>
    <n v="4.9000000000000004"/>
    <n v="13"/>
    <n v="2"/>
    <n v="12"/>
    <n v="0"/>
    <s v="Band E"/>
    <n v="126200"/>
    <n v="17.3"/>
    <n v="3"/>
    <n v="1.4"/>
    <n v="0"/>
    <n v="3.6"/>
    <n v="3.5"/>
    <n v="4.8"/>
    <s v="Yes"/>
    <n v="0"/>
    <n v="0"/>
    <m/>
    <n v="0"/>
    <s v="Stayed"/>
    <m/>
    <n v="1"/>
    <n v="0"/>
    <s v="No Recorded Promotions"/>
    <s v="5+ years"/>
    <s v="Low"/>
    <s v="3.9666666666666663"/>
    <s v="0.16666666666666666"/>
    <n v="0"/>
  </r>
  <r>
    <s v="EMP0714"/>
    <x v="2"/>
    <s v="Support Specialist"/>
    <n v="3"/>
    <s v="G3"/>
    <n v="22"/>
    <s v="Bachelor"/>
    <s v="Bengaluru"/>
    <n v="3"/>
    <n v="9.6999999999999993"/>
    <n v="5"/>
    <n v="1"/>
    <n v="12"/>
    <n v="0"/>
    <s v="Band C"/>
    <n v="56500"/>
    <n v="10.1"/>
    <n v="4.5"/>
    <n v="0.5"/>
    <n v="0"/>
    <n v="3.1"/>
    <n v="2.2000000000000002"/>
    <n v="4.2"/>
    <s v="Yes"/>
    <n v="0"/>
    <n v="0"/>
    <m/>
    <n v="0"/>
    <s v="Stayed"/>
    <m/>
    <n v="1"/>
    <n v="0"/>
    <s v="No Recorded Promotions"/>
    <s v="1â€“3 years"/>
    <s v="Low"/>
    <s v="3.1666666666666665"/>
    <n v="0.25"/>
    <n v="0"/>
  </r>
  <r>
    <s v="EMP0715"/>
    <x v="0"/>
    <s v="Team Lead"/>
    <n v="4.4000000000000004"/>
    <s v="G3"/>
    <n v="29"/>
    <s v="Bachelor"/>
    <s v="Coimbatore"/>
    <n v="5"/>
    <n v="30.2"/>
    <n v="4"/>
    <n v="2"/>
    <n v="12"/>
    <n v="0"/>
    <s v="Band C"/>
    <n v="65800"/>
    <n v="5.8"/>
    <n v="2.2999999999999998"/>
    <n v="0.1"/>
    <n v="0"/>
    <n v="3.8"/>
    <n v="1.5"/>
    <n v="2.9"/>
    <s v="Yes"/>
    <n v="0"/>
    <n v="0"/>
    <m/>
    <n v="0"/>
    <s v="Left"/>
    <d v="2026-02-05T00:00:00"/>
    <n v="1"/>
    <n v="0"/>
    <s v="No Recorded Promotions"/>
    <s v="3â€“5 years"/>
    <s v="High"/>
    <s v="2.733333333333333"/>
    <s v="0.4166666666666667"/>
    <n v="1"/>
  </r>
  <r>
    <s v="EMP0716"/>
    <x v="3"/>
    <s v="Senior Software Engineer"/>
    <n v="5"/>
    <s v="G4"/>
    <n v="25"/>
    <s v="Bachelor"/>
    <s v="Chennai"/>
    <n v="1"/>
    <n v="34.200000000000003"/>
    <n v="11"/>
    <n v="0"/>
    <n v="12"/>
    <n v="0"/>
    <s v="Band D"/>
    <n v="75800"/>
    <n v="9.8000000000000007"/>
    <n v="3.9"/>
    <n v="1.1000000000000001"/>
    <n v="0"/>
    <n v="2"/>
    <n v="3"/>
    <n v="3.4"/>
    <s v="Yes"/>
    <n v="0"/>
    <n v="0"/>
    <m/>
    <n v="0"/>
    <s v="Stayed"/>
    <m/>
    <n v="1"/>
    <n v="0"/>
    <s v="No Recorded Promotions"/>
    <s v="3â€“5 years"/>
    <s v="High"/>
    <s v="2.8000000000000003"/>
    <n v="8.3333333333333301E-2"/>
    <n v="0"/>
  </r>
  <r>
    <s v="EMP0717"/>
    <x v="5"/>
    <s v="Financial Analyst"/>
    <n v="7.9"/>
    <s v="G2"/>
    <n v="30"/>
    <s v="Master"/>
    <s v="Remote"/>
    <n v="4"/>
    <n v="6.3"/>
    <n v="7"/>
    <n v="1"/>
    <n v="12"/>
    <n v="0"/>
    <s v="Band A"/>
    <n v="34600"/>
    <n v="2.1"/>
    <n v="4.3"/>
    <n v="4"/>
    <n v="0"/>
    <n v="3.1"/>
    <n v="4.0999999999999996"/>
    <n v="3"/>
    <s v="Yes"/>
    <n v="0"/>
    <n v="2"/>
    <n v="4"/>
    <n v="0"/>
    <s v="Stayed"/>
    <m/>
    <n v="0"/>
    <n v="0"/>
    <s v="Promoted"/>
    <s v="5+ years"/>
    <s v="Low"/>
    <n v="3.4"/>
    <s v="0.3333333333333333"/>
    <n v="0"/>
  </r>
  <r>
    <s v="EMP0718"/>
    <x v="3"/>
    <s v="QA Engineer"/>
    <n v="6.2"/>
    <s v="G4"/>
    <n v="31"/>
    <s v="Master"/>
    <s v="Coimbatore"/>
    <n v="1"/>
    <n v="6.1"/>
    <n v="9"/>
    <n v="3"/>
    <n v="12"/>
    <n v="0"/>
    <s v="Band C"/>
    <n v="68800"/>
    <n v="4.8"/>
    <n v="2.7"/>
    <n v="1.3"/>
    <n v="0"/>
    <n v="3.9"/>
    <n v="3.6"/>
    <n v="3.6"/>
    <s v="Yes"/>
    <n v="0"/>
    <n v="1"/>
    <n v="5"/>
    <n v="0"/>
    <s v="Stayed"/>
    <m/>
    <n v="0"/>
    <n v="0"/>
    <s v="Promoted"/>
    <s v="5+ years"/>
    <s v="Low"/>
    <s v="3.6999999999999997"/>
    <n v="8.3333333333333301E-2"/>
    <n v="0"/>
  </r>
  <r>
    <s v="EMP0719"/>
    <x v="0"/>
    <s v="Team Lead"/>
    <n v="2.9"/>
    <s v="G1"/>
    <n v="24"/>
    <s v="Master"/>
    <s v="Chennai"/>
    <n v="5"/>
    <n v="17.7"/>
    <n v="6"/>
    <n v="0"/>
    <n v="12"/>
    <n v="0"/>
    <s v="Band A"/>
    <n v="31800"/>
    <n v="3.1"/>
    <n v="3.4"/>
    <n v="1.7"/>
    <n v="0"/>
    <n v="3.9"/>
    <n v="3.4"/>
    <n v="3.4"/>
    <s v="Yes"/>
    <n v="0"/>
    <n v="1"/>
    <n v="1.5"/>
    <n v="0"/>
    <s v="Stayed"/>
    <m/>
    <n v="0"/>
    <n v="0"/>
    <s v="Promoted"/>
    <s v="1â€“3 years"/>
    <s v="Moderate"/>
    <s v="3.5666666666666664"/>
    <s v="0.4166666666666667"/>
    <n v="0"/>
  </r>
  <r>
    <s v="EMP0720"/>
    <x v="2"/>
    <s v="Support Associate"/>
    <n v="0.4"/>
    <s v="G3"/>
    <n v="28"/>
    <s v="Master"/>
    <s v="Hyderabad"/>
    <n v="1"/>
    <n v="17.600000000000001"/>
    <n v="5"/>
    <n v="6"/>
    <n v="12"/>
    <n v="0"/>
    <s v="Band C"/>
    <n v="58200"/>
    <n v="8.1"/>
    <n v="3.7"/>
    <n v="1"/>
    <n v="0"/>
    <n v="2.8"/>
    <n v="3.2"/>
    <n v="3.6"/>
    <s v="Yes"/>
    <n v="0"/>
    <n v="1"/>
    <n v="0"/>
    <n v="0"/>
    <s v="Stayed"/>
    <m/>
    <n v="0"/>
    <n v="0"/>
    <s v="Promoted"/>
    <s v="0â€“1 years"/>
    <s v="Moderate"/>
    <s v="3.1999999999999997"/>
    <n v="8.3333333333333301E-2"/>
    <n v="0"/>
  </r>
  <r>
    <s v="EMP0721"/>
    <x v="5"/>
    <s v="Financial Analyst"/>
    <n v="5.4"/>
    <s v="G5"/>
    <n v="34"/>
    <s v="Bachelor"/>
    <s v="Chennai"/>
    <n v="2"/>
    <n v="25.2"/>
    <n v="8"/>
    <n v="6"/>
    <n v="12"/>
    <n v="0"/>
    <s v="Band D"/>
    <n v="96100"/>
    <n v="7.8"/>
    <n v="3.6"/>
    <n v="2"/>
    <n v="0"/>
    <n v="2.4"/>
    <n v="3.5"/>
    <n v="2.6"/>
    <s v="Yes"/>
    <n v="0"/>
    <n v="0"/>
    <m/>
    <n v="0"/>
    <s v="Stayed"/>
    <m/>
    <n v="1"/>
    <n v="0"/>
    <s v="No Recorded Promotions"/>
    <s v="5+ years"/>
    <s v="High"/>
    <s v="2.8333333333333335"/>
    <s v="0.16666666666666666"/>
    <n v="0"/>
  </r>
  <r>
    <s v="EMP0722"/>
    <x v="1"/>
    <s v="HR Manager"/>
    <n v="4.3"/>
    <s v="G4"/>
    <n v="28"/>
    <s v="Bachelor"/>
    <s v="Chennai"/>
    <n v="4"/>
    <n v="25.7"/>
    <n v="7"/>
    <n v="2"/>
    <n v="12"/>
    <n v="0"/>
    <s v="Band D"/>
    <n v="88100"/>
    <n v="12.8"/>
    <n v="3.3"/>
    <n v="2.5"/>
    <n v="0"/>
    <n v="3.5"/>
    <n v="2.2999999999999998"/>
    <n v="3"/>
    <s v="Yes"/>
    <n v="0"/>
    <n v="0"/>
    <m/>
    <n v="0"/>
    <s v="Stayed"/>
    <m/>
    <n v="1"/>
    <n v="0"/>
    <s v="No Recorded Promotions"/>
    <s v="3â€“5 years"/>
    <s v="High"/>
    <s v="2.9333333333333336"/>
    <s v="0.3333333333333333"/>
    <n v="0"/>
  </r>
  <r>
    <s v="EMP0723"/>
    <x v="3"/>
    <s v="Software Engineer"/>
    <n v="1.2"/>
    <s v="G4"/>
    <n v="25"/>
    <s v="Bachelor"/>
    <s v="Coimbatore"/>
    <n v="4"/>
    <n v="4.5999999999999996"/>
    <n v="13"/>
    <n v="3"/>
    <n v="12"/>
    <n v="0"/>
    <s v="Band C"/>
    <n v="67000"/>
    <n v="7.6"/>
    <n v="2.6"/>
    <n v="3.5"/>
    <n v="0"/>
    <n v="2.1"/>
    <n v="3.9"/>
    <n v="4.3"/>
    <s v="Yes"/>
    <n v="0"/>
    <n v="2"/>
    <n v="0.7"/>
    <n v="0"/>
    <s v="Stayed"/>
    <m/>
    <n v="0"/>
    <n v="0"/>
    <s v="Promoted"/>
    <s v="1â€“3 years"/>
    <s v="Low"/>
    <s v="3.4333333333333336"/>
    <s v="0.3333333333333333"/>
    <n v="0"/>
  </r>
  <r>
    <s v="EMP0724"/>
    <x v="2"/>
    <s v="Support Specialist"/>
    <n v="4.5999999999999996"/>
    <s v="G2"/>
    <n v="33"/>
    <s v="Master"/>
    <s v="Chennai"/>
    <n v="4"/>
    <n v="2"/>
    <n v="11"/>
    <n v="1"/>
    <n v="12"/>
    <n v="0"/>
    <s v="Band B"/>
    <n v="41700"/>
    <n v="4"/>
    <n v="3.8"/>
    <n v="4.3"/>
    <n v="0"/>
    <n v="4.5"/>
    <n v="4"/>
    <n v="3"/>
    <s v="Yes"/>
    <n v="0"/>
    <n v="2"/>
    <n v="2.8"/>
    <n v="0"/>
    <s v="Stayed"/>
    <m/>
    <n v="0"/>
    <n v="0"/>
    <s v="Promoted"/>
    <s v="3â€“5 years"/>
    <s v="Low"/>
    <s v="3.8333333333333335"/>
    <s v="0.3333333333333333"/>
    <n v="0"/>
  </r>
  <r>
    <s v="EMP0725"/>
    <x v="3"/>
    <s v="Data Analyst"/>
    <n v="3.8"/>
    <s v="G4"/>
    <n v="27"/>
    <s v="Master"/>
    <s v="Coimbatore"/>
    <n v="4"/>
    <n v="15.8"/>
    <n v="9"/>
    <n v="5"/>
    <n v="12"/>
    <n v="0"/>
    <s v="Band D"/>
    <n v="75600"/>
    <n v="14.2"/>
    <n v="2.9"/>
    <n v="1.8"/>
    <n v="0"/>
    <n v="3.4"/>
    <n v="2.9"/>
    <n v="1.3"/>
    <s v="Yes"/>
    <n v="0"/>
    <n v="2"/>
    <n v="0.8"/>
    <n v="1"/>
    <s v="Stayed"/>
    <m/>
    <n v="0"/>
    <n v="0"/>
    <s v="Promoted"/>
    <s v="3â€“5 years"/>
    <s v="Moderate"/>
    <s v="2.533333333333333"/>
    <s v="0.3333333333333333"/>
    <n v="0"/>
  </r>
  <r>
    <s v="EMP0726"/>
    <x v="3"/>
    <s v="QA Engineer"/>
    <n v="9.1"/>
    <s v="G3"/>
    <n v="32"/>
    <s v="Bachelor"/>
    <s v="Chennai"/>
    <n v="4"/>
    <n v="12"/>
    <n v="12"/>
    <n v="2"/>
    <n v="12"/>
    <n v="0"/>
    <s v="Band B"/>
    <n v="48400"/>
    <n v="0"/>
    <n v="3.2"/>
    <n v="3.5"/>
    <n v="0"/>
    <n v="2.7"/>
    <n v="3.6"/>
    <n v="3.3"/>
    <s v="Yes"/>
    <n v="0"/>
    <n v="1"/>
    <n v="4.0999999999999996"/>
    <n v="0"/>
    <s v="Stayed"/>
    <m/>
    <n v="0"/>
    <n v="0"/>
    <s v="Promoted"/>
    <s v="5+ years"/>
    <s v="Moderate"/>
    <s v="3.2000000000000006"/>
    <s v="0.3333333333333333"/>
    <n v="0"/>
  </r>
  <r>
    <s v="EMP0727"/>
    <x v="4"/>
    <s v="Sales Executive"/>
    <n v="12.5"/>
    <s v="G3"/>
    <n v="43"/>
    <s v="Master"/>
    <s v="Chennai"/>
    <n v="1"/>
    <n v="1.9"/>
    <n v="13"/>
    <n v="1"/>
    <n v="12"/>
    <n v="0"/>
    <s v="Band C"/>
    <n v="59400"/>
    <n v="8.1999999999999993"/>
    <n v="3.4"/>
    <n v="2.8"/>
    <n v="0"/>
    <n v="2.4"/>
    <n v="1.7"/>
    <n v="5"/>
    <s v="Yes"/>
    <n v="0"/>
    <n v="2"/>
    <n v="0.1"/>
    <n v="0"/>
    <s v="Stayed"/>
    <m/>
    <n v="0"/>
    <n v="0"/>
    <s v="Promoted"/>
    <s v="5+ years"/>
    <s v="Low"/>
    <s v="3.033333333333333"/>
    <n v="8.3333333333333301E-2"/>
    <n v="0"/>
  </r>
  <r>
    <s v="EMP0728"/>
    <x v="3"/>
    <s v="Software Engineer"/>
    <n v="7.3"/>
    <s v="G1"/>
    <n v="37"/>
    <s v="Master"/>
    <s v="Chennai"/>
    <n v="6"/>
    <n v="15.3"/>
    <n v="14"/>
    <n v="2"/>
    <n v="12"/>
    <n v="0"/>
    <s v="Band B"/>
    <n v="38900"/>
    <n v="8.9"/>
    <n v="4"/>
    <n v="2"/>
    <n v="0"/>
    <n v="2.7"/>
    <n v="3.3"/>
    <n v="4.0999999999999996"/>
    <s v="Yes"/>
    <n v="1"/>
    <n v="0"/>
    <m/>
    <n v="0"/>
    <s v="Stayed"/>
    <m/>
    <n v="1"/>
    <n v="0"/>
    <s v="No Recorded Promotions"/>
    <s v="5+ years"/>
    <s v="Moderate"/>
    <s v="3.3666666666666667"/>
    <n v="0.5"/>
    <n v="0"/>
  </r>
  <r>
    <s v="EMP0729"/>
    <x v="1"/>
    <s v="Recruiter"/>
    <n v="3.6"/>
    <s v="G1"/>
    <n v="32"/>
    <s v="Master"/>
    <s v="Chennai"/>
    <n v="7"/>
    <n v="84"/>
    <n v="14"/>
    <n v="1"/>
    <n v="12"/>
    <n v="1"/>
    <s v="Band A"/>
    <n v="25500"/>
    <n v="8"/>
    <n v="4.9000000000000004"/>
    <n v="1.3"/>
    <n v="0"/>
    <n v="1.9"/>
    <n v="3.1"/>
    <n v="2.9"/>
    <s v="Yes"/>
    <n v="0"/>
    <n v="0"/>
    <m/>
    <n v="0"/>
    <s v="Stayed"/>
    <m/>
    <n v="1"/>
    <n v="0"/>
    <s v="No Recorded Promotions"/>
    <s v="3â€“5 years"/>
    <s v="Extreme"/>
    <s v="2.6333333333333333"/>
    <s v="0.5833333333333334"/>
    <n v="0"/>
  </r>
  <r>
    <s v="EMP0730"/>
    <x v="5"/>
    <s v="Financial Analyst"/>
    <n v="4.0999999999999996"/>
    <s v="G3"/>
    <n v="34"/>
    <s v="Master"/>
    <s v="Remote"/>
    <n v="1"/>
    <n v="15.5"/>
    <n v="14"/>
    <n v="2"/>
    <n v="12"/>
    <n v="0"/>
    <s v="Band C"/>
    <n v="57700"/>
    <n v="10"/>
    <n v="2.5"/>
    <n v="0.1"/>
    <n v="0"/>
    <n v="3.7"/>
    <n v="4.3"/>
    <n v="3.4"/>
    <s v="Yes"/>
    <n v="0"/>
    <n v="0"/>
    <m/>
    <n v="1"/>
    <s v="Stayed"/>
    <m/>
    <n v="1"/>
    <n v="0"/>
    <s v="No Recorded Promotions"/>
    <s v="3â€“5 years"/>
    <s v="Moderate"/>
    <s v="3.8000000000000003"/>
    <n v="8.3333333333333301E-2"/>
    <n v="0"/>
  </r>
  <r>
    <s v="EMP0731"/>
    <x v="4"/>
    <s v="Sales Manager"/>
    <n v="2"/>
    <s v="G1"/>
    <n v="21"/>
    <s v="Bachelor"/>
    <s v="Bengaluru"/>
    <n v="6"/>
    <n v="3.5"/>
    <n v="12"/>
    <n v="4"/>
    <n v="12"/>
    <n v="0"/>
    <s v="Band A"/>
    <n v="24100"/>
    <n v="8.4"/>
    <n v="3.2"/>
    <n v="6.3"/>
    <n v="0"/>
    <n v="2.6"/>
    <n v="3"/>
    <n v="3.9"/>
    <s v="Yes"/>
    <n v="0"/>
    <n v="0"/>
    <m/>
    <n v="0"/>
    <s v="Stayed"/>
    <m/>
    <n v="1"/>
    <n v="0"/>
    <s v="No Recorded Promotions"/>
    <s v="1â€“3 years"/>
    <s v="Low"/>
    <s v="3.1666666666666665"/>
    <n v="0.5"/>
    <n v="0"/>
  </r>
  <r>
    <s v="EMP0732"/>
    <x v="3"/>
    <s v="QA Engineer"/>
    <n v="2.2999999999999998"/>
    <s v="G3"/>
    <n v="34"/>
    <s v="Bachelor"/>
    <s v="Coimbatore"/>
    <n v="2"/>
    <n v="16.399999999999999"/>
    <n v="8"/>
    <n v="2"/>
    <n v="12"/>
    <n v="0"/>
    <s v="Band B"/>
    <n v="46400"/>
    <n v="10"/>
    <n v="1.9"/>
    <n v="1.5"/>
    <n v="0"/>
    <n v="3.7"/>
    <n v="4"/>
    <n v="2"/>
    <s v="Yes"/>
    <n v="0"/>
    <n v="2"/>
    <n v="1.6"/>
    <n v="0"/>
    <s v="Stayed"/>
    <m/>
    <n v="0"/>
    <n v="0"/>
    <s v="Promoted"/>
    <s v="1â€“3 years"/>
    <s v="Moderate"/>
    <s v="3.233333333333333"/>
    <s v="0.16666666666666666"/>
    <n v="0"/>
  </r>
  <r>
    <s v="EMP0733"/>
    <x v="3"/>
    <s v="Data Analyst"/>
    <n v="3.5"/>
    <s v="G4"/>
    <n v="31"/>
    <s v="Bachelor"/>
    <s v="Coimbatore"/>
    <n v="5"/>
    <n v="13.1"/>
    <n v="8"/>
    <n v="2"/>
    <n v="12"/>
    <n v="0"/>
    <s v="Band C"/>
    <n v="59400"/>
    <n v="5.6"/>
    <n v="4.5"/>
    <n v="0.9"/>
    <n v="0"/>
    <n v="3.8"/>
    <n v="2.8"/>
    <n v="2.7"/>
    <s v="Yes"/>
    <n v="0"/>
    <n v="0"/>
    <m/>
    <n v="0"/>
    <s v="Stayed"/>
    <m/>
    <n v="1"/>
    <n v="0"/>
    <s v="No Recorded Promotions"/>
    <s v="3â€“5 years"/>
    <s v="Moderate"/>
    <n v="3.1"/>
    <s v="0.4166666666666667"/>
    <n v="0"/>
  </r>
  <r>
    <s v="EMP0734"/>
    <x v="4"/>
    <s v="Sales Exec."/>
    <n v="3.2"/>
    <s v="G5"/>
    <n v="33"/>
    <s v="Bachelor"/>
    <s v="Bengaluru"/>
    <n v="6"/>
    <n v="17.3"/>
    <n v="7"/>
    <n v="1"/>
    <n v="12"/>
    <n v="0"/>
    <s v="Band D"/>
    <n v="107600"/>
    <n v="2.2000000000000002"/>
    <n v="3.2"/>
    <n v="0.9"/>
    <n v="0"/>
    <n v="4.2"/>
    <n v="1.1000000000000001"/>
    <n v="3.7"/>
    <s v="Yes"/>
    <n v="0"/>
    <n v="3"/>
    <n v="2.8"/>
    <n v="1"/>
    <s v="Stayed"/>
    <m/>
    <n v="0"/>
    <n v="0"/>
    <s v="Promoted"/>
    <s v="3â€“5 years"/>
    <s v="Moderate"/>
    <n v="3"/>
    <n v="0.5"/>
    <n v="0"/>
  </r>
  <r>
    <s v="EMP0735"/>
    <x v="3"/>
    <s v="Senior Software Engineer"/>
    <n v="1.2"/>
    <s v="G1"/>
    <n v="29"/>
    <s v="Master"/>
    <s v="Chennai"/>
    <n v="4"/>
    <n v="6.7"/>
    <n v="9"/>
    <n v="1"/>
    <n v="12"/>
    <n v="0"/>
    <s v="Band A"/>
    <n v="25100"/>
    <n v="7.8"/>
    <n v="2.9"/>
    <n v="2.5"/>
    <n v="0"/>
    <n v="3.5"/>
    <n v="3"/>
    <n v="4.7"/>
    <s v="Yes"/>
    <n v="0"/>
    <n v="1"/>
    <n v="1.1000000000000001"/>
    <n v="1"/>
    <s v="Left"/>
    <d v="2026-06-18T00:00:00"/>
    <n v="0"/>
    <n v="0"/>
    <s v="Promoted"/>
    <s v="1â€“3 years"/>
    <s v="Low"/>
    <s v="3.733333333333333"/>
    <s v="0.3333333333333333"/>
    <n v="1"/>
  </r>
  <r>
    <s v="EMP0736"/>
    <x v="0"/>
    <s v="Operations Associate"/>
    <n v="9.1"/>
    <s v="G5"/>
    <n v="35"/>
    <s v="Bachelor"/>
    <s v="Chennai"/>
    <n v="1"/>
    <n v="5.5"/>
    <n v="14"/>
    <n v="4"/>
    <n v="12"/>
    <n v="0"/>
    <s v="Band E"/>
    <n v="121100"/>
    <n v="3.9"/>
    <n v="3.2"/>
    <n v="0.3"/>
    <n v="0"/>
    <n v="4.3"/>
    <n v="3.4"/>
    <n v="3"/>
    <s v="Yes"/>
    <n v="0"/>
    <n v="0"/>
    <m/>
    <n v="0"/>
    <s v="Stayed"/>
    <m/>
    <n v="1"/>
    <n v="0"/>
    <s v="No Recorded Promotions"/>
    <s v="5+ years"/>
    <s v="Low"/>
    <s v="3.5666666666666664"/>
    <n v="8.3333333333333301E-2"/>
    <n v="0"/>
  </r>
  <r>
    <s v="EMP0737"/>
    <x v="3"/>
    <s v="QA Engineer"/>
    <n v="10"/>
    <s v="G1"/>
    <n v="35"/>
    <s v="Bachelor"/>
    <s v="Bengaluru"/>
    <n v="1"/>
    <n v="2.2999999999999998"/>
    <n v="5"/>
    <n v="3"/>
    <n v="12"/>
    <n v="0"/>
    <s v="Band A"/>
    <n v="29400"/>
    <n v="5.0999999999999996"/>
    <n v="3.3"/>
    <n v="4"/>
    <n v="0"/>
    <n v="4.5"/>
    <n v="3.3"/>
    <n v="4.7"/>
    <s v="Yes"/>
    <n v="0"/>
    <n v="1"/>
    <n v="4.0999999999999996"/>
    <n v="0"/>
    <s v="Stayed"/>
    <m/>
    <n v="0"/>
    <n v="0"/>
    <s v="Promoted"/>
    <s v="5+ years"/>
    <s v="Low"/>
    <s v="4.166666666666667"/>
    <n v="8.3333333333333301E-2"/>
    <n v="0"/>
  </r>
  <r>
    <s v="EMP0738"/>
    <x v="4"/>
    <s v="Sales Executive"/>
    <n v="8.9"/>
    <s v="G2"/>
    <n v="36"/>
    <s v="Bachelor"/>
    <s v="Coimbatore"/>
    <n v="5"/>
    <n v="7.7"/>
    <n v="9"/>
    <n v="3"/>
    <n v="12"/>
    <n v="0"/>
    <s v="Band B"/>
    <n v="42600"/>
    <n v="12.6"/>
    <n v="2.5"/>
    <n v="1.8"/>
    <n v="0"/>
    <n v="3.5"/>
    <n v="3.3"/>
    <n v="2.8"/>
    <s v="Yes"/>
    <n v="0"/>
    <n v="0"/>
    <m/>
    <n v="0"/>
    <s v="Stayed"/>
    <m/>
    <n v="1"/>
    <n v="0"/>
    <s v="No Recorded Promotions"/>
    <s v="5+ years"/>
    <s v="Low"/>
    <s v="3.1999999999999997"/>
    <s v="0.4166666666666667"/>
    <n v="0"/>
  </r>
  <r>
    <s v="EMP0739"/>
    <x v="4"/>
    <s v="Account Manager"/>
    <n v="10.199999999999999"/>
    <s v="G4"/>
    <n v="35"/>
    <s v="Bachelor"/>
    <s v="Hyderabad"/>
    <n v="3"/>
    <n v="22"/>
    <n v="5"/>
    <n v="4"/>
    <n v="12"/>
    <n v="0"/>
    <s v="Band D"/>
    <n v="82500"/>
    <n v="14.2"/>
    <n v="4.3"/>
    <n v="0.7"/>
    <n v="0"/>
    <n v="3.6"/>
    <n v="2.7"/>
    <n v="1"/>
    <s v="Yes"/>
    <n v="0"/>
    <n v="2"/>
    <n v="8.1"/>
    <n v="0"/>
    <s v="Stayed"/>
    <m/>
    <n v="0"/>
    <n v="0"/>
    <s v="Promoted"/>
    <s v="5+ years"/>
    <s v="High"/>
    <s v="2.4333333333333336"/>
    <n v="0.25"/>
    <n v="0"/>
  </r>
  <r>
    <s v="EMP0740"/>
    <x v="4"/>
    <s v="Account Manager"/>
    <n v="14.8"/>
    <s v="G1"/>
    <n v="44"/>
    <s v="Bachelor"/>
    <s v="Hyderabad"/>
    <n v="2"/>
    <n v="26.5"/>
    <n v="11"/>
    <n v="2"/>
    <n v="12"/>
    <n v="0"/>
    <s v="Band A"/>
    <n v="26900"/>
    <n v="12.6"/>
    <n v="3.8"/>
    <n v="2.2000000000000002"/>
    <n v="0"/>
    <n v="3.3"/>
    <n v="2.9"/>
    <n v="4"/>
    <s v="Yes"/>
    <n v="1"/>
    <n v="0"/>
    <m/>
    <n v="0"/>
    <s v="Stayed"/>
    <m/>
    <n v="1"/>
    <n v="0"/>
    <s v="No Recorded Promotions"/>
    <s v="5+ years"/>
    <s v="High"/>
    <n v="3.4"/>
    <s v="0.16666666666666666"/>
    <n v="0"/>
  </r>
  <r>
    <s v="EMP0741"/>
    <x v="3"/>
    <s v="Software Engineer"/>
    <n v="2"/>
    <s v="G1"/>
    <n v="22"/>
    <s v="Bachelor"/>
    <s v="Hyderabad"/>
    <n v="2"/>
    <n v="3.2"/>
    <n v="11"/>
    <n v="0"/>
    <n v="12"/>
    <n v="0"/>
    <s v="Band A"/>
    <n v="28700"/>
    <n v="11.8"/>
    <n v="3.9"/>
    <n v="2.6"/>
    <n v="0"/>
    <n v="2.4"/>
    <n v="2.2000000000000002"/>
    <n v="3.8"/>
    <s v="Yes"/>
    <n v="0"/>
    <n v="0"/>
    <m/>
    <n v="0"/>
    <s v="Stayed"/>
    <m/>
    <n v="1"/>
    <n v="0"/>
    <s v="No Recorded Promotions"/>
    <s v="1â€“3 years"/>
    <s v="Low"/>
    <s v="2.7999999999999994"/>
    <s v="0.16666666666666666"/>
    <n v="0"/>
  </r>
  <r>
    <s v="EMP0742"/>
    <x v="3"/>
    <s v="Software Engineer"/>
    <n v="14.4"/>
    <s v="G1"/>
    <n v="38"/>
    <s v="Master"/>
    <s v="Chennai"/>
    <n v="3"/>
    <n v="9.6999999999999993"/>
    <n v="4"/>
    <n v="2"/>
    <n v="12"/>
    <n v="0"/>
    <s v="Band A"/>
    <n v="34600"/>
    <n v="8.1999999999999993"/>
    <n v="2.6"/>
    <n v="0.6"/>
    <n v="0"/>
    <n v="4.5"/>
    <n v="1.4"/>
    <n v="4"/>
    <s v="Yes"/>
    <n v="0"/>
    <n v="2"/>
    <n v="9.1999999999999993"/>
    <n v="0"/>
    <s v="Stayed"/>
    <m/>
    <n v="0"/>
    <n v="0"/>
    <s v="Promoted"/>
    <s v="5+ years"/>
    <s v="Low"/>
    <s v="3.3000000000000003"/>
    <n v="0.25"/>
    <n v="0"/>
  </r>
  <r>
    <s v="EMP0743"/>
    <x v="2"/>
    <s v="Support Specialist"/>
    <n v="2.9"/>
    <s v="G2"/>
    <n v="37"/>
    <s v="Bachelor"/>
    <s v="Chennai"/>
    <n v="4"/>
    <n v="30.5"/>
    <n v="10"/>
    <n v="0"/>
    <n v="12"/>
    <n v="0"/>
    <s v="Band B"/>
    <n v="43800"/>
    <n v="12.1"/>
    <n v="2.5"/>
    <n v="2.1"/>
    <n v="0"/>
    <n v="3.8"/>
    <n v="3.1"/>
    <n v="4"/>
    <s v="Yes"/>
    <n v="0"/>
    <n v="0"/>
    <m/>
    <n v="0"/>
    <s v="Stayed"/>
    <m/>
    <n v="1"/>
    <n v="0"/>
    <s v="No Recorded Promotions"/>
    <s v="1â€“3 years"/>
    <s v="High"/>
    <s v="3.6333333333333333"/>
    <s v="0.3333333333333333"/>
    <n v="0"/>
  </r>
  <r>
    <s v="EMP0744"/>
    <x v="3"/>
    <s v="Data Analyst"/>
    <n v="5.9"/>
    <s v="G4"/>
    <n v="29"/>
    <s v="Bachelor"/>
    <s v="Chennai"/>
    <n v="3"/>
    <n v="33.4"/>
    <n v="8"/>
    <n v="0"/>
    <n v="12"/>
    <n v="0"/>
    <s v="Band C"/>
    <n v="65600"/>
    <n v="9.4"/>
    <n v="3.1"/>
    <n v="1"/>
    <n v="0"/>
    <n v="3.9"/>
    <n v="2.5"/>
    <n v="3.6"/>
    <s v="Yes"/>
    <n v="0"/>
    <n v="0"/>
    <m/>
    <n v="0"/>
    <s v="Stayed"/>
    <m/>
    <n v="1"/>
    <n v="0"/>
    <s v="No Recorded Promotions"/>
    <s v="5+ years"/>
    <s v="High"/>
    <s v="3.3333333333333335"/>
    <n v="0.25"/>
    <n v="0"/>
  </r>
  <r>
    <s v="EMP0745"/>
    <x v="5"/>
    <s v="Accountant"/>
    <n v="0.9"/>
    <s v="G1"/>
    <n v="26"/>
    <s v="Bachelor"/>
    <s v="Hyderabad"/>
    <n v="1"/>
    <n v="7.5"/>
    <n v="7"/>
    <n v="0"/>
    <n v="12"/>
    <n v="0"/>
    <s v="Band A"/>
    <n v="25300"/>
    <n v="15.8"/>
    <n v="3.9"/>
    <n v="1"/>
    <n v="0"/>
    <n v="2.8"/>
    <n v="4.2"/>
    <n v="3.2"/>
    <s v="Yes"/>
    <n v="0"/>
    <n v="0"/>
    <m/>
    <n v="0"/>
    <s v="Stayed"/>
    <m/>
    <n v="1"/>
    <n v="0"/>
    <s v="No Recorded Promotions"/>
    <s v="0â€“1 years"/>
    <s v="Low"/>
    <n v="3.4"/>
    <n v="8.3333333333333301E-2"/>
    <n v="0"/>
  </r>
  <r>
    <s v="EMP0746"/>
    <x v="1"/>
    <s v="Recruiter"/>
    <n v="2.6"/>
    <s v="G1"/>
    <n v="25"/>
    <s v="Bachelor"/>
    <s v="Remote"/>
    <n v="4"/>
    <n v="23.5"/>
    <n v="7"/>
    <n v="3"/>
    <n v="12"/>
    <n v="0"/>
    <s v="Band A"/>
    <n v="30500"/>
    <n v="4.3"/>
    <n v="3.7"/>
    <n v="1.1000000000000001"/>
    <n v="0"/>
    <n v="4.8"/>
    <n v="1.2"/>
    <n v="3.2"/>
    <s v="Yes"/>
    <n v="0"/>
    <n v="1"/>
    <n v="2.4"/>
    <n v="0"/>
    <s v="Stayed"/>
    <m/>
    <n v="0"/>
    <n v="0"/>
    <s v="Promoted"/>
    <s v="1â€“3 years"/>
    <s v="High"/>
    <s v="3.0666666666666664"/>
    <s v="0.3333333333333333"/>
    <n v="0"/>
  </r>
  <r>
    <s v="EMP0747"/>
    <x v="4"/>
    <s v="Sales Executive"/>
    <n v="7.4"/>
    <s v="G3"/>
    <n v="35"/>
    <s v="Master"/>
    <s v="Remote"/>
    <n v="2"/>
    <n v="20.7"/>
    <n v="13"/>
    <n v="6"/>
    <n v="12"/>
    <n v="0"/>
    <s v="Band C"/>
    <n v="65700"/>
    <n v="10.7"/>
    <n v="2.5"/>
    <n v="0"/>
    <n v="0"/>
    <n v="3.1"/>
    <n v="3.5"/>
    <n v="3"/>
    <s v="Yes"/>
    <n v="0"/>
    <n v="0"/>
    <m/>
    <n v="1"/>
    <s v="Stayed"/>
    <m/>
    <n v="1"/>
    <n v="0"/>
    <s v="No Recorded Promotions"/>
    <s v="5+ years"/>
    <s v="High"/>
    <s v="3.1999999999999997"/>
    <s v="0.16666666666666666"/>
    <n v="0"/>
  </r>
  <r>
    <s v="EMP0748"/>
    <x v="1"/>
    <s v="HR Manager"/>
    <n v="6.1"/>
    <s v="G2"/>
    <n v="29"/>
    <s v="Master"/>
    <s v="Chennai"/>
    <n v="2"/>
    <n v="19.5"/>
    <n v="5"/>
    <n v="3"/>
    <n v="12"/>
    <n v="0"/>
    <s v="Band B"/>
    <n v="37500"/>
    <n v="2.9"/>
    <n v="3.8"/>
    <n v="3.2"/>
    <n v="0"/>
    <n v="2.6"/>
    <n v="5"/>
    <n v="3.4"/>
    <s v="Yes"/>
    <n v="1"/>
    <n v="1"/>
    <n v="4.2"/>
    <n v="0"/>
    <s v="Stayed"/>
    <m/>
    <n v="0"/>
    <n v="0"/>
    <s v="Promoted"/>
    <s v="5+ years"/>
    <s v="Moderate"/>
    <s v="3.6666666666666665"/>
    <s v="0.16666666666666666"/>
    <n v="0"/>
  </r>
  <r>
    <s v="EMP0749"/>
    <x v="0"/>
    <s v="Team Lead"/>
    <n v="2.8"/>
    <s v="G3"/>
    <n v="28"/>
    <s v="Diploma"/>
    <s v="Hyderabad"/>
    <n v="3"/>
    <n v="1.6"/>
    <n v="6"/>
    <n v="1"/>
    <n v="12"/>
    <n v="0"/>
    <s v="Band B"/>
    <n v="44800"/>
    <n v="10.7"/>
    <n v="2.2999999999999998"/>
    <n v="1"/>
    <n v="0"/>
    <n v="2.8"/>
    <n v="3"/>
    <n v="2"/>
    <s v="Yes"/>
    <n v="0"/>
    <n v="0"/>
    <m/>
    <n v="0"/>
    <s v="Left"/>
    <d v="2024-03-08T00:00:00"/>
    <n v="1"/>
    <n v="0"/>
    <s v="No Recorded Promotions"/>
    <s v="1â€“3 years"/>
    <s v="Low"/>
    <n v="2.6"/>
    <n v="0.25"/>
    <n v="1"/>
  </r>
  <r>
    <s v="EMP0750"/>
    <x v="2"/>
    <s v="Support Team Lead"/>
    <n v="4.0999999999999996"/>
    <s v="G5"/>
    <n v="33"/>
    <s v="Doctorate"/>
    <s v="Coimbatore"/>
    <n v="1"/>
    <n v="5.9"/>
    <n v="8"/>
    <n v="2"/>
    <n v="12"/>
    <n v="0"/>
    <s v="Band D"/>
    <n v="94300"/>
    <n v="1.1000000000000001"/>
    <n v="2.6"/>
    <n v="1"/>
    <n v="0"/>
    <n v="4.7"/>
    <n v="3.2"/>
    <n v="2.4"/>
    <s v="Yes"/>
    <n v="0"/>
    <n v="0"/>
    <m/>
    <n v="0"/>
    <s v="Stayed"/>
    <m/>
    <n v="1"/>
    <n v="0"/>
    <s v="No Recorded Promotions"/>
    <s v="3â€“5 years"/>
    <s v="Low"/>
    <s v="3.4333333333333336"/>
    <n v="8.3333333333333301E-2"/>
    <n v="0"/>
  </r>
  <r>
    <s v="EMP0751"/>
    <x v="4"/>
    <s v="Sales Executive"/>
    <n v="2.4"/>
    <s v="G3"/>
    <n v="26"/>
    <s v="Master"/>
    <s v="Hyderabad"/>
    <n v="3"/>
    <n v="8.8000000000000007"/>
    <n v="6"/>
    <n v="2"/>
    <n v="12"/>
    <n v="0"/>
    <s v="Band B"/>
    <n v="46000"/>
    <n v="3.1"/>
    <n v="3.3"/>
    <n v="3.6"/>
    <n v="0"/>
    <n v="2.2999999999999998"/>
    <n v="3.6"/>
    <n v="3.3"/>
    <s v="Yes"/>
    <n v="0"/>
    <n v="2"/>
    <n v="1.7"/>
    <n v="2"/>
    <s v="Stayed"/>
    <m/>
    <n v="0"/>
    <n v="0"/>
    <s v="Promoted"/>
    <s v="1â€“3 years"/>
    <s v="Low"/>
    <s v="3.0666666666666664"/>
    <n v="0.25"/>
    <n v="0"/>
  </r>
  <r>
    <s v="EMP0752"/>
    <x v="4"/>
    <s v="Sales Executive"/>
    <n v="7.4"/>
    <s v="G4"/>
    <n v="37"/>
    <s v="Bachelor"/>
    <s v="Coimbatore"/>
    <n v="4"/>
    <n v="8.6"/>
    <n v="8"/>
    <n v="3"/>
    <n v="12"/>
    <n v="0"/>
    <s v="Band D"/>
    <n v="79300"/>
    <n v="2.9"/>
    <n v="2.1"/>
    <n v="1.9"/>
    <n v="0"/>
    <n v="2.6"/>
    <n v="3.7"/>
    <n v="1.6"/>
    <s v="Yes"/>
    <n v="0"/>
    <n v="0"/>
    <m/>
    <n v="0"/>
    <s v="Stayed"/>
    <m/>
    <n v="1"/>
    <n v="0"/>
    <s v="No Recorded Promotions"/>
    <s v="5+ years"/>
    <s v="Low"/>
    <s v="2.6333333333333333"/>
    <s v="0.3333333333333333"/>
    <n v="0"/>
  </r>
  <r>
    <s v="EMP0753"/>
    <x v="4"/>
    <s v="Account Manager"/>
    <n v="9.5"/>
    <s v="G2"/>
    <n v="39"/>
    <s v="Bachelor"/>
    <s v="Chennai"/>
    <n v="6"/>
    <n v="9.6"/>
    <n v="10"/>
    <n v="2"/>
    <n v="12"/>
    <n v="0"/>
    <s v="Band B"/>
    <n v="36800"/>
    <n v="9"/>
    <n v="2.2999999999999998"/>
    <n v="0.6"/>
    <n v="0"/>
    <n v="5"/>
    <n v="2.8"/>
    <n v="1.8"/>
    <s v="No"/>
    <n v="0"/>
    <n v="1"/>
    <n v="3.6"/>
    <n v="0"/>
    <s v="Stayed"/>
    <m/>
    <n v="0"/>
    <n v="0"/>
    <s v="Promoted"/>
    <s v="5+ years"/>
    <s v="Low"/>
    <s v="3.1999999999999997"/>
    <n v="0.5"/>
    <n v="0"/>
  </r>
  <r>
    <s v="EMP0754"/>
    <x v="1"/>
    <s v="Recruiter"/>
    <n v="2"/>
    <s v="G4"/>
    <n v="32"/>
    <s v="Bachelor"/>
    <s v="Chennai"/>
    <n v="5"/>
    <n v="36"/>
    <n v="8"/>
    <n v="4"/>
    <n v="12"/>
    <n v="0"/>
    <s v="Band D"/>
    <n v="78200"/>
    <n v="9.4"/>
    <n v="4.5999999999999996"/>
    <n v="1.7"/>
    <n v="0"/>
    <n v="4.0999999999999996"/>
    <n v="2.2999999999999998"/>
    <n v="3.1"/>
    <s v="Yes"/>
    <n v="0"/>
    <n v="2"/>
    <n v="0.2"/>
    <n v="1"/>
    <s v="Stayed"/>
    <m/>
    <n v="0"/>
    <n v="0"/>
    <s v="Promoted"/>
    <s v="1â€“3 years"/>
    <s v="High"/>
    <s v="3.1666666666666665"/>
    <s v="0.4166666666666667"/>
    <n v="0"/>
  </r>
  <r>
    <s v="EMP0755"/>
    <x v="0"/>
    <s v="Operations Manager"/>
    <n v="3.8"/>
    <s v="G1"/>
    <n v="30"/>
    <s v="Master"/>
    <s v="Remote"/>
    <n v="2"/>
    <n v="7.7"/>
    <n v="8"/>
    <n v="1"/>
    <n v="12"/>
    <n v="0"/>
    <s v="Band A"/>
    <n v="29500"/>
    <n v="17.8"/>
    <n v="4.4000000000000004"/>
    <n v="2"/>
    <n v="0"/>
    <n v="2.6"/>
    <n v="3.8"/>
    <n v="3.3"/>
    <s v="Yes"/>
    <n v="0"/>
    <n v="2"/>
    <n v="3.1"/>
    <n v="0"/>
    <s v="Stayed"/>
    <m/>
    <n v="0"/>
    <n v="0"/>
    <s v="Promoted"/>
    <s v="3â€“5 years"/>
    <s v="Low"/>
    <s v="3.233333333333333"/>
    <s v="0.16666666666666666"/>
    <n v="0"/>
  </r>
  <r>
    <s v="EMP0756"/>
    <x v="3"/>
    <s v="Data Analyst"/>
    <n v="1.1000000000000001"/>
    <s v="G1"/>
    <n v="40"/>
    <s v="Bachelor"/>
    <s v="Coimbatore"/>
    <n v="4"/>
    <n v="13.6"/>
    <n v="10"/>
    <n v="1"/>
    <n v="12"/>
    <n v="0"/>
    <s v="Band A"/>
    <n v="31400"/>
    <n v="7.6"/>
    <n v="5"/>
    <n v="1.1000000000000001"/>
    <n v="0"/>
    <n v="2.2999999999999998"/>
    <n v="1.5"/>
    <n v="3.1"/>
    <s v="Yes"/>
    <n v="0"/>
    <n v="0"/>
    <m/>
    <n v="0"/>
    <s v="Stayed"/>
    <m/>
    <n v="1"/>
    <n v="0"/>
    <s v="No Recorded Promotions"/>
    <s v="1â€“3 years"/>
    <s v="Moderate"/>
    <s v="2.3000000000000003"/>
    <s v="0.3333333333333333"/>
    <n v="0"/>
  </r>
  <r>
    <s v="EMP0757"/>
    <x v="4"/>
    <s v="Sales Manager"/>
    <n v="4.5"/>
    <s v="G3"/>
    <n v="35"/>
    <s v="Bachelor"/>
    <s v="Chennai"/>
    <n v="3"/>
    <n v="13.3"/>
    <n v="12"/>
    <n v="2"/>
    <n v="12"/>
    <n v="0"/>
    <s v="Band B"/>
    <n v="38300"/>
    <n v="11.1"/>
    <n v="3.6"/>
    <n v="5.0999999999999996"/>
    <n v="0"/>
    <n v="1.8"/>
    <n v="3.9"/>
    <n v="1.5"/>
    <s v="Yes"/>
    <n v="0"/>
    <n v="2"/>
    <n v="0.6"/>
    <n v="0"/>
    <s v="Stayed"/>
    <m/>
    <n v="0"/>
    <n v="0"/>
    <s v="Promoted"/>
    <s v="3â€“5 years"/>
    <s v="Moderate"/>
    <n v="2.4"/>
    <n v="0.25"/>
    <n v="0"/>
  </r>
  <r>
    <s v="EMP0758"/>
    <x v="2"/>
    <s v="Support Specialist"/>
    <n v="5.5"/>
    <s v="G1"/>
    <n v="33"/>
    <s v="Master"/>
    <s v="Chennai"/>
    <n v="2"/>
    <n v="9.6999999999999993"/>
    <n v="4"/>
    <n v="2"/>
    <n v="12"/>
    <n v="0"/>
    <s v="Band A"/>
    <n v="23300"/>
    <n v="8.6"/>
    <n v="3.8"/>
    <n v="1.1000000000000001"/>
    <n v="0"/>
    <n v="3.4"/>
    <n v="2.8"/>
    <n v="4.5999999999999996"/>
    <s v="Yes"/>
    <n v="0"/>
    <n v="0"/>
    <m/>
    <n v="1"/>
    <s v="Stayed"/>
    <m/>
    <n v="1"/>
    <n v="0"/>
    <s v="No Recorded Promotions"/>
    <s v="5+ years"/>
    <s v="Low"/>
    <s v="3.5999999999999996"/>
    <s v="0.16666666666666666"/>
    <n v="0"/>
  </r>
  <r>
    <s v="EMP0759"/>
    <x v="3"/>
    <s v="Senior Software Engineer"/>
    <n v="4.8"/>
    <s v="G4"/>
    <n v="27"/>
    <s v="Master"/>
    <s v="Coimbatore"/>
    <n v="0"/>
    <n v="3.4"/>
    <n v="8"/>
    <n v="5"/>
    <n v="12"/>
    <n v="0"/>
    <s v="Band D"/>
    <n v="84300"/>
    <n v="10.8"/>
    <n v="3.1"/>
    <n v="1.3"/>
    <n v="0"/>
    <n v="4"/>
    <n v="3.2"/>
    <n v="2.2999999999999998"/>
    <s v="Yes"/>
    <n v="0"/>
    <n v="1"/>
    <n v="4.3"/>
    <n v="1"/>
    <s v="Stayed"/>
    <m/>
    <n v="0"/>
    <n v="0"/>
    <s v="Promoted"/>
    <s v="3â€“5 years"/>
    <s v="Low"/>
    <s v="3.1666666666666665"/>
    <n v="0"/>
    <n v="0"/>
  </r>
  <r>
    <s v="EMP0760"/>
    <x v="1"/>
    <s v="Recruiter"/>
    <n v="5.2"/>
    <s v="G3"/>
    <n v="31"/>
    <s v="Bachelor"/>
    <s v="Remote"/>
    <n v="2"/>
    <n v="10.8"/>
    <n v="14"/>
    <n v="3"/>
    <n v="12"/>
    <n v="0"/>
    <s v="Band B"/>
    <n v="49800"/>
    <n v="8.6"/>
    <n v="2.9"/>
    <n v="1.4"/>
    <n v="0"/>
    <n v="4.7"/>
    <n v="2.7"/>
    <n v="2.7"/>
    <s v="Yes"/>
    <n v="0"/>
    <n v="0"/>
    <m/>
    <n v="0"/>
    <s v="Stayed"/>
    <m/>
    <n v="1"/>
    <n v="0"/>
    <s v="No Recorded Promotions"/>
    <s v="5+ years"/>
    <s v="Moderate"/>
    <s v="3.366666666666667"/>
    <s v="0.16666666666666666"/>
    <n v="0"/>
  </r>
  <r>
    <s v="EMP0761"/>
    <x v="0"/>
    <s v="Operations Associate"/>
    <n v="3.5"/>
    <s v="G5"/>
    <n v="35"/>
    <s v="Master"/>
    <s v="Chennai"/>
    <n v="5"/>
    <n v="0.9"/>
    <n v="10"/>
    <n v="4"/>
    <n v="12"/>
    <n v="0"/>
    <s v="Band D"/>
    <n v="80000"/>
    <n v="12.4"/>
    <n v="4"/>
    <n v="2.5"/>
    <n v="0"/>
    <n v="1.6"/>
    <n v="4.5"/>
    <n v="2.4"/>
    <s v="Yes"/>
    <n v="0"/>
    <n v="0"/>
    <m/>
    <n v="1"/>
    <s v="Stayed"/>
    <m/>
    <n v="1"/>
    <n v="0"/>
    <s v="No Recorded Promotions"/>
    <s v="3â€“5 years"/>
    <s v="Low"/>
    <s v="2.8333333333333335"/>
    <s v="0.4166666666666667"/>
    <n v="0"/>
  </r>
  <r>
    <s v="EMP0762"/>
    <x v="3"/>
    <s v="Senior Software Engineer"/>
    <n v="3.5"/>
    <s v="G2"/>
    <n v="36"/>
    <s v="Bachelor"/>
    <s v="Chennai"/>
    <n v="5"/>
    <n v="14.7"/>
    <n v="17"/>
    <n v="2"/>
    <n v="12"/>
    <n v="0"/>
    <s v="Band B"/>
    <n v="37900"/>
    <n v="3.8"/>
    <n v="4.4000000000000004"/>
    <n v="0.5"/>
    <n v="0"/>
    <n v="2.1"/>
    <n v="3.4"/>
    <n v="4.4000000000000004"/>
    <s v="Yes"/>
    <n v="0"/>
    <n v="1"/>
    <n v="0"/>
    <n v="1"/>
    <s v="Stayed"/>
    <m/>
    <n v="0"/>
    <n v="0"/>
    <s v="Promoted"/>
    <s v="3â€“5 years"/>
    <s v="Moderate"/>
    <s v="3.3000000000000003"/>
    <s v="0.4166666666666667"/>
    <n v="0"/>
  </r>
  <r>
    <s v="EMP0763"/>
    <x v="3"/>
    <s v="Senior Software Engineer"/>
    <n v="3.4"/>
    <s v="G2"/>
    <n v="35"/>
    <s v="Master"/>
    <s v="Hyderabad"/>
    <n v="3"/>
    <n v="0.7"/>
    <n v="5"/>
    <n v="1"/>
    <n v="12"/>
    <n v="0"/>
    <s v="Band B"/>
    <n v="39900"/>
    <n v="0"/>
    <n v="3.9"/>
    <n v="2.8"/>
    <n v="0"/>
    <n v="3.2"/>
    <n v="2.9"/>
    <n v="3.7"/>
    <s v="Yes"/>
    <n v="0"/>
    <n v="0"/>
    <m/>
    <n v="0"/>
    <s v="Stayed"/>
    <m/>
    <n v="1"/>
    <n v="0"/>
    <s v="No Recorded Promotions"/>
    <s v="3â€“5 years"/>
    <s v="Low"/>
    <s v="3.266666666666667"/>
    <n v="0.25"/>
    <n v="0"/>
  </r>
  <r>
    <s v="EMP0764"/>
    <x v="3"/>
    <s v="Software Engineer"/>
    <n v="2.5"/>
    <s v="G3"/>
    <n v="32"/>
    <s v="Bachelor"/>
    <s v="Coimbatore"/>
    <n v="3"/>
    <n v="13.7"/>
    <n v="10"/>
    <n v="2"/>
    <n v="12"/>
    <n v="0"/>
    <s v="Band C"/>
    <n v="51400"/>
    <n v="9.6999999999999993"/>
    <n v="2.4"/>
    <n v="6.8"/>
    <n v="0"/>
    <n v="5"/>
    <n v="2.9"/>
    <n v="3"/>
    <s v="No"/>
    <n v="0"/>
    <n v="0"/>
    <m/>
    <n v="0"/>
    <s v="Stayed"/>
    <m/>
    <n v="1"/>
    <n v="0"/>
    <s v="No Recorded Promotions"/>
    <s v="1â€“3 years"/>
    <s v="Moderate"/>
    <s v="3.6333333333333333"/>
    <n v="0.25"/>
    <n v="0"/>
  </r>
  <r>
    <s v="EMP0765"/>
    <x v="2"/>
    <s v="Support Associate"/>
    <n v="2.8"/>
    <s v="G2"/>
    <n v="24"/>
    <s v="Bachelor"/>
    <s v="Chennai"/>
    <n v="3"/>
    <n v="5.7"/>
    <n v="11"/>
    <n v="4"/>
    <n v="12"/>
    <n v="0"/>
    <s v="Band B"/>
    <n v="40600"/>
    <n v="0.8"/>
    <n v="3.6"/>
    <n v="0.2"/>
    <n v="0"/>
    <n v="4.0999999999999996"/>
    <n v="3.1"/>
    <n v="3"/>
    <s v="Yes"/>
    <n v="0"/>
    <n v="1"/>
    <n v="2.7"/>
    <n v="1"/>
    <s v="Stayed"/>
    <m/>
    <n v="0"/>
    <n v="0"/>
    <s v="Promoted"/>
    <s v="1â€“3 years"/>
    <s v="Low"/>
    <n v="3.4"/>
    <n v="0.25"/>
    <n v="0"/>
  </r>
  <r>
    <s v="EMP0766"/>
    <x v="3"/>
    <s v="QA Engineer"/>
    <n v="5.4"/>
    <s v="G3"/>
    <n v="33"/>
    <s v="Doctorate"/>
    <s v="Chennai"/>
    <n v="3"/>
    <n v="3.9"/>
    <n v="11"/>
    <n v="3"/>
    <n v="12"/>
    <n v="0"/>
    <s v="Band C"/>
    <n v="56800"/>
    <n v="13.2"/>
    <n v="2.5"/>
    <n v="0.5"/>
    <n v="0"/>
    <n v="3.6"/>
    <n v="5"/>
    <n v="3.5"/>
    <s v="Yes"/>
    <n v="0"/>
    <n v="0"/>
    <m/>
    <n v="0"/>
    <s v="Stayed"/>
    <m/>
    <n v="1"/>
    <n v="0"/>
    <s v="No Recorded Promotions"/>
    <s v="5+ years"/>
    <s v="Low"/>
    <s v="4.033333333333333"/>
    <n v="0.25"/>
    <n v="0"/>
  </r>
  <r>
    <s v="EMP0767"/>
    <x v="3"/>
    <s v="Senior Software Engineer"/>
    <n v="9.1"/>
    <s v="G3"/>
    <n v="30"/>
    <s v="Bachelor"/>
    <s v="Chennai"/>
    <n v="4"/>
    <n v="17.899999999999999"/>
    <n v="5"/>
    <n v="1"/>
    <n v="12"/>
    <n v="0"/>
    <s v="Band C"/>
    <n v="59500"/>
    <n v="5.8"/>
    <n v="2.9"/>
    <n v="0.2"/>
    <n v="0"/>
    <n v="2.2000000000000002"/>
    <n v="2"/>
    <n v="2.4"/>
    <s v="Yes"/>
    <n v="0"/>
    <n v="0"/>
    <m/>
    <n v="1"/>
    <s v="Left"/>
    <d v="2026-08-03T00:00:00"/>
    <n v="1"/>
    <n v="0"/>
    <s v="No Recorded Promotions"/>
    <s v="5+ years"/>
    <s v="Moderate"/>
    <s v="2.1999999999999997"/>
    <s v="0.3333333333333333"/>
    <n v="1"/>
  </r>
  <r>
    <s v="EMP0768"/>
    <x v="3"/>
    <s v="Data Analyst"/>
    <n v="1.7"/>
    <s v="G5"/>
    <n v="22"/>
    <s v="Bachelor"/>
    <s v="Chennai"/>
    <n v="5"/>
    <n v="6.9"/>
    <n v="7"/>
    <n v="2"/>
    <n v="12"/>
    <n v="0"/>
    <s v="Band E"/>
    <n v="110400"/>
    <n v="3.8"/>
    <n v="4.7"/>
    <n v="0.1"/>
    <n v="0"/>
    <n v="1.4"/>
    <n v="4.2"/>
    <n v="3.7"/>
    <s v="Yes"/>
    <n v="0"/>
    <n v="1"/>
    <n v="1.4"/>
    <n v="1"/>
    <s v="Stayed"/>
    <m/>
    <n v="0"/>
    <n v="0"/>
    <s v="Promoted"/>
    <s v="1â€“3 years"/>
    <s v="Low"/>
    <n v="3.1"/>
    <s v="0.4166666666666667"/>
    <n v="0"/>
  </r>
  <r>
    <s v="EMP0769"/>
    <x v="3"/>
    <s v="Senior Software Engineer"/>
    <n v="3.5"/>
    <s v="G3"/>
    <n v="30"/>
    <s v="Bachelor"/>
    <s v="Chennai"/>
    <n v="1"/>
    <n v="10.3"/>
    <n v="16"/>
    <n v="2"/>
    <n v="12"/>
    <n v="0"/>
    <s v="Band C"/>
    <n v="53100"/>
    <n v="18.8"/>
    <n v="2.1"/>
    <n v="0.5"/>
    <n v="0"/>
    <n v="3.3"/>
    <n v="3.7"/>
    <n v="3"/>
    <s v="Yes"/>
    <n v="0"/>
    <n v="0"/>
    <m/>
    <n v="1"/>
    <s v="Stayed"/>
    <m/>
    <n v="1"/>
    <n v="0"/>
    <s v="No Recorded Promotions"/>
    <s v="3â€“5 years"/>
    <s v="Moderate"/>
    <s v="3.3333333333333335"/>
    <n v="8.3333333333333301E-2"/>
    <n v="0"/>
  </r>
  <r>
    <s v="EMP0770"/>
    <x v="0"/>
    <s v="Operations Manager"/>
    <n v="1.4"/>
    <s v="G1"/>
    <n v="29"/>
    <s v="Bachelor"/>
    <s v="Chennai"/>
    <n v="2"/>
    <n v="1.7"/>
    <n v="10"/>
    <n v="5"/>
    <n v="12"/>
    <n v="0"/>
    <s v="Band A"/>
    <n v="27900"/>
    <n v="7.9"/>
    <n v="5"/>
    <n v="0.6"/>
    <n v="0"/>
    <n v="3.2"/>
    <n v="4.5999999999999996"/>
    <n v="3.8"/>
    <s v="Yes"/>
    <n v="0"/>
    <n v="2"/>
    <n v="0.8"/>
    <n v="0"/>
    <s v="Stayed"/>
    <m/>
    <n v="0"/>
    <n v="0"/>
    <s v="Promoted"/>
    <s v="1â€“3 years"/>
    <s v="Low"/>
    <s v="3.8666666666666667"/>
    <s v="0.16666666666666666"/>
    <n v="0"/>
  </r>
  <r>
    <s v="EMP0771"/>
    <x v="4"/>
    <s v="Account Manager"/>
    <n v="2.6"/>
    <s v="G2"/>
    <n v="32"/>
    <s v="Bachelor"/>
    <s v="Bengaluru"/>
    <n v="3"/>
    <n v="27.9"/>
    <n v="7"/>
    <n v="3"/>
    <n v="12"/>
    <n v="0"/>
    <s v="Band B"/>
    <n v="42000"/>
    <n v="7.2"/>
    <n v="3.7"/>
    <n v="2.7"/>
    <n v="0"/>
    <n v="3.1"/>
    <n v="3.8"/>
    <n v="3.8"/>
    <s v="Yes"/>
    <n v="0"/>
    <n v="4"/>
    <n v="1.7"/>
    <n v="1"/>
    <s v="Stayed"/>
    <m/>
    <n v="0"/>
    <n v="0"/>
    <s v="Promoted"/>
    <s v="1â€“3 years"/>
    <s v="High"/>
    <s v="3.5666666666666664"/>
    <n v="0.25"/>
    <n v="0"/>
  </r>
  <r>
    <s v="EMP0772"/>
    <x v="5"/>
    <s v="Accountant"/>
    <n v="2.9"/>
    <s v="G3"/>
    <n v="31"/>
    <s v="Bachelor"/>
    <s v="Hyderabad"/>
    <n v="1"/>
    <n v="11.2"/>
    <n v="9"/>
    <n v="0"/>
    <n v="12"/>
    <n v="0"/>
    <s v="Band C"/>
    <n v="56200"/>
    <n v="11"/>
    <n v="2.8"/>
    <n v="3.5"/>
    <n v="0"/>
    <n v="3"/>
    <n v="3.2"/>
    <n v="2.9"/>
    <s v="No"/>
    <n v="0"/>
    <n v="0"/>
    <m/>
    <n v="0"/>
    <s v="Left"/>
    <d v="2025-02-19T00:00:00"/>
    <n v="1"/>
    <n v="0"/>
    <s v="No Recorded Promotions"/>
    <s v="1â€“3 years"/>
    <s v="Moderate"/>
    <s v="3.033333333333333"/>
    <n v="8.3333333333333301E-2"/>
    <n v="1"/>
  </r>
  <r>
    <s v="EMP0773"/>
    <x v="5"/>
    <s v="Accountant"/>
    <n v="4.3"/>
    <s v="G1"/>
    <n v="32"/>
    <s v="Master"/>
    <s v="Hyderabad"/>
    <n v="1"/>
    <n v="11.1"/>
    <n v="9"/>
    <n v="2"/>
    <n v="12"/>
    <n v="0"/>
    <s v="Band A"/>
    <n v="25800"/>
    <n v="11.3"/>
    <n v="3.3"/>
    <n v="1.7"/>
    <n v="0"/>
    <n v="2.6"/>
    <n v="4.0999999999999996"/>
    <n v="1.8"/>
    <s v="Yes"/>
    <n v="0"/>
    <n v="0"/>
    <m/>
    <n v="1"/>
    <s v="Stayed"/>
    <m/>
    <n v="1"/>
    <n v="0"/>
    <s v="No Recorded Promotions"/>
    <s v="3â€“5 years"/>
    <s v="Moderate"/>
    <s v="2.8333333333333335"/>
    <n v="8.3333333333333301E-2"/>
    <n v="0"/>
  </r>
  <r>
    <s v="EMP0774"/>
    <x v="2"/>
    <s v="Support Team Lead"/>
    <n v="4.2"/>
    <s v="G2"/>
    <n v="26"/>
    <s v="Master"/>
    <s v="Coimbatore"/>
    <n v="2"/>
    <n v="14.9"/>
    <n v="10"/>
    <n v="1"/>
    <n v="12"/>
    <n v="0"/>
    <s v="Band B"/>
    <n v="38800"/>
    <n v="12.6"/>
    <n v="2.6"/>
    <n v="3.2"/>
    <n v="0"/>
    <n v="2.4"/>
    <n v="3.4"/>
    <n v="3.2"/>
    <s v="Yes"/>
    <n v="0"/>
    <n v="1"/>
    <n v="0.5"/>
    <n v="1"/>
    <s v="Stayed"/>
    <m/>
    <n v="0"/>
    <n v="0"/>
    <s v="Promoted"/>
    <s v="3â€“5 years"/>
    <s v="Moderate"/>
    <n v="3"/>
    <s v="0.16666666666666666"/>
    <n v="0"/>
  </r>
  <r>
    <s v="EMP0775"/>
    <x v="3"/>
    <s v="QA Engineer"/>
    <n v="3.7"/>
    <s v="G2"/>
    <n v="29"/>
    <s v="Bachelor"/>
    <s v="Chennai"/>
    <n v="4"/>
    <n v="0.3"/>
    <n v="8"/>
    <n v="1"/>
    <n v="12"/>
    <n v="0"/>
    <s v="Band B"/>
    <n v="41000"/>
    <n v="2.7"/>
    <n v="2.7"/>
    <n v="2.5"/>
    <n v="0"/>
    <n v="4.5999999999999996"/>
    <n v="3.9"/>
    <n v="2.2000000000000002"/>
    <s v="Yes"/>
    <n v="0"/>
    <n v="1"/>
    <n v="0.7"/>
    <n v="0"/>
    <s v="Stayed"/>
    <m/>
    <n v="0"/>
    <n v="0"/>
    <s v="Promoted"/>
    <s v="3â€“5 years"/>
    <s v="Low"/>
    <s v="3.5666666666666664"/>
    <s v="0.3333333333333333"/>
    <n v="0"/>
  </r>
  <r>
    <s v="EMP0776"/>
    <x v="2"/>
    <s v="Support Associate"/>
    <n v="5.0999999999999996"/>
    <s v="G1"/>
    <n v="25"/>
    <s v="Bachelor"/>
    <s v="Remote"/>
    <n v="5"/>
    <n v="29.9"/>
    <n v="10"/>
    <n v="1"/>
    <n v="12"/>
    <n v="0"/>
    <s v="Band A"/>
    <n v="27200"/>
    <n v="10.1"/>
    <n v="3.3"/>
    <n v="0.7"/>
    <n v="0"/>
    <n v="3.3"/>
    <n v="4.5"/>
    <n v="3.5"/>
    <s v="Yes"/>
    <n v="1"/>
    <n v="2"/>
    <n v="0.9"/>
    <n v="0"/>
    <s v="Stayed"/>
    <m/>
    <n v="0"/>
    <n v="0"/>
    <s v="Promoted"/>
    <s v="5+ years"/>
    <s v="High"/>
    <s v="3.766666666666667"/>
    <s v="0.4166666666666667"/>
    <n v="0"/>
  </r>
  <r>
    <s v="EMP0777"/>
    <x v="0"/>
    <s v="Team Lead"/>
    <n v="1.9"/>
    <s v="G2"/>
    <n v="21"/>
    <s v="Master"/>
    <s v="Hyderabad"/>
    <n v="1"/>
    <n v="7.4"/>
    <n v="12"/>
    <n v="0"/>
    <n v="12"/>
    <n v="0"/>
    <s v="Band B"/>
    <n v="35500"/>
    <n v="6.8"/>
    <n v="2.9"/>
    <n v="1.9"/>
    <n v="0"/>
    <n v="3.1"/>
    <n v="3.3"/>
    <n v="3.2"/>
    <s v="Yes"/>
    <n v="0"/>
    <n v="2"/>
    <n v="1.6"/>
    <n v="0"/>
    <s v="Stayed"/>
    <m/>
    <n v="0"/>
    <n v="0"/>
    <s v="Promoted"/>
    <s v="1â€“3 years"/>
    <s v="Low"/>
    <s v="3.2000000000000006"/>
    <n v="8.3333333333333301E-2"/>
    <n v="0"/>
  </r>
  <r>
    <s v="EMP0778"/>
    <x v="3"/>
    <s v="Data Analyst"/>
    <n v="4.3"/>
    <s v="G1"/>
    <n v="33"/>
    <s v="Bachelor"/>
    <s v="Coimbatore"/>
    <n v="3"/>
    <n v="28.7"/>
    <n v="13"/>
    <n v="1"/>
    <n v="12"/>
    <n v="0"/>
    <s v="Band A"/>
    <n v="24100"/>
    <n v="4.3"/>
    <n v="2.4"/>
    <n v="0.5"/>
    <n v="0"/>
    <n v="3.3"/>
    <n v="2.8"/>
    <n v="2.9"/>
    <s v="Yes"/>
    <n v="0"/>
    <n v="1"/>
    <n v="1.7"/>
    <n v="1"/>
    <s v="Left"/>
    <d v="2025-11-01T00:00:00"/>
    <n v="0"/>
    <n v="0"/>
    <s v="Promoted"/>
    <s v="3â€“5 years"/>
    <s v="High"/>
    <n v="3"/>
    <n v="0.25"/>
    <n v="1"/>
  </r>
  <r>
    <s v="EMP0779"/>
    <x v="0"/>
    <s v="Team Lead"/>
    <n v="6.3"/>
    <s v="G3"/>
    <n v="29"/>
    <s v="Bachelor"/>
    <s v="Chennai"/>
    <n v="4"/>
    <n v="7.2"/>
    <n v="17"/>
    <n v="0"/>
    <n v="12"/>
    <n v="0"/>
    <s v="Band B"/>
    <n v="36200"/>
    <n v="8.1999999999999993"/>
    <n v="3"/>
    <n v="1.3"/>
    <n v="0"/>
    <n v="3.9"/>
    <n v="2.6"/>
    <n v="2.4"/>
    <s v="Yes"/>
    <n v="0"/>
    <n v="0"/>
    <m/>
    <n v="0"/>
    <s v="Stayed"/>
    <m/>
    <n v="1"/>
    <n v="0"/>
    <s v="No Recorded Promotions"/>
    <s v="5+ years"/>
    <s v="Low"/>
    <s v="2.966666666666667"/>
    <s v="0.3333333333333333"/>
    <n v="0"/>
  </r>
  <r>
    <s v="EMP0780"/>
    <x v="2"/>
    <s v="Support Associate"/>
    <n v="1.8"/>
    <s v="G1"/>
    <n v="31"/>
    <s v="Diploma"/>
    <s v="Chennai"/>
    <n v="2"/>
    <n v="5.8"/>
    <n v="5"/>
    <n v="0"/>
    <n v="12"/>
    <n v="0"/>
    <s v="Band A"/>
    <n v="26700"/>
    <n v="0.8"/>
    <n v="2"/>
    <n v="1.6"/>
    <n v="0"/>
    <n v="2.5"/>
    <n v="3.6"/>
    <n v="4.3"/>
    <s v="Yes"/>
    <n v="0"/>
    <n v="0"/>
    <m/>
    <n v="1"/>
    <s v="Stayed"/>
    <m/>
    <n v="1"/>
    <n v="0"/>
    <s v="No Recorded Promotions"/>
    <s v="1â€“3 years"/>
    <s v="Low"/>
    <s v="3.4666666666666663"/>
    <s v="0.16666666666666666"/>
    <n v="0"/>
  </r>
  <r>
    <s v="EMP0781"/>
    <x v="4"/>
    <s v="Sales Executive"/>
    <n v="0.7"/>
    <s v="G3"/>
    <n v="31"/>
    <s v="Bachelor"/>
    <s v="Coimbatore"/>
    <n v="6"/>
    <n v="14.2"/>
    <n v="6"/>
    <n v="1"/>
    <n v="12"/>
    <n v="0"/>
    <s v="Band C"/>
    <n v="52800"/>
    <n v="11.7"/>
    <n v="2.1"/>
    <n v="2.2000000000000002"/>
    <n v="0"/>
    <n v="3.3"/>
    <n v="2.4"/>
    <n v="3"/>
    <s v="No"/>
    <n v="1"/>
    <n v="0"/>
    <m/>
    <n v="0"/>
    <s v="Stayed"/>
    <m/>
    <n v="1"/>
    <n v="0"/>
    <s v="No Recorded Promotions"/>
    <s v="0â€“1 years"/>
    <s v="Moderate"/>
    <n v="2.9"/>
    <n v="0.5"/>
    <n v="0"/>
  </r>
  <r>
    <s v="EMP0782"/>
    <x v="2"/>
    <s v="Support Team Lead"/>
    <n v="7.4"/>
    <s v="G1"/>
    <n v="31"/>
    <s v="Bachelor"/>
    <s v="Coimbatore"/>
    <n v="2"/>
    <n v="41"/>
    <n v="7"/>
    <n v="2"/>
    <n v="12"/>
    <n v="0"/>
    <s v="Band A"/>
    <n v="26300"/>
    <n v="6.8"/>
    <n v="2"/>
    <n v="4.7"/>
    <n v="0"/>
    <n v="2.8"/>
    <n v="3.3"/>
    <n v="5"/>
    <s v="Yes"/>
    <n v="1"/>
    <n v="0"/>
    <m/>
    <n v="1"/>
    <s v="Left"/>
    <d v="2024-09-24T00:00:00"/>
    <n v="1"/>
    <n v="0"/>
    <s v="No Recorded Promotions"/>
    <s v="5+ years"/>
    <s v="High"/>
    <s v="3.6999999999999997"/>
    <s v="0.16666666666666666"/>
    <n v="1"/>
  </r>
  <r>
    <s v="EMP0783"/>
    <x v="1"/>
    <s v="HR Manager"/>
    <n v="1.4"/>
    <s v="G4"/>
    <n v="30"/>
    <s v="Master"/>
    <s v="Chennai"/>
    <n v="4"/>
    <n v="23.4"/>
    <n v="13"/>
    <n v="2"/>
    <n v="12"/>
    <n v="0"/>
    <s v="Band D"/>
    <n v="81600"/>
    <n v="6.1"/>
    <n v="4.7"/>
    <n v="0.3"/>
    <n v="0"/>
    <n v="3.2"/>
    <n v="2.2999999999999998"/>
    <n v="3.4"/>
    <s v="Yes"/>
    <n v="0"/>
    <n v="1"/>
    <n v="0.1"/>
    <n v="0"/>
    <s v="Stayed"/>
    <m/>
    <n v="0"/>
    <n v="0"/>
    <s v="Promoted"/>
    <s v="1â€“3 years"/>
    <s v="High"/>
    <s v="2.966666666666667"/>
    <s v="0.3333333333333333"/>
    <n v="0"/>
  </r>
  <r>
    <s v="EMP0784"/>
    <x v="0"/>
    <s v="Operations Manager"/>
    <n v="2.5"/>
    <s v="G1"/>
    <n v="26"/>
    <s v="Doctorate"/>
    <s v="Remote"/>
    <n v="1"/>
    <n v="15.4"/>
    <n v="12"/>
    <n v="0"/>
    <n v="12"/>
    <n v="0"/>
    <s v="Band A"/>
    <n v="24700"/>
    <n v="7.4"/>
    <n v="3.6"/>
    <n v="1.3"/>
    <n v="0"/>
    <n v="4.8"/>
    <n v="3.7"/>
    <n v="3.7"/>
    <s v="Yes"/>
    <n v="0"/>
    <n v="0"/>
    <m/>
    <n v="0"/>
    <s v="Stayed"/>
    <m/>
    <n v="1"/>
    <n v="0"/>
    <s v="No Recorded Promotions"/>
    <s v="1â€“3 years"/>
    <s v="Moderate"/>
    <s v="4.066666666666666"/>
    <n v="8.3333333333333301E-2"/>
    <n v="0"/>
  </r>
  <r>
    <s v="EMP0785"/>
    <x v="2"/>
    <s v="Support Team Lead"/>
    <n v="6.1"/>
    <s v="G3"/>
    <n v="25"/>
    <s v="Bachelor"/>
    <s v="Bengaluru"/>
    <n v="4"/>
    <n v="14"/>
    <n v="7"/>
    <n v="1"/>
    <n v="12"/>
    <n v="0"/>
    <s v="Band C"/>
    <n v="61200"/>
    <n v="7.3"/>
    <n v="3.7"/>
    <n v="4.0999999999999996"/>
    <n v="0"/>
    <n v="2.4"/>
    <n v="2.5"/>
    <n v="3.4"/>
    <s v="Yes"/>
    <n v="0"/>
    <n v="0"/>
    <m/>
    <n v="0"/>
    <s v="Stayed"/>
    <m/>
    <n v="1"/>
    <n v="0"/>
    <s v="No Recorded Promotions"/>
    <s v="5+ years"/>
    <s v="Moderate"/>
    <s v="2.766666666666667"/>
    <s v="0.3333333333333333"/>
    <n v="0"/>
  </r>
  <r>
    <s v="EMP0786"/>
    <x v="4"/>
    <s v="Sales Executive"/>
    <n v="1.8"/>
    <s v="G2"/>
    <n v="28"/>
    <s v="Bachelor"/>
    <s v="Bengaluru"/>
    <n v="2"/>
    <n v="10.7"/>
    <n v="13"/>
    <n v="1"/>
    <n v="12"/>
    <n v="0"/>
    <s v="Band B"/>
    <n v="39900"/>
    <n v="12.6"/>
    <n v="3.2"/>
    <n v="0.7"/>
    <n v="0"/>
    <n v="3.9"/>
    <n v="2"/>
    <n v="3.7"/>
    <s v="Yes"/>
    <n v="0"/>
    <n v="0"/>
    <m/>
    <n v="0"/>
    <s v="Stayed"/>
    <m/>
    <n v="1"/>
    <n v="0"/>
    <s v="No Recorded Promotions"/>
    <s v="1â€“3 years"/>
    <s v="Moderate"/>
    <s v="3.2000000000000006"/>
    <s v="0.16666666666666666"/>
    <n v="0"/>
  </r>
  <r>
    <s v="EMP0787"/>
    <x v="0"/>
    <s v="Operations Associate"/>
    <n v="7.1"/>
    <s v="G2"/>
    <n v="31"/>
    <s v="Bachelor"/>
    <s v="Chennai"/>
    <n v="1"/>
    <n v="27.8"/>
    <n v="7"/>
    <n v="1"/>
    <n v="12"/>
    <n v="0"/>
    <s v="Band C"/>
    <n v="51600"/>
    <n v="3.6"/>
    <n v="3.7"/>
    <n v="0.5"/>
    <n v="0"/>
    <n v="4.2"/>
    <n v="2.2000000000000002"/>
    <n v="4.3"/>
    <s v="No"/>
    <n v="0"/>
    <n v="0"/>
    <m/>
    <n v="0"/>
    <s v="Stayed"/>
    <m/>
    <n v="1"/>
    <n v="0"/>
    <s v="No Recorded Promotions"/>
    <s v="5+ years"/>
    <s v="High"/>
    <s v="3.5666666666666664"/>
    <n v="8.3333333333333301E-2"/>
    <n v="0"/>
  </r>
  <r>
    <s v="EMP0788"/>
    <x v="4"/>
    <s v="Sales Executive"/>
    <n v="2.2000000000000002"/>
    <s v="G2"/>
    <n v="26"/>
    <s v="Diploma"/>
    <s v="Hyderabad"/>
    <n v="1"/>
    <n v="18.2"/>
    <n v="6"/>
    <n v="2"/>
    <n v="12"/>
    <n v="0"/>
    <s v="Band B"/>
    <n v="40600"/>
    <n v="6.5"/>
    <n v="4.3"/>
    <n v="2.4"/>
    <n v="0"/>
    <n v="3.6"/>
    <n v="2.7"/>
    <n v="4.3"/>
    <s v="Yes"/>
    <n v="0"/>
    <n v="1"/>
    <n v="1.7"/>
    <n v="0"/>
    <s v="Stayed"/>
    <m/>
    <n v="0"/>
    <n v="0"/>
    <s v="Promoted"/>
    <s v="1â€“3 years"/>
    <s v="Moderate"/>
    <s v="3.5333333333333337"/>
    <n v="8.3333333333333301E-2"/>
    <n v="0"/>
  </r>
  <r>
    <s v="EMP0789"/>
    <x v="0"/>
    <s v="Operations Associate"/>
    <n v="2"/>
    <s v="G4"/>
    <n v="36"/>
    <s v="Master"/>
    <s v="Bengaluru"/>
    <n v="2"/>
    <n v="2.2999999999999998"/>
    <n v="8"/>
    <n v="1"/>
    <n v="12"/>
    <n v="0"/>
    <s v="Band C"/>
    <n v="57900"/>
    <n v="7.1"/>
    <n v="3.6"/>
    <n v="2.1"/>
    <n v="0"/>
    <n v="3.2"/>
    <n v="2.8"/>
    <n v="2"/>
    <s v="Yes"/>
    <n v="0"/>
    <n v="2"/>
    <n v="0.1"/>
    <n v="0"/>
    <s v="Stayed"/>
    <m/>
    <n v="0"/>
    <n v="0"/>
    <s v="Promoted"/>
    <s v="1â€“3 years"/>
    <s v="Low"/>
    <s v="2.6666666666666665"/>
    <s v="0.16666666666666666"/>
    <n v="0"/>
  </r>
  <r>
    <s v="EMP0790"/>
    <x v="0"/>
    <s v="Operations Manager"/>
    <n v="1.4"/>
    <s v="G4"/>
    <n v="21"/>
    <s v="Bachelor"/>
    <s v="Chennai"/>
    <n v="5"/>
    <n v="3.9"/>
    <n v="9"/>
    <n v="0"/>
    <n v="12"/>
    <n v="0"/>
    <s v="Band D"/>
    <n v="78900"/>
    <n v="3.7"/>
    <n v="4.7"/>
    <n v="0.2"/>
    <n v="0"/>
    <n v="5"/>
    <n v="3.3"/>
    <n v="4.0999999999999996"/>
    <s v="No"/>
    <n v="1"/>
    <n v="2"/>
    <n v="0.5"/>
    <n v="0"/>
    <s v="Stayed"/>
    <m/>
    <n v="0"/>
    <n v="0"/>
    <s v="Promoted"/>
    <s v="1â€“3 years"/>
    <s v="Low"/>
    <s v="4.133333333333334"/>
    <s v="0.4166666666666667"/>
    <n v="0"/>
  </r>
  <r>
    <s v="EMP0791"/>
    <x v="3"/>
    <s v="Data Analyst"/>
    <n v="2.2000000000000002"/>
    <s v="G2"/>
    <n v="30"/>
    <s v="Master"/>
    <s v="Bengaluru"/>
    <n v="2"/>
    <n v="15.8"/>
    <n v="7"/>
    <n v="2"/>
    <n v="12"/>
    <n v="0"/>
    <s v="Band B"/>
    <n v="45900"/>
    <n v="8.6"/>
    <n v="3.2"/>
    <n v="0.8"/>
    <n v="0"/>
    <n v="3.3"/>
    <n v="3.1"/>
    <n v="3.8"/>
    <s v="Yes"/>
    <n v="0"/>
    <n v="0"/>
    <m/>
    <n v="0"/>
    <s v="Stayed"/>
    <m/>
    <n v="1"/>
    <n v="0"/>
    <s v="No Recorded Promotions"/>
    <s v="1â€“3 years"/>
    <s v="Moderate"/>
    <n v="3.4"/>
    <s v="0.16666666666666666"/>
    <n v="0"/>
  </r>
  <r>
    <s v="EMP0792"/>
    <x v="4"/>
    <s v="Sales Executive"/>
    <n v="5.6"/>
    <s v="G1"/>
    <n v="28"/>
    <s v="Bachelor"/>
    <s v="Bengaluru"/>
    <n v="1"/>
    <n v="3.3"/>
    <n v="8"/>
    <n v="3"/>
    <n v="12"/>
    <n v="0"/>
    <s v="Band A"/>
    <n v="23200"/>
    <n v="5.0999999999999996"/>
    <n v="3.7"/>
    <n v="0.4"/>
    <n v="0"/>
    <n v="3.5"/>
    <n v="3.5"/>
    <n v="3.4"/>
    <s v="Yes"/>
    <n v="0"/>
    <n v="0"/>
    <m/>
    <n v="1"/>
    <s v="Stayed"/>
    <m/>
    <n v="1"/>
    <n v="0"/>
    <s v="No Recorded Promotions"/>
    <s v="5+ years"/>
    <s v="Low"/>
    <s v="3.466666666666667"/>
    <n v="8.3333333333333301E-2"/>
    <n v="0"/>
  </r>
  <r>
    <s v="EMP0793"/>
    <x v="4"/>
    <s v="Sales Manager"/>
    <n v="2.5"/>
    <s v="G3"/>
    <n v="32"/>
    <s v="Bachelor"/>
    <s v="Hyderabad"/>
    <n v="4"/>
    <n v="11.1"/>
    <n v="11"/>
    <n v="5"/>
    <n v="12"/>
    <n v="0"/>
    <s v="Band C"/>
    <n v="56400"/>
    <n v="2.4"/>
    <n v="3.8"/>
    <n v="0.4"/>
    <n v="0"/>
    <n v="3"/>
    <n v="3.6"/>
    <n v="4.8"/>
    <s v="Yes"/>
    <n v="0"/>
    <n v="0"/>
    <m/>
    <n v="1"/>
    <s v="Stayed"/>
    <m/>
    <n v="1"/>
    <n v="0"/>
    <s v="No Recorded Promotions"/>
    <s v="1â€“3 years"/>
    <s v="Moderate"/>
    <s v="3.7999999999999994"/>
    <s v="0.3333333333333333"/>
    <n v="0"/>
  </r>
  <r>
    <s v="EMP0794"/>
    <x v="3"/>
    <s v="QA Engineer"/>
    <n v="7.4"/>
    <s v="G3"/>
    <n v="35"/>
    <s v="Bachelor"/>
    <s v="Chennai"/>
    <n v="2"/>
    <n v="19.3"/>
    <n v="7"/>
    <n v="3"/>
    <n v="12"/>
    <n v="0"/>
    <s v="Band C"/>
    <n v="62000"/>
    <n v="10.1"/>
    <n v="2.4"/>
    <n v="2"/>
    <n v="0"/>
    <n v="3.4"/>
    <n v="3.9"/>
    <n v="4.8"/>
    <s v="Yes"/>
    <n v="0"/>
    <n v="0"/>
    <m/>
    <n v="0"/>
    <s v="Stayed"/>
    <m/>
    <n v="1"/>
    <n v="0"/>
    <s v="No Recorded Promotions"/>
    <s v="5+ years"/>
    <s v="Moderate"/>
    <s v="4.033333333333333"/>
    <s v="0.16666666666666666"/>
    <n v="0"/>
  </r>
  <r>
    <s v="EMP0795"/>
    <x v="3"/>
    <s v="Software Engineer"/>
    <n v="3.9"/>
    <s v="G1"/>
    <n v="31"/>
    <s v="Bachelor"/>
    <s v="Hyderabad"/>
    <n v="2"/>
    <n v="14.2"/>
    <n v="11"/>
    <n v="6"/>
    <n v="12"/>
    <n v="0"/>
    <s v="Band A"/>
    <n v="28100"/>
    <n v="14.2"/>
    <n v="3.2"/>
    <n v="2"/>
    <n v="0"/>
    <n v="4.2"/>
    <n v="1.5"/>
    <n v="4.0999999999999996"/>
    <s v="Yes"/>
    <n v="0"/>
    <n v="1"/>
    <n v="2.6"/>
    <n v="0"/>
    <s v="Stayed"/>
    <m/>
    <n v="0"/>
    <n v="0"/>
    <s v="Promoted"/>
    <s v="3â€“5 years"/>
    <s v="Moderate"/>
    <s v="3.266666666666667"/>
    <s v="0.16666666666666666"/>
    <n v="0"/>
  </r>
  <r>
    <s v="EMP0796"/>
    <x v="4"/>
    <s v="Sales Manager"/>
    <n v="4.0999999999999996"/>
    <s v="G3"/>
    <n v="26"/>
    <s v="Master"/>
    <s v="Coimbatore"/>
    <n v="3"/>
    <n v="2.7"/>
    <n v="10"/>
    <n v="2"/>
    <n v="12"/>
    <n v="0"/>
    <s v="Band B"/>
    <n v="38000"/>
    <n v="8.1999999999999993"/>
    <n v="1.5"/>
    <n v="1.3"/>
    <n v="0"/>
    <n v="3.1"/>
    <n v="2.2000000000000002"/>
    <n v="3"/>
    <s v="No"/>
    <n v="0"/>
    <n v="0"/>
    <m/>
    <n v="0"/>
    <s v="Stayed"/>
    <m/>
    <n v="1"/>
    <n v="0"/>
    <s v="No Recorded Promotions"/>
    <s v="3â€“5 years"/>
    <s v="Low"/>
    <s v="2.766666666666667"/>
    <n v="0.25"/>
    <n v="0"/>
  </r>
  <r>
    <s v="EMP0797"/>
    <x v="3"/>
    <s v="Data Analyst"/>
    <n v="1.9"/>
    <s v="G2"/>
    <n v="25"/>
    <s v="Master"/>
    <s v="Chennai"/>
    <n v="4"/>
    <n v="4.2"/>
    <n v="12"/>
    <n v="3"/>
    <n v="12"/>
    <n v="0"/>
    <s v="Band B"/>
    <n v="36700"/>
    <n v="7.6"/>
    <n v="3.1"/>
    <n v="0.3"/>
    <n v="0"/>
    <n v="1.4"/>
    <n v="3.7"/>
    <n v="2.4"/>
    <s v="No"/>
    <n v="0"/>
    <n v="0"/>
    <m/>
    <n v="0"/>
    <s v="Stayed"/>
    <m/>
    <n v="1"/>
    <n v="0"/>
    <s v="No Recorded Promotions"/>
    <s v="1â€“3 years"/>
    <s v="Low"/>
    <n v="2.5"/>
    <s v="0.3333333333333333"/>
    <n v="0"/>
  </r>
  <r>
    <s v="EMP0798"/>
    <x v="3"/>
    <s v="QA Engineer"/>
    <n v="8.1"/>
    <s v="G3"/>
    <n v="38"/>
    <s v="Bachelor"/>
    <s v="Chennai"/>
    <n v="2"/>
    <n v="14.6"/>
    <n v="11"/>
    <n v="1"/>
    <n v="12"/>
    <n v="0"/>
    <s v="Band C"/>
    <n v="52800"/>
    <n v="7.5"/>
    <n v="2.9"/>
    <n v="0.4"/>
    <n v="0"/>
    <n v="3.8"/>
    <n v="3.4"/>
    <n v="4"/>
    <s v="No"/>
    <n v="0"/>
    <n v="0"/>
    <m/>
    <n v="0"/>
    <s v="Stayed"/>
    <m/>
    <n v="1"/>
    <n v="0"/>
    <s v="No Recorded Promotions"/>
    <s v="5+ years"/>
    <s v="Moderate"/>
    <s v="3.733333333333333"/>
    <s v="0.16666666666666666"/>
    <n v="0"/>
  </r>
  <r>
    <s v="EMP0799"/>
    <x v="0"/>
    <s v="Operations Manager"/>
    <n v="6.3"/>
    <s v="G2"/>
    <n v="39"/>
    <s v="Bachelor"/>
    <s v="Chennai"/>
    <n v="0"/>
    <n v="38"/>
    <n v="11"/>
    <n v="4"/>
    <n v="12"/>
    <n v="0"/>
    <s v="Band B"/>
    <n v="47900"/>
    <n v="5.9"/>
    <n v="2.9"/>
    <n v="1.8"/>
    <n v="0"/>
    <n v="2.2999999999999998"/>
    <n v="4.0999999999999996"/>
    <n v="4.5"/>
    <s v="Yes"/>
    <n v="0"/>
    <n v="1"/>
    <n v="0.3"/>
    <n v="1"/>
    <s v="Stayed"/>
    <m/>
    <n v="0"/>
    <n v="0"/>
    <s v="Promoted"/>
    <s v="5+ years"/>
    <s v="High"/>
    <s v="3.633333333333333"/>
    <n v="0"/>
    <n v="0"/>
  </r>
  <r>
    <s v="EMP0800"/>
    <x v="0"/>
    <s v="Team Lead"/>
    <n v="6.2"/>
    <s v="G2"/>
    <n v="34"/>
    <s v="Bachelor"/>
    <s v="Chennai"/>
    <n v="4"/>
    <n v="9.3000000000000007"/>
    <n v="4"/>
    <n v="3"/>
    <n v="12"/>
    <n v="0"/>
    <s v="Band B"/>
    <n v="40000"/>
    <n v="12.7"/>
    <n v="2.8"/>
    <n v="0.2"/>
    <n v="0"/>
    <n v="4"/>
    <n v="1.8"/>
    <n v="1.8"/>
    <s v="Yes"/>
    <n v="0"/>
    <n v="0"/>
    <m/>
    <n v="0"/>
    <s v="Stayed"/>
    <m/>
    <n v="1"/>
    <n v="0"/>
    <s v="No Recorded Promotions"/>
    <s v="5+ years"/>
    <s v="Low"/>
    <s v="2.533333333333333"/>
    <s v="0.3333333333333333"/>
    <n v="0"/>
  </r>
  <r>
    <s v="EMP0801"/>
    <x v="0"/>
    <s v="Operations Manager"/>
    <n v="3.3"/>
    <s v="G1"/>
    <n v="26"/>
    <s v="Master"/>
    <s v="Coimbatore"/>
    <n v="2"/>
    <n v="19.8"/>
    <n v="15"/>
    <n v="3"/>
    <n v="12"/>
    <n v="0"/>
    <s v="Band A"/>
    <n v="27100"/>
    <n v="8.4"/>
    <n v="3.7"/>
    <n v="0.1"/>
    <n v="0"/>
    <n v="3.3"/>
    <n v="2.8"/>
    <n v="4.3"/>
    <s v="Yes"/>
    <n v="0"/>
    <n v="0"/>
    <m/>
    <n v="0"/>
    <s v="Stayed"/>
    <m/>
    <n v="1"/>
    <n v="0"/>
    <s v="No Recorded Promotions"/>
    <s v="3â€“5 years"/>
    <s v="Moderate"/>
    <s v="3.4666666666666663"/>
    <s v="0.16666666666666666"/>
    <n v="0"/>
  </r>
  <r>
    <s v="EMP0802"/>
    <x v="4"/>
    <s v="Account Manager"/>
    <n v="1.3"/>
    <s v="G3"/>
    <n v="29"/>
    <s v="Diploma"/>
    <s v="Bengaluru"/>
    <n v="5"/>
    <n v="14.3"/>
    <n v="10"/>
    <n v="2"/>
    <n v="12"/>
    <n v="0"/>
    <s v="Band B"/>
    <n v="48300"/>
    <n v="0"/>
    <n v="2.4"/>
    <n v="0.8"/>
    <n v="0"/>
    <n v="4.0999999999999996"/>
    <n v="2.9"/>
    <n v="3.2"/>
    <s v="Yes"/>
    <n v="0"/>
    <n v="1"/>
    <n v="1.1000000000000001"/>
    <n v="0"/>
    <s v="Stayed"/>
    <m/>
    <n v="0"/>
    <n v="0"/>
    <s v="Promoted"/>
    <s v="1â€“3 years"/>
    <s v="Moderate"/>
    <n v="3.4"/>
    <s v="0.4166666666666667"/>
    <n v="0"/>
  </r>
  <r>
    <s v="EMP0803"/>
    <x v="2"/>
    <s v="Support Team Lead"/>
    <n v="4.3"/>
    <s v="G1"/>
    <n v="40"/>
    <s v="Diploma"/>
    <s v="Chennai"/>
    <n v="5"/>
    <n v="5.6"/>
    <n v="6"/>
    <n v="3"/>
    <n v="12"/>
    <n v="0"/>
    <s v="Band A"/>
    <n v="30100"/>
    <n v="12.8"/>
    <n v="4.9000000000000004"/>
    <n v="1.3"/>
    <n v="0"/>
    <n v="2.4"/>
    <n v="3.3"/>
    <n v="2"/>
    <s v="Yes"/>
    <n v="0"/>
    <n v="2"/>
    <n v="2.8"/>
    <n v="2"/>
    <s v="Stayed"/>
    <m/>
    <n v="0"/>
    <n v="0"/>
    <s v="Promoted"/>
    <s v="3â€“5 years"/>
    <s v="Low"/>
    <s v="2.5666666666666664"/>
    <s v="0.4166666666666667"/>
    <n v="0"/>
  </r>
  <r>
    <s v="EMP0804"/>
    <x v="5"/>
    <s v="Accountant"/>
    <n v="5.4"/>
    <s v="G4"/>
    <n v="32"/>
    <s v="Diploma"/>
    <s v="Remote"/>
    <n v="2"/>
    <n v="20"/>
    <n v="17"/>
    <n v="1"/>
    <n v="12"/>
    <n v="0"/>
    <s v="Band C"/>
    <n v="74100"/>
    <n v="11.8"/>
    <n v="3.7"/>
    <n v="0.1"/>
    <n v="0"/>
    <n v="2.8"/>
    <n v="3.2"/>
    <n v="3.8"/>
    <s v="Yes"/>
    <n v="0"/>
    <n v="0"/>
    <m/>
    <n v="0"/>
    <s v="Stayed"/>
    <m/>
    <n v="1"/>
    <n v="0"/>
    <s v="No Recorded Promotions"/>
    <s v="5+ years"/>
    <s v="Moderate"/>
    <s v="3.266666666666667"/>
    <s v="0.16666666666666666"/>
    <n v="0"/>
  </r>
  <r>
    <s v="EMP0805"/>
    <x v="3"/>
    <s v="Software Engineer"/>
    <n v="5.5"/>
    <s v="G4"/>
    <n v="37"/>
    <s v="Bachelor"/>
    <s v="Chennai"/>
    <n v="3"/>
    <n v="1.6"/>
    <n v="9"/>
    <n v="1"/>
    <n v="12"/>
    <n v="0"/>
    <s v="Band C"/>
    <n v="66700"/>
    <n v="10.4"/>
    <n v="2.5"/>
    <n v="1.9"/>
    <n v="0"/>
    <n v="3"/>
    <n v="3.6"/>
    <n v="4.0999999999999996"/>
    <s v="Yes"/>
    <n v="0"/>
    <n v="1"/>
    <n v="4.2"/>
    <n v="1"/>
    <s v="Stayed"/>
    <m/>
    <n v="0"/>
    <n v="0"/>
    <s v="Promoted"/>
    <s v="5+ years"/>
    <s v="Low"/>
    <s v="3.5666666666666664"/>
    <n v="0.25"/>
    <n v="0"/>
  </r>
  <r>
    <s v="EMP0806"/>
    <x v="3"/>
    <s v="Data Analyst"/>
    <n v="5"/>
    <s v="G3"/>
    <n v="28"/>
    <s v="Bachelor"/>
    <s v="Bengaluru"/>
    <n v="4"/>
    <n v="18.899999999999999"/>
    <n v="9"/>
    <n v="2"/>
    <n v="12"/>
    <n v="0"/>
    <s v="Band C"/>
    <n v="56100"/>
    <n v="0"/>
    <n v="3.8"/>
    <n v="1.2"/>
    <n v="0"/>
    <n v="2"/>
    <n v="3.1"/>
    <n v="3.1"/>
    <s v="No"/>
    <n v="0"/>
    <n v="2"/>
    <n v="1.5"/>
    <n v="1"/>
    <s v="Stayed"/>
    <m/>
    <n v="0"/>
    <n v="0"/>
    <s v="Promoted"/>
    <s v="3â€“5 years"/>
    <s v="Moderate"/>
    <s v="2.733333333333333"/>
    <s v="0.3333333333333333"/>
    <n v="0"/>
  </r>
  <r>
    <s v="EMP0807"/>
    <x v="0"/>
    <s v="Operations Associate"/>
    <n v="4.8"/>
    <s v="G1"/>
    <n v="31"/>
    <s v="Bachelor"/>
    <s v="Remote"/>
    <n v="4"/>
    <n v="15"/>
    <n v="7"/>
    <n v="0"/>
    <n v="12"/>
    <n v="0"/>
    <s v="Band A"/>
    <n v="27200"/>
    <n v="8"/>
    <n v="4.0999999999999996"/>
    <n v="0.4"/>
    <n v="0"/>
    <n v="3.3"/>
    <n v="4.4000000000000004"/>
    <n v="2.6"/>
    <s v="Yes"/>
    <n v="1"/>
    <n v="0"/>
    <m/>
    <n v="1"/>
    <s v="Stayed"/>
    <m/>
    <n v="1"/>
    <n v="0"/>
    <s v="No Recorded Promotions"/>
    <s v="3â€“5 years"/>
    <s v="Moderate"/>
    <s v="3.4333333333333336"/>
    <s v="0.3333333333333333"/>
    <n v="0"/>
  </r>
  <r>
    <s v="EMP0808"/>
    <x v="3"/>
    <s v="Senior Software Engineer"/>
    <n v="2.2000000000000002"/>
    <s v="G2"/>
    <n v="31"/>
    <s v="Bachelor"/>
    <s v="Hyderabad"/>
    <n v="2"/>
    <n v="6.1"/>
    <n v="4"/>
    <n v="1"/>
    <n v="12"/>
    <n v="0"/>
    <s v="Band A"/>
    <n v="26300"/>
    <n v="11.6"/>
    <n v="3.5"/>
    <n v="1.4"/>
    <n v="0"/>
    <n v="3.3"/>
    <n v="4.7"/>
    <n v="4.8"/>
    <s v="Yes"/>
    <n v="1"/>
    <n v="1"/>
    <n v="1.9"/>
    <n v="1"/>
    <s v="Stayed"/>
    <m/>
    <n v="0"/>
    <n v="0"/>
    <s v="Promoted"/>
    <s v="1â€“3 years"/>
    <s v="Low"/>
    <s v="4.266666666666667"/>
    <s v="0.16666666666666666"/>
    <n v="0"/>
  </r>
  <r>
    <s v="EMP0809"/>
    <x v="5"/>
    <s v="Finance Manager"/>
    <n v="2.2999999999999998"/>
    <s v="G2"/>
    <n v="30"/>
    <s v="Bachelor"/>
    <s v="Bengaluru"/>
    <n v="5"/>
    <n v="3.6"/>
    <n v="12"/>
    <n v="1"/>
    <n v="12"/>
    <n v="0"/>
    <s v="Band B"/>
    <n v="41200"/>
    <n v="9.5"/>
    <n v="2.2999999999999998"/>
    <n v="0.1"/>
    <n v="0"/>
    <n v="4.3"/>
    <n v="2.2000000000000002"/>
    <n v="2.9"/>
    <s v="Yes"/>
    <n v="0"/>
    <n v="0"/>
    <m/>
    <n v="0"/>
    <s v="Stayed"/>
    <m/>
    <n v="1"/>
    <n v="0"/>
    <s v="No Recorded Promotions"/>
    <s v="1â€“3 years"/>
    <s v="Low"/>
    <s v="3.1333333333333333"/>
    <s v="0.4166666666666667"/>
    <n v="0"/>
  </r>
  <r>
    <s v="EMP0810"/>
    <x v="2"/>
    <s v="Support Associate"/>
    <n v="1.4"/>
    <s v="G3"/>
    <n v="24"/>
    <s v="Diploma"/>
    <s v="Bengaluru"/>
    <n v="4"/>
    <n v="6.6"/>
    <n v="8"/>
    <n v="4"/>
    <n v="12"/>
    <n v="0"/>
    <s v="Band C"/>
    <n v="55600"/>
    <n v="8.8000000000000007"/>
    <n v="5"/>
    <n v="0.9"/>
    <n v="0"/>
    <n v="3.7"/>
    <n v="3.2"/>
    <n v="4.3"/>
    <s v="Yes"/>
    <n v="0"/>
    <n v="1"/>
    <n v="1.2"/>
    <n v="1"/>
    <s v="Stayed"/>
    <m/>
    <n v="0"/>
    <n v="0"/>
    <s v="Promoted"/>
    <s v="1â€“3 years"/>
    <s v="Low"/>
    <s v="3.733333333333333"/>
    <s v="0.3333333333333333"/>
    <n v="0"/>
  </r>
  <r>
    <s v="EMP0811"/>
    <x v="3"/>
    <s v="QA Engineer"/>
    <n v="7.5"/>
    <s v="G4"/>
    <n v="30"/>
    <s v="Master"/>
    <s v="Chennai"/>
    <n v="3"/>
    <n v="5.2"/>
    <n v="12"/>
    <n v="2"/>
    <n v="12"/>
    <n v="0"/>
    <s v="Band D"/>
    <n v="77600"/>
    <n v="11.6"/>
    <n v="3.8"/>
    <n v="1"/>
    <n v="0"/>
    <n v="3.1"/>
    <n v="3.9"/>
    <n v="2.2000000000000002"/>
    <s v="Yes"/>
    <n v="0"/>
    <n v="2"/>
    <n v="7"/>
    <n v="1"/>
    <s v="Stayed"/>
    <m/>
    <n v="0"/>
    <n v="0"/>
    <s v="Promoted"/>
    <s v="5+ years"/>
    <s v="Low"/>
    <s v="3.0666666666666664"/>
    <n v="0.25"/>
    <n v="0"/>
  </r>
  <r>
    <s v="EMP0812"/>
    <x v="3"/>
    <s v="Senior Software Engineer"/>
    <n v="12.1"/>
    <s v="G2"/>
    <n v="42"/>
    <s v="Bachelor"/>
    <s v="Chennai"/>
    <n v="1"/>
    <n v="8"/>
    <n v="11"/>
    <n v="3"/>
    <n v="12"/>
    <n v="0"/>
    <s v="Band B"/>
    <n v="41400"/>
    <n v="8.6"/>
    <n v="2.1"/>
    <n v="1.3"/>
    <n v="0"/>
    <n v="3.6"/>
    <n v="3.7"/>
    <n v="3.7"/>
    <s v="Yes"/>
    <n v="0"/>
    <n v="0"/>
    <m/>
    <n v="0"/>
    <s v="Stayed"/>
    <m/>
    <n v="1"/>
    <n v="0"/>
    <s v="No Recorded Promotions"/>
    <s v="5+ years"/>
    <s v="Low"/>
    <s v="3.6666666666666665"/>
    <n v="8.3333333333333301E-2"/>
    <n v="0"/>
  </r>
  <r>
    <s v="EMP0813"/>
    <x v="2"/>
    <s v="Support Associate"/>
    <n v="19.7"/>
    <s v="G4"/>
    <n v="50"/>
    <s v="Bachelor"/>
    <s v="Coimbatore"/>
    <n v="5"/>
    <n v="7.3"/>
    <n v="15"/>
    <n v="4"/>
    <n v="12"/>
    <n v="0"/>
    <s v="Band D"/>
    <n v="87800"/>
    <n v="12.8"/>
    <n v="3.4"/>
    <n v="1.5"/>
    <n v="0"/>
    <n v="3.6"/>
    <n v="2.8"/>
    <n v="3.7"/>
    <s v="Yes"/>
    <n v="0"/>
    <n v="0"/>
    <m/>
    <n v="0"/>
    <s v="Stayed"/>
    <m/>
    <n v="1"/>
    <n v="0"/>
    <s v="No Recorded Promotions"/>
    <s v="5+ years"/>
    <s v="Low"/>
    <s v="3.366666666666667"/>
    <s v="0.4166666666666667"/>
    <n v="0"/>
  </r>
  <r>
    <s v="EMP0814"/>
    <x v="5"/>
    <s v="Finance Manager"/>
    <n v="4.5"/>
    <s v="G1"/>
    <n v="37"/>
    <s v="Bachelor"/>
    <s v="Chennai"/>
    <n v="3"/>
    <n v="6.1"/>
    <n v="10"/>
    <n v="2"/>
    <n v="12"/>
    <n v="0"/>
    <s v="Band A"/>
    <n v="31900"/>
    <n v="8.6"/>
    <n v="3"/>
    <n v="2.5"/>
    <n v="0"/>
    <n v="2.9"/>
    <n v="3.4"/>
    <n v="4.0999999999999996"/>
    <s v="Yes"/>
    <n v="0"/>
    <n v="1"/>
    <n v="1.1000000000000001"/>
    <n v="0"/>
    <s v="Stayed"/>
    <m/>
    <n v="0"/>
    <n v="0"/>
    <s v="Promoted"/>
    <s v="3â€“5 years"/>
    <s v="Low"/>
    <s v="3.4666666666666663"/>
    <n v="0.25"/>
    <n v="0"/>
  </r>
  <r>
    <s v="EMP0815"/>
    <x v="3"/>
    <s v="Software Engineer"/>
    <n v="4.8"/>
    <s v="G2"/>
    <n v="38"/>
    <s v="Bachelor"/>
    <s v="Chennai"/>
    <n v="5"/>
    <n v="1.5"/>
    <n v="7"/>
    <n v="0"/>
    <n v="12"/>
    <n v="0"/>
    <s v="Band B"/>
    <n v="36600"/>
    <n v="8.3000000000000007"/>
    <n v="3.2"/>
    <n v="1.3"/>
    <n v="0"/>
    <n v="3.6"/>
    <n v="1.8"/>
    <n v="4.5999999999999996"/>
    <s v="Yes"/>
    <n v="0"/>
    <n v="0"/>
    <m/>
    <n v="0"/>
    <s v="Stayed"/>
    <m/>
    <n v="1"/>
    <n v="0"/>
    <s v="No Recorded Promotions"/>
    <s v="3â€“5 years"/>
    <s v="Low"/>
    <s v="3.3333333333333335"/>
    <s v="0.4166666666666667"/>
    <n v="0"/>
  </r>
  <r>
    <s v="EMP0816"/>
    <x v="2"/>
    <s v="Support Associate"/>
    <n v="3.4"/>
    <s v="G1"/>
    <n v="30"/>
    <s v="Master"/>
    <s v="Chennai"/>
    <n v="2"/>
    <n v="3.1"/>
    <n v="8"/>
    <n v="1"/>
    <n v="12"/>
    <n v="0"/>
    <s v="Band A"/>
    <n v="31500"/>
    <n v="11.6"/>
    <n v="2.1"/>
    <n v="0.2"/>
    <n v="0"/>
    <n v="4"/>
    <n v="3.2"/>
    <n v="2.7"/>
    <s v="Yes"/>
    <n v="0"/>
    <n v="1"/>
    <n v="1.3"/>
    <n v="1"/>
    <s v="Stayed"/>
    <m/>
    <n v="0"/>
    <n v="0"/>
    <s v="Promoted"/>
    <s v="3â€“5 years"/>
    <s v="Low"/>
    <s v="3.3000000000000003"/>
    <s v="0.16666666666666666"/>
    <n v="0"/>
  </r>
  <r>
    <s v="EMP0817"/>
    <x v="2"/>
    <s v="Support Team Lead"/>
    <n v="4.4000000000000004"/>
    <s v="G3"/>
    <n v="29"/>
    <s v="Bachelor"/>
    <s v="Remote"/>
    <n v="2"/>
    <n v="22.4"/>
    <n v="8"/>
    <n v="2"/>
    <n v="12"/>
    <n v="0"/>
    <s v="Band B"/>
    <n v="44300"/>
    <n v="6.4"/>
    <n v="3.2"/>
    <n v="0.5"/>
    <n v="0"/>
    <n v="2.4"/>
    <n v="1.9"/>
    <n v="3.4"/>
    <s v="Yes"/>
    <n v="1"/>
    <n v="0"/>
    <m/>
    <n v="0"/>
    <s v="Stayed"/>
    <m/>
    <n v="1"/>
    <n v="0"/>
    <s v="No Recorded Promotions"/>
    <s v="3â€“5 years"/>
    <s v="High"/>
    <s v="2.5666666666666664"/>
    <s v="0.16666666666666666"/>
    <n v="0"/>
  </r>
  <r>
    <s v="EMP0818"/>
    <x v="5"/>
    <s v="Finance Manager"/>
    <n v="1.8"/>
    <s v="G1"/>
    <n v="33"/>
    <s v="Bachelor"/>
    <s v="Hyderabad"/>
    <n v="3"/>
    <n v="6.3"/>
    <n v="8"/>
    <n v="4"/>
    <n v="12"/>
    <n v="0"/>
    <s v="Band A"/>
    <n v="28600"/>
    <n v="3.6"/>
    <n v="2.5"/>
    <n v="0.1"/>
    <n v="0"/>
    <n v="3.6"/>
    <n v="3.7"/>
    <n v="2.2999999999999998"/>
    <s v="Yes"/>
    <n v="0"/>
    <n v="1"/>
    <m/>
    <n v="0"/>
    <s v="Stayed"/>
    <m/>
    <n v="1"/>
    <n v="0"/>
    <s v="Promoted"/>
    <s v="1â€“3 years"/>
    <s v="Low"/>
    <s v="3.2000000000000006"/>
    <n v="0.25"/>
    <n v="0"/>
  </r>
  <r>
    <s v="EMP0819"/>
    <x v="0"/>
    <s v="Operations Associate"/>
    <n v="3.4"/>
    <s v="G2"/>
    <n v="32"/>
    <s v="Master"/>
    <s v="Hyderabad"/>
    <n v="4"/>
    <n v="8.1999999999999993"/>
    <n v="6"/>
    <n v="2"/>
    <n v="12"/>
    <n v="0"/>
    <s v="Band B"/>
    <n v="38900"/>
    <n v="8"/>
    <n v="2.9"/>
    <n v="5.7"/>
    <n v="0"/>
    <n v="1"/>
    <n v="2.2000000000000002"/>
    <n v="2.2999999999999998"/>
    <s v="Yes"/>
    <n v="0"/>
    <n v="1"/>
    <n v="1.7"/>
    <n v="0"/>
    <s v="Stayed"/>
    <m/>
    <n v="0"/>
    <n v="0"/>
    <s v="Promoted"/>
    <s v="3â€“5 years"/>
    <s v="Low"/>
    <s v="1.8333333333333333"/>
    <s v="0.3333333333333333"/>
    <n v="0"/>
  </r>
  <r>
    <s v="EMP0820"/>
    <x v="4"/>
    <s v="Sales Manager"/>
    <n v="2"/>
    <s v="G4"/>
    <n v="24"/>
    <s v="Master"/>
    <s v="Bengaluru"/>
    <n v="6"/>
    <n v="6.9"/>
    <n v="10"/>
    <n v="3"/>
    <n v="12"/>
    <n v="0"/>
    <s v="Band D"/>
    <n v="78400"/>
    <n v="10.4"/>
    <n v="3.5"/>
    <n v="5.0999999999999996"/>
    <n v="0"/>
    <n v="1.6"/>
    <n v="3.3"/>
    <n v="2.9"/>
    <s v="Yes"/>
    <n v="0"/>
    <n v="1"/>
    <n v="0.3"/>
    <n v="0"/>
    <s v="Stayed"/>
    <m/>
    <n v="0"/>
    <n v="0"/>
    <s v="Promoted"/>
    <s v="1â€“3 years"/>
    <s v="Low"/>
    <n v="2.6"/>
    <n v="0.5"/>
    <n v="0"/>
  </r>
  <r>
    <s v="EMP0821"/>
    <x v="3"/>
    <s v="QA Engineer"/>
    <n v="3.1"/>
    <s v="G3"/>
    <n v="25"/>
    <s v="Master"/>
    <s v="Chennai"/>
    <n v="1"/>
    <n v="28.2"/>
    <n v="8"/>
    <n v="1"/>
    <n v="12"/>
    <n v="0"/>
    <s v="Band B"/>
    <n v="47000"/>
    <n v="11.7"/>
    <n v="2.8"/>
    <n v="0.2"/>
    <n v="0"/>
    <n v="3.8"/>
    <n v="3.5"/>
    <n v="3.7"/>
    <s v="Yes"/>
    <n v="0"/>
    <n v="0"/>
    <m/>
    <n v="1"/>
    <s v="Stayed"/>
    <m/>
    <n v="1"/>
    <n v="0"/>
    <s v="No Recorded Promotions"/>
    <s v="3â€“5 years"/>
    <s v="High"/>
    <s v="3.6666666666666665"/>
    <n v="8.3333333333333301E-2"/>
    <n v="0"/>
  </r>
  <r>
    <s v="EMP0822"/>
    <x v="5"/>
    <s v="Finance Manager"/>
    <n v="2.1"/>
    <s v="G1"/>
    <n v="30"/>
    <s v="Bachelor"/>
    <s v="Chennai"/>
    <n v="1"/>
    <n v="5.0999999999999996"/>
    <n v="7"/>
    <n v="2"/>
    <n v="12"/>
    <n v="0"/>
    <s v="Band A"/>
    <n v="25300"/>
    <n v="11.7"/>
    <n v="2.9"/>
    <n v="2.9"/>
    <n v="0"/>
    <n v="3.3"/>
    <n v="3.3"/>
    <n v="4.7"/>
    <s v="Yes"/>
    <n v="1"/>
    <n v="1"/>
    <n v="0.7"/>
    <n v="0"/>
    <s v="Stayed"/>
    <m/>
    <n v="0"/>
    <n v="0"/>
    <s v="Promoted"/>
    <s v="1â€“3 years"/>
    <s v="Low"/>
    <s v="3.766666666666667"/>
    <n v="8.3333333333333301E-2"/>
    <n v="0"/>
  </r>
  <r>
    <s v="EMP0823"/>
    <x v="4"/>
    <s v="Sales Executive"/>
    <n v="5.4"/>
    <s v="G1"/>
    <n v="31"/>
    <s v="Bachelor"/>
    <s v="Bengaluru"/>
    <n v="2"/>
    <n v="4.7"/>
    <n v="6"/>
    <n v="3"/>
    <n v="12"/>
    <n v="0"/>
    <s v="Band A"/>
    <n v="24500"/>
    <n v="7.7"/>
    <n v="3.9"/>
    <n v="1.9"/>
    <n v="0"/>
    <n v="2.5"/>
    <n v="2.6"/>
    <n v="4.9000000000000004"/>
    <s v="Yes"/>
    <n v="0"/>
    <n v="0"/>
    <m/>
    <n v="1"/>
    <s v="Stayed"/>
    <m/>
    <n v="1"/>
    <n v="0"/>
    <s v="No Recorded Promotions"/>
    <s v="5+ years"/>
    <s v="Low"/>
    <s v="3.3333333333333335"/>
    <s v="0.16666666666666666"/>
    <n v="0"/>
  </r>
  <r>
    <s v="EMP0824"/>
    <x v="0"/>
    <s v="Operations Manager"/>
    <n v="5.9"/>
    <s v="G2"/>
    <n v="32"/>
    <s v="Master"/>
    <s v="Bengaluru"/>
    <n v="1"/>
    <n v="15.3"/>
    <n v="7"/>
    <n v="3"/>
    <n v="12"/>
    <n v="0"/>
    <s v="Band B"/>
    <n v="37500"/>
    <n v="7.3"/>
    <n v="2.4"/>
    <n v="3.3"/>
    <n v="0"/>
    <n v="3.3"/>
    <n v="3"/>
    <n v="3.1"/>
    <s v="Yes"/>
    <n v="0"/>
    <n v="1"/>
    <m/>
    <n v="0"/>
    <s v="Stayed"/>
    <m/>
    <n v="1"/>
    <n v="0"/>
    <s v="Promoted"/>
    <s v="5+ years"/>
    <s v="Moderate"/>
    <s v="3.1333333333333333"/>
    <n v="8.3333333333333301E-2"/>
    <n v="0"/>
  </r>
  <r>
    <s v="EMP0825"/>
    <x v="2"/>
    <s v="Support Specialist"/>
    <n v="4.7"/>
    <s v="G2"/>
    <n v="35"/>
    <s v="Bachelor"/>
    <s v="Coimbatore"/>
    <n v="3"/>
    <n v="11.8"/>
    <n v="4"/>
    <n v="3"/>
    <n v="12"/>
    <n v="0"/>
    <s v="Band B"/>
    <n v="40800"/>
    <n v="5.6"/>
    <n v="2.6"/>
    <n v="0.5"/>
    <n v="0"/>
    <n v="2.9"/>
    <n v="4.3"/>
    <n v="3.6"/>
    <s v="Yes"/>
    <n v="0"/>
    <n v="1"/>
    <n v="3.4"/>
    <n v="0"/>
    <s v="Stayed"/>
    <m/>
    <n v="0"/>
    <n v="0"/>
    <s v="Promoted"/>
    <s v="3â€“5 years"/>
    <s v="Moderate"/>
    <s v="3.5999999999999996"/>
    <n v="0.25"/>
    <n v="0"/>
  </r>
  <r>
    <s v="EMP0826"/>
    <x v="3"/>
    <s v="Data Analyst"/>
    <n v="2.2999999999999998"/>
    <s v="G1"/>
    <n v="31"/>
    <s v="Master"/>
    <s v="Coimbatore"/>
    <n v="2"/>
    <n v="15.6"/>
    <n v="8"/>
    <n v="2"/>
    <n v="12"/>
    <n v="0"/>
    <s v="Band A"/>
    <n v="22100"/>
    <n v="9"/>
    <n v="2.1"/>
    <n v="1.9"/>
    <n v="0"/>
    <n v="2.4"/>
    <n v="2.8"/>
    <n v="4.2"/>
    <s v="Yes"/>
    <n v="0"/>
    <n v="0"/>
    <m/>
    <n v="1"/>
    <s v="Stayed"/>
    <m/>
    <n v="1"/>
    <n v="0"/>
    <s v="No Recorded Promotions"/>
    <s v="1â€“3 years"/>
    <s v="Moderate"/>
    <s v="3.133333333333333"/>
    <s v="0.16666666666666666"/>
    <n v="0"/>
  </r>
  <r>
    <s v="EMP0827"/>
    <x v="5"/>
    <s v="Financial Analyst"/>
    <n v="1.3"/>
    <s v="G3"/>
    <n v="33"/>
    <s v="Master"/>
    <s v="Coimbatore"/>
    <n v="3"/>
    <n v="14.9"/>
    <n v="10"/>
    <n v="1"/>
    <n v="12"/>
    <n v="0"/>
    <s v="Band B"/>
    <n v="49200"/>
    <n v="1.4"/>
    <n v="2.5"/>
    <n v="0.6"/>
    <n v="0"/>
    <n v="1.8"/>
    <n v="3.2"/>
    <n v="4"/>
    <s v="Yes"/>
    <n v="0"/>
    <n v="0"/>
    <m/>
    <n v="0"/>
    <s v="Stayed"/>
    <m/>
    <n v="1"/>
    <n v="0"/>
    <s v="No Recorded Promotions"/>
    <s v="1â€“3 years"/>
    <s v="Moderate"/>
    <n v="3"/>
    <n v="0.25"/>
    <n v="0"/>
  </r>
  <r>
    <s v="EMP0828"/>
    <x v="3"/>
    <s v="Data Analyst"/>
    <n v="5.9"/>
    <s v="G2"/>
    <n v="24"/>
    <s v="Bachelor"/>
    <s v="Chennai"/>
    <n v="3"/>
    <n v="20.399999999999999"/>
    <n v="7"/>
    <n v="1"/>
    <n v="12"/>
    <n v="0"/>
    <s v="Band B"/>
    <n v="43200"/>
    <n v="8.1"/>
    <n v="3.3"/>
    <n v="0.4"/>
    <n v="0"/>
    <n v="1.5"/>
    <n v="2.7"/>
    <n v="3.3"/>
    <s v="Yes"/>
    <n v="0"/>
    <n v="0"/>
    <m/>
    <n v="0"/>
    <s v="Stayed"/>
    <m/>
    <n v="1"/>
    <n v="0"/>
    <s v="No Recorded Promotions"/>
    <s v="5+ years"/>
    <s v="High"/>
    <n v="2.5"/>
    <n v="0.25"/>
    <n v="0"/>
  </r>
  <r>
    <s v="EMP0829"/>
    <x v="2"/>
    <s v="Support Specialist"/>
    <n v="3.8"/>
    <s v="G3"/>
    <n v="31"/>
    <s v="Bachelor"/>
    <s v="Chennai"/>
    <n v="3"/>
    <n v="2.6"/>
    <n v="6"/>
    <n v="0"/>
    <n v="12"/>
    <n v="0"/>
    <s v="Band C"/>
    <n v="52700"/>
    <n v="19.399999999999999"/>
    <n v="3.8"/>
    <n v="1.4"/>
    <n v="0"/>
    <n v="4"/>
    <n v="4.0999999999999996"/>
    <n v="3.5"/>
    <s v="Yes"/>
    <n v="0"/>
    <n v="2"/>
    <n v="1.9"/>
    <n v="0"/>
    <s v="Stayed"/>
    <m/>
    <n v="0"/>
    <n v="0"/>
    <s v="Promoted"/>
    <s v="3â€“5 years"/>
    <s v="Low"/>
    <s v="3.8666666666666667"/>
    <n v="0.25"/>
    <n v="0"/>
  </r>
  <r>
    <s v="EMP0830"/>
    <x v="4"/>
    <s v="Sales Executive"/>
    <n v="0.7"/>
    <s v="G2"/>
    <n v="29"/>
    <s v="Bachelor"/>
    <s v="Coimbatore"/>
    <n v="5"/>
    <n v="14.2"/>
    <n v="14"/>
    <n v="2"/>
    <n v="12"/>
    <n v="0"/>
    <s v="Band B"/>
    <n v="38300"/>
    <n v="2"/>
    <n v="2.5"/>
    <n v="2.5"/>
    <n v="0"/>
    <n v="2.9"/>
    <n v="3.3"/>
    <n v="3.3"/>
    <s v="Yes"/>
    <n v="0"/>
    <n v="0"/>
    <m/>
    <n v="0"/>
    <s v="Stayed"/>
    <m/>
    <n v="1"/>
    <n v="0"/>
    <s v="No Recorded Promotions"/>
    <s v="0â€“1 years"/>
    <s v="Moderate"/>
    <s v="3.1666666666666665"/>
    <s v="0.4166666666666667"/>
    <n v="0"/>
  </r>
  <r>
    <s v="EMP0831"/>
    <x v="0"/>
    <s v="Operations Manager"/>
    <n v="4.2"/>
    <s v="G1"/>
    <n v="24"/>
    <s v="Bachelor"/>
    <s v="Bengaluru"/>
    <n v="5"/>
    <n v="4.8"/>
    <n v="5"/>
    <n v="2"/>
    <n v="12"/>
    <n v="0"/>
    <s v="Band A"/>
    <n v="23700"/>
    <n v="8.6"/>
    <n v="3.7"/>
    <n v="2.2999999999999998"/>
    <n v="0"/>
    <n v="4.2"/>
    <n v="2.5"/>
    <n v="3.2"/>
    <s v="No"/>
    <n v="0"/>
    <n v="0"/>
    <m/>
    <n v="0"/>
    <s v="Stayed"/>
    <m/>
    <n v="1"/>
    <n v="0"/>
    <s v="No Recorded Promotions"/>
    <s v="3â€“5 years"/>
    <s v="Low"/>
    <s v="3.3000000000000003"/>
    <s v="0.4166666666666667"/>
    <n v="0"/>
  </r>
  <r>
    <s v="EMP0832"/>
    <x v="5"/>
    <s v="Finance Manager"/>
    <n v="4.9000000000000004"/>
    <s v="G1"/>
    <n v="28"/>
    <s v="Bachelor"/>
    <s v="Remote"/>
    <n v="5"/>
    <n v="1"/>
    <n v="13"/>
    <n v="1"/>
    <n v="12"/>
    <n v="0"/>
    <s v="Band A"/>
    <n v="28900"/>
    <n v="9.5"/>
    <n v="3.3"/>
    <n v="3.1"/>
    <n v="0"/>
    <n v="2.9"/>
    <n v="3.3"/>
    <n v="3.1"/>
    <s v="Yes"/>
    <n v="1"/>
    <n v="0"/>
    <m/>
    <n v="0"/>
    <s v="Stayed"/>
    <m/>
    <n v="1"/>
    <n v="0"/>
    <s v="No Recorded Promotions"/>
    <s v="3â€“5 years"/>
    <s v="Low"/>
    <s v="3.0999999999999996"/>
    <s v="0.4166666666666667"/>
    <n v="0"/>
  </r>
  <r>
    <s v="EMP0833"/>
    <x v="4"/>
    <s v="Sales Executive"/>
    <n v="1"/>
    <s v="G2"/>
    <n v="24"/>
    <s v="Master"/>
    <s v="Coimbatore"/>
    <n v="1"/>
    <n v="14.8"/>
    <n v="9"/>
    <n v="2"/>
    <n v="12"/>
    <n v="0"/>
    <s v="Band B"/>
    <n v="38100"/>
    <n v="10"/>
    <n v="2"/>
    <n v="0.6"/>
    <n v="0"/>
    <n v="3.6"/>
    <n v="3"/>
    <n v="3.3"/>
    <s v="Yes"/>
    <n v="0"/>
    <n v="0"/>
    <m/>
    <n v="1"/>
    <s v="Stayed"/>
    <m/>
    <n v="1"/>
    <n v="0"/>
    <s v="No Recorded Promotions"/>
    <s v="0â€“1 years"/>
    <s v="Moderate"/>
    <s v="3.2999999999999994"/>
    <n v="8.3333333333333301E-2"/>
    <n v="0"/>
  </r>
  <r>
    <s v="EMP0834"/>
    <x v="0"/>
    <s v="Team Lead"/>
    <n v="5.5"/>
    <s v="G1"/>
    <n v="32"/>
    <s v="Bachelor"/>
    <s v="Bengaluru"/>
    <n v="3"/>
    <n v="14.1"/>
    <n v="14"/>
    <n v="5"/>
    <n v="12"/>
    <n v="0"/>
    <s v="Band A"/>
    <n v="28900"/>
    <n v="4.0999999999999996"/>
    <n v="3.4"/>
    <n v="5.0999999999999996"/>
    <n v="0"/>
    <n v="3.2"/>
    <n v="4.5"/>
    <n v="3.1"/>
    <s v="No"/>
    <n v="0"/>
    <n v="0"/>
    <m/>
    <n v="0"/>
    <s v="Left"/>
    <d v="2024-04-21T00:00:00"/>
    <n v="1"/>
    <n v="0"/>
    <s v="No Recorded Promotions"/>
    <s v="5+ years"/>
    <s v="Moderate"/>
    <n v="3.6"/>
    <n v="0.25"/>
    <n v="1"/>
  </r>
  <r>
    <s v="EMP0835"/>
    <x v="0"/>
    <s v="Team Lead"/>
    <n v="1.1000000000000001"/>
    <s v="G2"/>
    <n v="34"/>
    <s v="Master"/>
    <s v="Hyderabad"/>
    <n v="3"/>
    <n v="10"/>
    <n v="12"/>
    <n v="4"/>
    <n v="12"/>
    <n v="0"/>
    <s v="Band B"/>
    <n v="38700"/>
    <n v="10.1"/>
    <n v="4.3"/>
    <n v="1.4"/>
    <n v="0"/>
    <n v="3.3"/>
    <n v="3.2"/>
    <n v="2.5"/>
    <s v="Yes"/>
    <n v="0"/>
    <n v="0"/>
    <m/>
    <n v="1"/>
    <s v="Left"/>
    <d v="2026-09-17T00:00:00"/>
    <n v="1"/>
    <n v="0"/>
    <s v="No Recorded Promotions"/>
    <s v="1â€“3 years"/>
    <s v="Low"/>
    <n v="3"/>
    <n v="0.25"/>
    <n v="1"/>
  </r>
  <r>
    <s v="EMP0836"/>
    <x v="5"/>
    <s v="Financial Analyst"/>
    <n v="2.1"/>
    <s v="G4"/>
    <n v="36"/>
    <s v="Bachelor"/>
    <s v="Chennai"/>
    <n v="1"/>
    <n v="20.6"/>
    <n v="9"/>
    <n v="2"/>
    <n v="12"/>
    <n v="0"/>
    <s v="Band C"/>
    <n v="67500"/>
    <n v="5.9"/>
    <n v="1.5"/>
    <n v="0.3"/>
    <n v="0"/>
    <n v="3.4"/>
    <n v="2"/>
    <n v="4.0999999999999996"/>
    <s v="Yes"/>
    <n v="0"/>
    <n v="0"/>
    <m/>
    <n v="0"/>
    <s v="Stayed"/>
    <m/>
    <n v="1"/>
    <n v="0"/>
    <s v="No Recorded Promotions"/>
    <s v="1â€“3 years"/>
    <s v="High"/>
    <s v="3.1666666666666665"/>
    <n v="8.3333333333333301E-2"/>
    <n v="0"/>
  </r>
  <r>
    <s v="EMP0837"/>
    <x v="0"/>
    <s v="Operations Manager"/>
    <n v="1.1000000000000001"/>
    <s v="G4"/>
    <n v="24"/>
    <s v="Master"/>
    <s v="Bengaluru"/>
    <n v="2"/>
    <n v="4.8"/>
    <n v="10"/>
    <n v="3"/>
    <n v="12"/>
    <n v="0"/>
    <s v="Band C"/>
    <n v="66200"/>
    <n v="2.2999999999999998"/>
    <n v="5"/>
    <n v="2.9"/>
    <n v="0"/>
    <n v="2.9"/>
    <n v="3.6"/>
    <n v="3.8"/>
    <s v="Yes"/>
    <n v="0"/>
    <n v="1"/>
    <n v="0.3"/>
    <n v="1"/>
    <s v="Stayed"/>
    <m/>
    <n v="0"/>
    <n v="0"/>
    <s v="Promoted"/>
    <s v="1â€“3 years"/>
    <s v="Low"/>
    <s v="3.4333333333333336"/>
    <s v="0.16666666666666666"/>
    <n v="0"/>
  </r>
  <r>
    <s v="EMP0838"/>
    <x v="2"/>
    <s v="Support Team Lead"/>
    <n v="1.9"/>
    <s v="G2"/>
    <n v="30"/>
    <s v="Bachelor"/>
    <s v="Coimbatore"/>
    <n v="1"/>
    <n v="16.7"/>
    <n v="7"/>
    <n v="2"/>
    <n v="12"/>
    <n v="0"/>
    <s v="Band A"/>
    <n v="33300"/>
    <n v="11.8"/>
    <n v="2.7"/>
    <n v="1.2"/>
    <n v="0"/>
    <n v="2.2000000000000002"/>
    <n v="4.8"/>
    <n v="4.9000000000000004"/>
    <s v="Yes"/>
    <n v="0"/>
    <n v="0"/>
    <m/>
    <n v="0"/>
    <s v="Stayed"/>
    <m/>
    <n v="1"/>
    <n v="0"/>
    <s v="No Recorded Promotions"/>
    <s v="1â€“3 years"/>
    <s v="Moderate"/>
    <s v="3.966666666666667"/>
    <n v="8.3333333333333301E-2"/>
    <n v="0"/>
  </r>
  <r>
    <s v="EMP0839"/>
    <x v="4"/>
    <s v="Sales Executive"/>
    <n v="1.3"/>
    <s v="G3"/>
    <n v="30"/>
    <s v="Master"/>
    <s v="Bengaluru"/>
    <n v="1"/>
    <n v="8.8000000000000007"/>
    <n v="8"/>
    <n v="0"/>
    <n v="12"/>
    <n v="0"/>
    <s v="Band C"/>
    <n v="58100"/>
    <n v="10.7"/>
    <n v="1.7"/>
    <n v="0.7"/>
    <n v="0"/>
    <n v="4"/>
    <n v="4.3"/>
    <n v="3.7"/>
    <s v="Yes"/>
    <n v="0"/>
    <n v="0"/>
    <m/>
    <n v="1"/>
    <s v="Stayed"/>
    <m/>
    <n v="1"/>
    <n v="0"/>
    <s v="No Recorded Promotions"/>
    <s v="1â€“3 years"/>
    <s v="Low"/>
    <n v="4"/>
    <n v="8.3333333333333301E-2"/>
    <n v="0"/>
  </r>
  <r>
    <s v="EMP0840"/>
    <x v="5"/>
    <s v="Finance Manager"/>
    <n v="7.4"/>
    <s v="G3"/>
    <n v="35"/>
    <s v="Master"/>
    <s v="Chennai"/>
    <n v="1"/>
    <n v="9.4"/>
    <n v="9"/>
    <n v="2"/>
    <n v="12"/>
    <n v="0"/>
    <s v="Band B"/>
    <n v="47900"/>
    <n v="4.0999999999999996"/>
    <n v="3.3"/>
    <n v="1.2"/>
    <n v="0"/>
    <n v="4.7"/>
    <n v="2.2000000000000002"/>
    <n v="3.1"/>
    <s v="Yes"/>
    <n v="0"/>
    <n v="1"/>
    <n v="0.2"/>
    <n v="0"/>
    <s v="Stayed"/>
    <m/>
    <n v="0"/>
    <n v="0"/>
    <s v="Promoted"/>
    <s v="5+ years"/>
    <s v="Low"/>
    <s v="3.3333333333333335"/>
    <n v="8.3333333333333301E-2"/>
    <n v="0"/>
  </r>
  <r>
    <s v="EMP0841"/>
    <x v="3"/>
    <s v="Senior Software Engineer"/>
    <n v="3.2"/>
    <s v="G4"/>
    <n v="31"/>
    <s v="Bachelor"/>
    <s v="Remote"/>
    <n v="3"/>
    <n v="1.2"/>
    <n v="8"/>
    <n v="0"/>
    <n v="12"/>
    <n v="0"/>
    <s v="Band C"/>
    <n v="72600"/>
    <n v="5.8"/>
    <n v="3.9"/>
    <n v="0.1"/>
    <n v="0"/>
    <n v="4.8"/>
    <n v="3"/>
    <n v="2.9"/>
    <s v="Yes"/>
    <n v="0"/>
    <n v="0"/>
    <m/>
    <n v="0"/>
    <s v="Stayed"/>
    <m/>
    <n v="1"/>
    <n v="0"/>
    <s v="No Recorded Promotions"/>
    <s v="3â€“5 years"/>
    <s v="Low"/>
    <s v="3.5666666666666664"/>
    <n v="0.25"/>
    <n v="0"/>
  </r>
  <r>
    <s v="EMP0842"/>
    <x v="0"/>
    <s v="Operations Manager"/>
    <n v="2.7"/>
    <s v="G2"/>
    <n v="30"/>
    <s v="Bachelor"/>
    <s v="Remote"/>
    <n v="3"/>
    <n v="20.8"/>
    <n v="7"/>
    <n v="1"/>
    <n v="12"/>
    <n v="0"/>
    <s v="Band B"/>
    <n v="46800"/>
    <n v="5.7"/>
    <n v="2.9"/>
    <n v="4.3"/>
    <n v="0"/>
    <n v="2.8"/>
    <n v="3.2"/>
    <n v="3.4"/>
    <s v="Yes"/>
    <n v="0"/>
    <n v="2"/>
    <n v="1.6"/>
    <n v="0"/>
    <s v="Stayed"/>
    <m/>
    <n v="0"/>
    <n v="0"/>
    <s v="Promoted"/>
    <s v="1â€“3 years"/>
    <s v="High"/>
    <s v="3.1333333333333333"/>
    <n v="0.25"/>
    <n v="0"/>
  </r>
  <r>
    <s v="EMP0843"/>
    <x v="5"/>
    <s v="Finance Manager"/>
    <n v="7.9"/>
    <s v="G2"/>
    <n v="41"/>
    <s v="Master"/>
    <s v="Chennai"/>
    <n v="6"/>
    <n v="13.7"/>
    <n v="9"/>
    <n v="2"/>
    <n v="12"/>
    <n v="0"/>
    <s v="Band B"/>
    <n v="46800"/>
    <n v="1.4"/>
    <n v="3.5"/>
    <n v="2.1"/>
    <n v="0"/>
    <n v="2.6"/>
    <n v="3.2"/>
    <n v="3.8"/>
    <s v="Yes"/>
    <n v="0"/>
    <n v="0"/>
    <m/>
    <n v="0"/>
    <s v="Left"/>
    <d v="2025-10-18T00:00:00"/>
    <n v="1"/>
    <n v="0"/>
    <s v="No Recorded Promotions"/>
    <s v="5+ years"/>
    <s v="Moderate"/>
    <s v="3.2000000000000006"/>
    <n v="0.5"/>
    <n v="1"/>
  </r>
  <r>
    <s v="EMP0844"/>
    <x v="4"/>
    <s v="Account Manager"/>
    <n v="7.6"/>
    <s v="G2"/>
    <n v="38"/>
    <s v="Bachelor"/>
    <s v="Chennai"/>
    <n v="2"/>
    <n v="16.2"/>
    <n v="8"/>
    <n v="0"/>
    <n v="12"/>
    <n v="0"/>
    <s v="Band B"/>
    <n v="43700"/>
    <n v="11"/>
    <n v="5"/>
    <n v="1.4"/>
    <n v="0"/>
    <n v="2.8"/>
    <n v="3.5"/>
    <n v="3.2"/>
    <s v="Yes"/>
    <n v="0"/>
    <n v="1"/>
    <n v="0.1"/>
    <n v="0"/>
    <s v="Stayed"/>
    <m/>
    <n v="0"/>
    <n v="0"/>
    <s v="Promoted"/>
    <s v="5+ years"/>
    <s v="Moderate"/>
    <s v="3.1666666666666665"/>
    <s v="0.16666666666666666"/>
    <n v="0"/>
  </r>
  <r>
    <s v="EMP0845"/>
    <x v="3"/>
    <s v="Senior Software Engineer"/>
    <n v="2.9"/>
    <s v="G1"/>
    <n v="25"/>
    <s v="Master"/>
    <s v="Chennai"/>
    <n v="2"/>
    <n v="105"/>
    <n v="8"/>
    <n v="4"/>
    <n v="12"/>
    <n v="1"/>
    <s v="Band A"/>
    <n v="29200"/>
    <n v="11.2"/>
    <n v="3.4"/>
    <n v="1"/>
    <n v="0"/>
    <n v="3.1"/>
    <n v="2.9"/>
    <n v="2.2000000000000002"/>
    <s v="Yes"/>
    <n v="0"/>
    <n v="0"/>
    <m/>
    <n v="0"/>
    <s v="Stayed"/>
    <m/>
    <n v="1"/>
    <n v="0"/>
    <s v="No Recorded Promotions"/>
    <s v="1â€“3 years"/>
    <s v="Extreme"/>
    <s v="2.733333333333333"/>
    <s v="0.16666666666666666"/>
    <n v="0"/>
  </r>
  <r>
    <s v="EMP0846"/>
    <x v="2"/>
    <s v="Support Specialist"/>
    <n v="4.7"/>
    <s v="G2"/>
    <n v="34"/>
    <s v="Master"/>
    <s v="Hyderabad"/>
    <n v="0"/>
    <n v="12.5"/>
    <n v="1"/>
    <n v="3"/>
    <n v="12"/>
    <n v="0"/>
    <s v="Band B"/>
    <n v="38900"/>
    <n v="6.7"/>
    <n v="5"/>
    <n v="3.2"/>
    <n v="0"/>
    <n v="3.3"/>
    <n v="3.3"/>
    <n v="2.8"/>
    <s v="Yes"/>
    <n v="1"/>
    <n v="1"/>
    <n v="3"/>
    <n v="0"/>
    <s v="Stayed"/>
    <m/>
    <n v="0"/>
    <n v="0"/>
    <s v="Promoted"/>
    <s v="3â€“5 years"/>
    <s v="Moderate"/>
    <s v="3.133333333333333"/>
    <n v="0"/>
    <n v="0"/>
  </r>
  <r>
    <s v="EMP0847"/>
    <x v="4"/>
    <s v="Sales Manager"/>
    <n v="2.4"/>
    <s v="G4"/>
    <n v="32"/>
    <s v="Master"/>
    <s v="Bengaluru"/>
    <n v="3"/>
    <n v="8.8000000000000007"/>
    <n v="9"/>
    <n v="4"/>
    <n v="12"/>
    <n v="0"/>
    <s v="Band C"/>
    <n v="62800"/>
    <n v="7.9"/>
    <n v="4.3"/>
    <n v="4.5"/>
    <n v="0"/>
    <n v="2.4"/>
    <n v="4.0999999999999996"/>
    <n v="3.4"/>
    <s v="Yes"/>
    <n v="0"/>
    <n v="3"/>
    <n v="0"/>
    <n v="1"/>
    <s v="Stayed"/>
    <m/>
    <n v="0"/>
    <n v="0"/>
    <s v="Promoted"/>
    <s v="1â€“3 years"/>
    <s v="Low"/>
    <s v="3.3000000000000003"/>
    <n v="0.25"/>
    <n v="0"/>
  </r>
  <r>
    <s v="EMP0848"/>
    <x v="0"/>
    <s v="Team Lead"/>
    <n v="3.6"/>
    <s v="G4"/>
    <n v="31"/>
    <s v="Bachelor"/>
    <s v="Chennai"/>
    <n v="4"/>
    <n v="14.3"/>
    <n v="9"/>
    <n v="1"/>
    <n v="12"/>
    <n v="0"/>
    <s v="Band C"/>
    <n v="69500"/>
    <n v="8.5"/>
    <n v="3.2"/>
    <n v="0.3"/>
    <n v="0"/>
    <n v="2"/>
    <n v="2.2000000000000002"/>
    <n v="4"/>
    <s v="Yes"/>
    <n v="0"/>
    <n v="1"/>
    <n v="1.8"/>
    <n v="0"/>
    <s v="Stayed"/>
    <m/>
    <n v="0"/>
    <n v="0"/>
    <s v="Promoted"/>
    <s v="3â€“5 years"/>
    <s v="Moderate"/>
    <s v="2.733333333333333"/>
    <s v="0.3333333333333333"/>
    <n v="0"/>
  </r>
  <r>
    <s v="EMP0849"/>
    <x v="3"/>
    <s v="Senior Software Engineer"/>
    <n v="1.6"/>
    <s v="G1"/>
    <n v="32"/>
    <s v="Bachelor"/>
    <s v="Hyderabad"/>
    <n v="2"/>
    <n v="12.1"/>
    <n v="8"/>
    <n v="2"/>
    <n v="12"/>
    <n v="0"/>
    <s v="Band A"/>
    <n v="29900"/>
    <n v="9"/>
    <n v="3.5"/>
    <n v="1.4"/>
    <n v="0"/>
    <n v="3.3"/>
    <n v="2.5"/>
    <n v="2.2000000000000002"/>
    <s v="Yes"/>
    <n v="0"/>
    <n v="1"/>
    <n v="0.3"/>
    <n v="0"/>
    <s v="Stayed"/>
    <m/>
    <n v="0"/>
    <n v="0"/>
    <s v="Promoted"/>
    <s v="1â€“3 years"/>
    <s v="Moderate"/>
    <s v="2.6666666666666665"/>
    <s v="0.16666666666666666"/>
    <n v="0"/>
  </r>
  <r>
    <s v="EMP0850"/>
    <x v="2"/>
    <s v="Support Specialist"/>
    <n v="5.2"/>
    <s v="G2"/>
    <n v="32"/>
    <s v="Doctorate"/>
    <s v="Chennai"/>
    <n v="3"/>
    <n v="32.1"/>
    <n v="7"/>
    <n v="2"/>
    <n v="12"/>
    <n v="0"/>
    <s v="Band B"/>
    <n v="41700"/>
    <n v="2.6"/>
    <n v="2.9"/>
    <n v="1.8"/>
    <n v="0"/>
    <n v="1"/>
    <n v="2.2000000000000002"/>
    <n v="3.6"/>
    <s v="Yes"/>
    <n v="0"/>
    <n v="0"/>
    <m/>
    <n v="0"/>
    <s v="Stayed"/>
    <m/>
    <n v="1"/>
    <n v="0"/>
    <s v="No Recorded Promotions"/>
    <s v="5+ years"/>
    <s v="High"/>
    <s v="2.266666666666667"/>
    <n v="0.25"/>
    <n v="0"/>
  </r>
  <r>
    <s v="EMP0851"/>
    <x v="3"/>
    <s v="Software Engineer"/>
    <n v="8.1"/>
    <s v="G2"/>
    <n v="35"/>
    <s v="Bachelor"/>
    <s v="Coimbatore"/>
    <n v="1"/>
    <n v="25.4"/>
    <n v="10"/>
    <n v="2"/>
    <n v="12"/>
    <n v="0"/>
    <s v="Band B"/>
    <n v="45400"/>
    <n v="10"/>
    <n v="3.4"/>
    <n v="3.2"/>
    <n v="0"/>
    <n v="3.2"/>
    <n v="3.8"/>
    <n v="3.6"/>
    <s v="Yes"/>
    <n v="0"/>
    <n v="2"/>
    <n v="0.2"/>
    <n v="0"/>
    <s v="Stayed"/>
    <m/>
    <n v="0"/>
    <n v="0"/>
    <s v="Promoted"/>
    <s v="5+ years"/>
    <s v="High"/>
    <s v="3.533333333333333"/>
    <n v="8.3333333333333301E-2"/>
    <n v="0"/>
  </r>
  <r>
    <s v="EMP0852"/>
    <x v="3"/>
    <s v="Senior Software Engineer"/>
    <n v="7.2"/>
    <s v="G2"/>
    <n v="34"/>
    <s v="Diploma"/>
    <s v="Coimbatore"/>
    <n v="6"/>
    <n v="8"/>
    <n v="13"/>
    <n v="1"/>
    <n v="12"/>
    <n v="0"/>
    <s v="Band B"/>
    <n v="47000"/>
    <n v="3.3"/>
    <n v="3.7"/>
    <n v="2.4"/>
    <n v="0"/>
    <n v="2.4"/>
    <n v="3.3"/>
    <n v="3"/>
    <s v="Yes"/>
    <n v="0"/>
    <n v="1"/>
    <n v="2.7"/>
    <n v="0"/>
    <s v="Stayed"/>
    <m/>
    <n v="0"/>
    <n v="0"/>
    <s v="Promoted"/>
    <s v="5+ years"/>
    <s v="Low"/>
    <n v="2.9"/>
    <n v="0.5"/>
    <n v="0"/>
  </r>
  <r>
    <s v="EMP0853"/>
    <x v="2"/>
    <s v="Support Associate"/>
    <n v="4"/>
    <s v="G3"/>
    <n v="22"/>
    <s v="Diploma"/>
    <s v="Coimbatore"/>
    <n v="4"/>
    <n v="14.8"/>
    <n v="10"/>
    <n v="2"/>
    <n v="12"/>
    <n v="0"/>
    <s v="Band C"/>
    <n v="52500"/>
    <n v="10.7"/>
    <n v="2.8"/>
    <n v="1.9"/>
    <n v="0"/>
    <n v="4"/>
    <n v="4"/>
    <n v="2.9"/>
    <s v="Yes"/>
    <n v="0"/>
    <n v="1"/>
    <n v="1"/>
    <n v="0"/>
    <s v="Stayed"/>
    <m/>
    <n v="0"/>
    <n v="0"/>
    <s v="Promoted"/>
    <s v="3â€“5 years"/>
    <s v="Moderate"/>
    <s v="3.6333333333333333"/>
    <s v="0.3333333333333333"/>
    <n v="0"/>
  </r>
  <r>
    <s v="EMP0854"/>
    <x v="2"/>
    <s v="Support Associate"/>
    <n v="0.6"/>
    <s v="G1"/>
    <n v="26"/>
    <s v="Master"/>
    <s v="Coimbatore"/>
    <n v="3"/>
    <n v="7.4"/>
    <n v="6"/>
    <n v="1"/>
    <n v="12"/>
    <n v="0"/>
    <s v="Band A"/>
    <n v="28600"/>
    <n v="3.7"/>
    <n v="2"/>
    <n v="1.3"/>
    <n v="0"/>
    <n v="4.2"/>
    <n v="2.5"/>
    <n v="2.8"/>
    <s v="Yes"/>
    <n v="0"/>
    <n v="0"/>
    <m/>
    <n v="0"/>
    <s v="Stayed"/>
    <m/>
    <n v="1"/>
    <n v="0"/>
    <s v="No Recorded Promotions"/>
    <s v="0â€“1 years"/>
    <s v="Low"/>
    <s v="3.1666666666666665"/>
    <n v="0.25"/>
    <n v="0"/>
  </r>
  <r>
    <s v="EMP0855"/>
    <x v="3"/>
    <s v="QA Engineer"/>
    <n v="2.2999999999999998"/>
    <s v="G4"/>
    <n v="26"/>
    <s v="Bachelor"/>
    <s v="Chennai"/>
    <n v="5"/>
    <n v="20.2"/>
    <n v="12"/>
    <n v="4"/>
    <n v="12"/>
    <n v="0"/>
    <s v="Band C"/>
    <n v="54300"/>
    <n v="2.8"/>
    <n v="4.4000000000000004"/>
    <n v="0.2"/>
    <n v="0"/>
    <n v="4.3"/>
    <n v="2.1"/>
    <n v="3.5"/>
    <s v="No"/>
    <n v="0"/>
    <n v="0"/>
    <m/>
    <n v="0"/>
    <s v="Stayed"/>
    <m/>
    <n v="1"/>
    <n v="0"/>
    <s v="No Recorded Promotions"/>
    <s v="1â€“3 years"/>
    <s v="High"/>
    <s v="3.3000000000000003"/>
    <s v="0.4166666666666667"/>
    <n v="0"/>
  </r>
  <r>
    <s v="EMP0856"/>
    <x v="1"/>
    <s v="HR Executive"/>
    <n v="3.6"/>
    <s v="G5"/>
    <n v="25"/>
    <s v="Bachelor"/>
    <s v="Coimbatore"/>
    <n v="3"/>
    <n v="9.1"/>
    <n v="6"/>
    <n v="0"/>
    <n v="12"/>
    <n v="0"/>
    <s v="Band E"/>
    <n v="123600"/>
    <n v="7.9"/>
    <n v="4.0999999999999996"/>
    <n v="1.5"/>
    <n v="0"/>
    <n v="3"/>
    <n v="3.3"/>
    <n v="4.3"/>
    <s v="Yes"/>
    <n v="1"/>
    <n v="4"/>
    <n v="2.6"/>
    <n v="0"/>
    <s v="Stayed"/>
    <m/>
    <n v="0"/>
    <n v="0"/>
    <s v="Promoted"/>
    <s v="3â€“5 years"/>
    <s v="Low"/>
    <s v="3.533333333333333"/>
    <n v="0.25"/>
    <n v="0"/>
  </r>
  <r>
    <s v="EMP0857"/>
    <x v="0"/>
    <s v="Team Lead"/>
    <n v="1.2"/>
    <s v="G3"/>
    <n v="33"/>
    <s v="Bachelor"/>
    <s v="Remote"/>
    <n v="2"/>
    <n v="6.5"/>
    <n v="8"/>
    <n v="2"/>
    <n v="12"/>
    <n v="0"/>
    <s v="Band B"/>
    <n v="49400"/>
    <n v="7.8"/>
    <n v="1.9"/>
    <n v="1"/>
    <n v="0"/>
    <n v="2.2999999999999998"/>
    <n v="3"/>
    <n v="4.4000000000000004"/>
    <s v="Yes"/>
    <n v="0"/>
    <n v="0"/>
    <m/>
    <n v="1"/>
    <s v="Stayed"/>
    <m/>
    <n v="1"/>
    <n v="0"/>
    <s v="No Recorded Promotions"/>
    <s v="1â€“3 years"/>
    <s v="Low"/>
    <s v="3.233333333333333"/>
    <s v="0.16666666666666666"/>
    <n v="0"/>
  </r>
  <r>
    <s v="EMP0858"/>
    <x v="2"/>
    <s v="Support Team Lead"/>
    <n v="1"/>
    <s v="G3"/>
    <n v="29"/>
    <s v="Master"/>
    <s v="Coimbatore"/>
    <n v="5"/>
    <n v="12.4"/>
    <n v="14"/>
    <n v="4"/>
    <n v="12"/>
    <n v="0"/>
    <s v="Band C"/>
    <n v="56100"/>
    <n v="8.4"/>
    <n v="3.4"/>
    <n v="0.3"/>
    <n v="0"/>
    <n v="2.6"/>
    <n v="3.4"/>
    <n v="2.5"/>
    <s v="No"/>
    <n v="0"/>
    <n v="0"/>
    <m/>
    <n v="1"/>
    <s v="Stayed"/>
    <m/>
    <n v="1"/>
    <n v="0"/>
    <s v="No Recorded Promotions"/>
    <s v="0â€“1 years"/>
    <s v="Moderate"/>
    <s v="2.8333333333333335"/>
    <s v="0.4166666666666667"/>
    <n v="0"/>
  </r>
  <r>
    <s v="EMP0859"/>
    <x v="4"/>
    <s v="Sales Manager"/>
    <n v="9.6"/>
    <s v="G3"/>
    <n v="35"/>
    <s v="Bachelor"/>
    <s v="Remote"/>
    <n v="1"/>
    <n v="24"/>
    <n v="14"/>
    <n v="2"/>
    <n v="12"/>
    <n v="0"/>
    <s v="Band C"/>
    <n v="55000"/>
    <n v="4.4000000000000004"/>
    <n v="4.0999999999999996"/>
    <n v="4.5"/>
    <n v="0"/>
    <n v="3.6"/>
    <n v="1.7"/>
    <n v="3.3"/>
    <s v="Yes"/>
    <n v="0"/>
    <n v="0"/>
    <m/>
    <n v="0"/>
    <s v="Stayed"/>
    <m/>
    <n v="1"/>
    <n v="0"/>
    <s v="No Recorded Promotions"/>
    <s v="5+ years"/>
    <s v="High"/>
    <s v="2.8666666666666667"/>
    <n v="8.3333333333333301E-2"/>
    <n v="0"/>
  </r>
  <r>
    <s v="EMP0860"/>
    <x v="5"/>
    <s v="Financial Analyst"/>
    <n v="6.6"/>
    <s v="G2"/>
    <n v="30"/>
    <s v="Master"/>
    <s v="Coimbatore"/>
    <n v="1"/>
    <n v="21.4"/>
    <n v="8"/>
    <n v="1"/>
    <n v="12"/>
    <n v="0"/>
    <s v="Band B"/>
    <n v="38500"/>
    <n v="8.8000000000000007"/>
    <n v="4"/>
    <n v="1.4"/>
    <n v="0"/>
    <n v="3.3"/>
    <n v="3.6"/>
    <n v="1.6"/>
    <s v="Yes"/>
    <n v="1"/>
    <n v="1"/>
    <n v="5.6"/>
    <n v="1"/>
    <s v="Stayed"/>
    <m/>
    <n v="0"/>
    <n v="0"/>
    <s v="Promoted"/>
    <s v="5+ years"/>
    <s v="High"/>
    <s v="2.8333333333333335"/>
    <n v="8.3333333333333301E-2"/>
    <n v="0"/>
  </r>
  <r>
    <s v="EMP0861"/>
    <x v="0"/>
    <s v="Operations Associate"/>
    <n v="5.4"/>
    <s v="G1"/>
    <n v="33"/>
    <s v="Master"/>
    <s v="Hyderabad"/>
    <n v="2"/>
    <n v="6.9"/>
    <n v="14"/>
    <n v="2"/>
    <n v="12"/>
    <n v="0"/>
    <s v="Band A"/>
    <n v="28600"/>
    <n v="9.1999999999999993"/>
    <n v="2.6"/>
    <n v="2.2999999999999998"/>
    <n v="0"/>
    <n v="4.5999999999999996"/>
    <n v="2.4"/>
    <n v="3.5"/>
    <s v="Yes"/>
    <n v="0"/>
    <n v="1"/>
    <n v="5.0999999999999996"/>
    <n v="1"/>
    <s v="Stayed"/>
    <m/>
    <n v="0"/>
    <n v="0"/>
    <s v="Promoted"/>
    <s v="5+ years"/>
    <s v="Low"/>
    <n v="3.5"/>
    <s v="0.16666666666666666"/>
    <n v="0"/>
  </r>
  <r>
    <s v="EMP0862"/>
    <x v="0"/>
    <s v="Operations Manager"/>
    <n v="6.1"/>
    <s v="G3"/>
    <n v="36"/>
    <s v="Doctorate"/>
    <s v="Chennai"/>
    <n v="4"/>
    <n v="30.2"/>
    <n v="11"/>
    <n v="2"/>
    <n v="12"/>
    <n v="0"/>
    <s v="Band B"/>
    <n v="47000"/>
    <n v="12.7"/>
    <n v="4.0999999999999996"/>
    <n v="1.1000000000000001"/>
    <n v="0"/>
    <n v="3"/>
    <n v="2.6"/>
    <n v="3.9"/>
    <s v="Yes"/>
    <n v="0"/>
    <n v="0"/>
    <m/>
    <n v="1"/>
    <s v="Stayed"/>
    <m/>
    <n v="1"/>
    <n v="0"/>
    <s v="No Recorded Promotions"/>
    <s v="5+ years"/>
    <s v="High"/>
    <s v="3.1666666666666665"/>
    <s v="0.3333333333333333"/>
    <n v="0"/>
  </r>
  <r>
    <s v="EMP0863"/>
    <x v="0"/>
    <s v="Operations Manager"/>
    <n v="1.4"/>
    <s v="G1"/>
    <n v="24"/>
    <s v="Master"/>
    <s v="Hyderabad"/>
    <n v="4"/>
    <n v="4.4000000000000004"/>
    <n v="8"/>
    <n v="3"/>
    <n v="12"/>
    <n v="0"/>
    <s v="Band A"/>
    <n v="19700"/>
    <n v="8.6999999999999993"/>
    <n v="3.2"/>
    <n v="0.4"/>
    <n v="0"/>
    <n v="3.8"/>
    <n v="4.3"/>
    <n v="4.7"/>
    <s v="Yes"/>
    <n v="0"/>
    <n v="1"/>
    <n v="0.3"/>
    <n v="0"/>
    <s v="Stayed"/>
    <m/>
    <n v="0"/>
    <n v="0"/>
    <s v="Promoted"/>
    <s v="1â€“3 years"/>
    <s v="Low"/>
    <s v="4.266666666666667"/>
    <s v="0.3333333333333333"/>
    <n v="0"/>
  </r>
  <r>
    <s v="EMP0864"/>
    <x v="5"/>
    <s v="Financial Analyst"/>
    <n v="1.9"/>
    <s v="G4"/>
    <n v="28"/>
    <s v="Bachelor"/>
    <s v="Chennai"/>
    <n v="2"/>
    <n v="5.8"/>
    <n v="9"/>
    <n v="2"/>
    <n v="12"/>
    <n v="0"/>
    <s v="Band D"/>
    <n v="79700"/>
    <n v="5.6"/>
    <n v="3.5"/>
    <n v="2.5"/>
    <n v="0"/>
    <n v="1.7"/>
    <n v="1.2"/>
    <n v="2"/>
    <s v="No"/>
    <n v="0"/>
    <n v="0"/>
    <m/>
    <n v="0"/>
    <s v="Stayed"/>
    <m/>
    <n v="1"/>
    <n v="0"/>
    <s v="No Recorded Promotions"/>
    <s v="1â€“3 years"/>
    <s v="Low"/>
    <s v="1.6333333333333335"/>
    <s v="0.16666666666666666"/>
    <n v="0"/>
  </r>
  <r>
    <s v="EMP0865"/>
    <x v="3"/>
    <s v="Software Engineer"/>
    <n v="4.5"/>
    <s v="G2"/>
    <n v="34"/>
    <s v="Bachelor"/>
    <s v="Chennai"/>
    <n v="4"/>
    <n v="19.600000000000001"/>
    <n v="11"/>
    <n v="1"/>
    <n v="12"/>
    <n v="0"/>
    <s v="Band B"/>
    <n v="42000"/>
    <n v="2.6"/>
    <n v="2.4"/>
    <n v="4.8"/>
    <n v="0"/>
    <n v="2.5"/>
    <n v="3.5"/>
    <n v="2.5"/>
    <s v="Yes"/>
    <n v="0"/>
    <n v="1"/>
    <n v="2"/>
    <n v="0"/>
    <s v="Stayed"/>
    <m/>
    <n v="0"/>
    <n v="0"/>
    <s v="Promoted"/>
    <s v="3â€“5 years"/>
    <s v="Moderate"/>
    <s v="2.8333333333333335"/>
    <s v="0.3333333333333333"/>
    <n v="0"/>
  </r>
  <r>
    <s v="EMP0866"/>
    <x v="2"/>
    <s v="Support Associate"/>
    <n v="4.7"/>
    <s v="G2"/>
    <n v="23"/>
    <s v="Diploma"/>
    <s v="Chennai"/>
    <n v="2"/>
    <n v="1"/>
    <n v="16"/>
    <n v="3"/>
    <n v="12"/>
    <n v="0"/>
    <s v="Band B"/>
    <n v="35200"/>
    <n v="1.9"/>
    <n v="1"/>
    <n v="3.1"/>
    <n v="0"/>
    <n v="1.6"/>
    <n v="3.5"/>
    <n v="3.5"/>
    <s v="Yes"/>
    <n v="0"/>
    <n v="0"/>
    <m/>
    <n v="0"/>
    <s v="Stayed"/>
    <m/>
    <n v="1"/>
    <n v="0"/>
    <s v="No Recorded Promotions"/>
    <s v="3â€“5 years"/>
    <s v="Low"/>
    <s v="2.8666666666666667"/>
    <s v="0.16666666666666666"/>
    <n v="0"/>
  </r>
  <r>
    <s v="EMP0867"/>
    <x v="2"/>
    <s v="Support Associate"/>
    <n v="1.1000000000000001"/>
    <s v="G2"/>
    <n v="27"/>
    <s v="Doctorate"/>
    <s v="Chennai"/>
    <n v="3"/>
    <n v="10.4"/>
    <n v="5"/>
    <n v="5"/>
    <n v="12"/>
    <n v="0"/>
    <s v="Band B"/>
    <n v="40100"/>
    <n v="9.3000000000000007"/>
    <n v="2.5"/>
    <n v="2"/>
    <n v="0"/>
    <n v="4.2"/>
    <n v="2.5"/>
    <n v="2.1"/>
    <s v="Yes"/>
    <n v="0"/>
    <n v="0"/>
    <m/>
    <n v="1"/>
    <s v="Stayed"/>
    <m/>
    <n v="1"/>
    <n v="0"/>
    <s v="No Recorded Promotions"/>
    <s v="1â€“3 years"/>
    <s v="Moderate"/>
    <s v="2.9333333333333336"/>
    <n v="0.25"/>
    <n v="0"/>
  </r>
  <r>
    <s v="EMP0868"/>
    <x v="0"/>
    <s v="Operations Associate"/>
    <n v="4.3"/>
    <s v="G5"/>
    <n v="29"/>
    <s v="Bachelor"/>
    <s v="Remote"/>
    <n v="3"/>
    <n v="7.9"/>
    <n v="14"/>
    <n v="2"/>
    <n v="12"/>
    <n v="0"/>
    <s v="Band D"/>
    <n v="108000"/>
    <n v="11.2"/>
    <n v="3.7"/>
    <n v="1"/>
    <n v="0"/>
    <n v="3.2"/>
    <n v="2.8"/>
    <n v="3.5"/>
    <s v="No"/>
    <n v="0"/>
    <n v="1"/>
    <n v="1.3"/>
    <n v="1"/>
    <s v="Stayed"/>
    <m/>
    <n v="0"/>
    <n v="0"/>
    <s v="Promoted"/>
    <s v="3â€“5 years"/>
    <s v="Low"/>
    <s v="3.1666666666666665"/>
    <n v="0.25"/>
    <n v="0"/>
  </r>
  <r>
    <s v="EMP0869"/>
    <x v="3"/>
    <s v="Data Analyst"/>
    <n v="3.6"/>
    <s v="G1"/>
    <n v="29"/>
    <s v="Bachelor"/>
    <s v="Remote"/>
    <n v="3"/>
    <n v="31.4"/>
    <n v="9"/>
    <n v="2"/>
    <n v="12"/>
    <n v="0"/>
    <s v="Band A"/>
    <n v="26300"/>
    <n v="4.4000000000000004"/>
    <n v="3"/>
    <n v="1.7"/>
    <n v="0"/>
    <n v="3.8"/>
    <n v="4.3"/>
    <n v="3.9"/>
    <s v="Yes"/>
    <n v="0"/>
    <n v="0"/>
    <m/>
    <n v="0"/>
    <s v="Stayed"/>
    <m/>
    <n v="1"/>
    <n v="0"/>
    <s v="No Recorded Promotions"/>
    <s v="3â€“5 years"/>
    <s v="High"/>
    <n v="4"/>
    <n v="0.25"/>
    <n v="0"/>
  </r>
  <r>
    <s v="EMP0870"/>
    <x v="3"/>
    <s v="Software Engineer"/>
    <n v="7"/>
    <s v="G1"/>
    <n v="31"/>
    <s v="Master"/>
    <s v="Hyderabad"/>
    <n v="6"/>
    <n v="3.7"/>
    <n v="4"/>
    <n v="1"/>
    <n v="12"/>
    <n v="0"/>
    <s v="Band A"/>
    <n v="31600"/>
    <n v="9"/>
    <n v="3.8"/>
    <n v="2.4"/>
    <n v="0"/>
    <n v="3.4"/>
    <n v="5"/>
    <n v="2.4"/>
    <s v="Yes"/>
    <n v="0"/>
    <n v="0"/>
    <m/>
    <n v="0"/>
    <s v="Stayed"/>
    <m/>
    <n v="1"/>
    <n v="0"/>
    <s v="No Recorded Promotions"/>
    <s v="5+ years"/>
    <s v="Low"/>
    <n v="3.6"/>
    <n v="0.5"/>
    <n v="0"/>
  </r>
  <r>
    <s v="EMP0871"/>
    <x v="0"/>
    <s v="Operations Associate"/>
    <n v="4.7"/>
    <s v="G1"/>
    <n v="31"/>
    <s v="Bachelor"/>
    <s v="Chennai"/>
    <n v="2"/>
    <n v="4.0999999999999996"/>
    <n v="4"/>
    <n v="2"/>
    <n v="12"/>
    <n v="0"/>
    <s v="Band A"/>
    <n v="32700"/>
    <n v="7.3"/>
    <n v="4.2"/>
    <n v="0.9"/>
    <n v="0"/>
    <n v="3.7"/>
    <n v="4.2"/>
    <n v="3.5"/>
    <s v="No"/>
    <n v="0"/>
    <n v="2"/>
    <n v="2.8"/>
    <n v="1"/>
    <s v="Stayed"/>
    <m/>
    <n v="0"/>
    <n v="0"/>
    <s v="Promoted"/>
    <s v="3â€“5 years"/>
    <s v="Low"/>
    <s v="3.8000000000000003"/>
    <s v="0.16666666666666666"/>
    <n v="0"/>
  </r>
  <r>
    <s v="EMP0872"/>
    <x v="3"/>
    <s v="Data Analyst"/>
    <n v="10.3"/>
    <s v="G3"/>
    <n v="44"/>
    <s v="Master"/>
    <s v="Hyderabad"/>
    <n v="0"/>
    <n v="34.4"/>
    <n v="9"/>
    <n v="1"/>
    <n v="12"/>
    <n v="0"/>
    <s v="Band B"/>
    <n v="48400"/>
    <n v="10.9"/>
    <n v="2.9"/>
    <n v="2.4"/>
    <n v="0"/>
    <n v="3"/>
    <n v="4.9000000000000004"/>
    <n v="2.4"/>
    <s v="Yes"/>
    <n v="0"/>
    <n v="2"/>
    <n v="5.0999999999999996"/>
    <n v="0"/>
    <s v="Stayed"/>
    <m/>
    <n v="0"/>
    <n v="0"/>
    <s v="Promoted"/>
    <s v="5+ years"/>
    <s v="High"/>
    <s v="3.4333333333333336"/>
    <n v="0"/>
    <n v="0"/>
  </r>
  <r>
    <s v="EMP0873"/>
    <x v="2"/>
    <s v="Support Team Lead"/>
    <n v="2.9"/>
    <s v="G5"/>
    <n v="28"/>
    <s v="Diploma"/>
    <s v="Bengaluru"/>
    <n v="2"/>
    <n v="8"/>
    <n v="8"/>
    <n v="3"/>
    <n v="12"/>
    <n v="0"/>
    <s v="Band D"/>
    <n v="102400"/>
    <n v="11.5"/>
    <n v="2.8"/>
    <n v="1.1000000000000001"/>
    <n v="0"/>
    <n v="3.1"/>
    <n v="2.6"/>
    <n v="4.5"/>
    <s v="Yes"/>
    <n v="0"/>
    <n v="3"/>
    <n v="2.1"/>
    <n v="0"/>
    <s v="Stayed"/>
    <m/>
    <n v="0"/>
    <n v="0"/>
    <s v="Promoted"/>
    <s v="1â€“3 years"/>
    <s v="Low"/>
    <n v="3.4"/>
    <s v="0.16666666666666666"/>
    <n v="0"/>
  </r>
  <r>
    <s v="EMP0874"/>
    <x v="4"/>
    <s v="Sales Executive"/>
    <n v="1.5"/>
    <s v="G2"/>
    <n v="29"/>
    <s v="Bachelor"/>
    <s v="Chennai"/>
    <n v="2"/>
    <n v="23.4"/>
    <n v="13"/>
    <n v="1"/>
    <n v="12"/>
    <n v="0"/>
    <s v="Band B"/>
    <n v="39700"/>
    <n v="0"/>
    <n v="1.2"/>
    <n v="0.5"/>
    <n v="0"/>
    <n v="3.2"/>
    <n v="1.8"/>
    <n v="3.6"/>
    <s v="Yes"/>
    <n v="0"/>
    <n v="0"/>
    <m/>
    <n v="0"/>
    <s v="Left"/>
    <d v="2024-09-13T00:00:00"/>
    <n v="1"/>
    <n v="0"/>
    <s v="No Recorded Promotions"/>
    <s v="1â€“3 years"/>
    <s v="High"/>
    <s v="2.8666666666666667"/>
    <s v="0.16666666666666666"/>
    <n v="1"/>
  </r>
  <r>
    <s v="EMP0875"/>
    <x v="0"/>
    <s v="Team Lead"/>
    <n v="10.1"/>
    <s v="G4"/>
    <n v="44"/>
    <s v="Bachelor"/>
    <s v="Coimbatore"/>
    <n v="2"/>
    <n v="7"/>
    <n v="12"/>
    <n v="3"/>
    <n v="12"/>
    <n v="0"/>
    <s v="Band D"/>
    <n v="96200"/>
    <n v="12.1"/>
    <n v="1.8"/>
    <n v="1.2"/>
    <n v="0"/>
    <n v="3.7"/>
    <n v="3.2"/>
    <n v="2.9"/>
    <s v="Yes"/>
    <n v="0"/>
    <n v="0"/>
    <m/>
    <n v="1"/>
    <s v="Stayed"/>
    <m/>
    <n v="1"/>
    <n v="0"/>
    <s v="No Recorded Promotions"/>
    <s v="5+ years"/>
    <s v="Low"/>
    <s v="3.266666666666667"/>
    <s v="0.16666666666666666"/>
    <n v="0"/>
  </r>
  <r>
    <s v="EMP0876"/>
    <x v="2"/>
    <s v="Support Specialist"/>
    <n v="4.9000000000000004"/>
    <s v="G2"/>
    <n v="29"/>
    <s v="Bachelor"/>
    <s v="Bengaluru"/>
    <n v="4"/>
    <n v="5.6"/>
    <n v="14"/>
    <n v="5"/>
    <n v="12"/>
    <n v="0"/>
    <s v="Band B"/>
    <n v="42300"/>
    <n v="9"/>
    <n v="2"/>
    <n v="1.5"/>
    <n v="0"/>
    <n v="3.7"/>
    <n v="3.9"/>
    <n v="2.4"/>
    <s v="Yes"/>
    <n v="0"/>
    <n v="0"/>
    <m/>
    <n v="0"/>
    <s v="Stayed"/>
    <m/>
    <n v="1"/>
    <n v="0"/>
    <s v="No Recorded Promotions"/>
    <s v="3â€“5 years"/>
    <s v="Low"/>
    <s v="3.3333333333333335"/>
    <s v="0.3333333333333333"/>
    <n v="0"/>
  </r>
  <r>
    <s v="EMP0877"/>
    <x v="4"/>
    <s v="Account Manager"/>
    <n v="3.6"/>
    <s v="G3"/>
    <n v="37"/>
    <s v="Bachelor"/>
    <s v="Chennai"/>
    <n v="2"/>
    <n v="24.2"/>
    <n v="9"/>
    <n v="1"/>
    <n v="12"/>
    <n v="0"/>
    <s v="Band C"/>
    <n v="50600"/>
    <n v="5.9"/>
    <n v="3.7"/>
    <n v="2.9"/>
    <n v="0"/>
    <n v="5"/>
    <n v="1.5"/>
    <n v="3.7"/>
    <s v="Yes"/>
    <n v="0"/>
    <n v="1"/>
    <n v="1.6"/>
    <n v="2"/>
    <s v="Stayed"/>
    <m/>
    <n v="0"/>
    <n v="0"/>
    <s v="Promoted"/>
    <s v="3â€“5 years"/>
    <s v="High"/>
    <n v="3.4"/>
    <s v="0.16666666666666666"/>
    <n v="0"/>
  </r>
  <r>
    <s v="EMP0878"/>
    <x v="4"/>
    <s v="Sales Manager"/>
    <n v="1.9"/>
    <s v="G1"/>
    <n v="28"/>
    <s v="Master"/>
    <s v="Coimbatore"/>
    <n v="4"/>
    <n v="40.200000000000003"/>
    <n v="10"/>
    <n v="3"/>
    <n v="12"/>
    <n v="0"/>
    <s v="Band A"/>
    <n v="27000"/>
    <n v="6"/>
    <n v="2.9"/>
    <n v="1.7"/>
    <n v="0"/>
    <n v="4.8"/>
    <n v="2.4"/>
    <n v="4.5"/>
    <s v="Yes"/>
    <n v="0"/>
    <n v="2"/>
    <n v="0"/>
    <n v="1"/>
    <s v="Stayed"/>
    <m/>
    <n v="0"/>
    <n v="0"/>
    <s v="Promoted"/>
    <s v="1â€“3 years"/>
    <s v="High"/>
    <n v="3.9"/>
    <s v="0.3333333333333333"/>
    <n v="0"/>
  </r>
  <r>
    <s v="EMP0879"/>
    <x v="0"/>
    <s v="Operations Manager"/>
    <n v="2.9"/>
    <s v="G2"/>
    <n v="36"/>
    <s v="Bachelor"/>
    <s v="Bengaluru"/>
    <n v="2"/>
    <n v="25.5"/>
    <n v="10"/>
    <n v="1"/>
    <n v="12"/>
    <n v="0"/>
    <s v="Band B"/>
    <n v="47900"/>
    <n v="8.1"/>
    <n v="2.7"/>
    <n v="0.2"/>
    <n v="0"/>
    <n v="1.7"/>
    <n v="2.5"/>
    <n v="2.8"/>
    <s v="Yes"/>
    <n v="0"/>
    <n v="1"/>
    <n v="0.4"/>
    <n v="0"/>
    <s v="Stayed"/>
    <m/>
    <n v="0"/>
    <n v="0"/>
    <s v="Promoted"/>
    <s v="1â€“3 years"/>
    <s v="High"/>
    <s v="2.3333333333333335"/>
    <s v="0.16666666666666666"/>
    <n v="0"/>
  </r>
  <r>
    <s v="EMP0880"/>
    <x v="5"/>
    <s v="Finance Manager"/>
    <n v="2.8"/>
    <s v="G3"/>
    <n v="32"/>
    <s v="Bachelor"/>
    <s v="Chennai"/>
    <n v="1"/>
    <n v="6.6"/>
    <n v="11"/>
    <n v="2"/>
    <n v="12"/>
    <n v="0"/>
    <s v="Band C"/>
    <n v="50400"/>
    <n v="6"/>
    <n v="2.6"/>
    <n v="2.4"/>
    <n v="0"/>
    <n v="3.2"/>
    <n v="3.5"/>
    <n v="3"/>
    <s v="Yes"/>
    <n v="0"/>
    <n v="0"/>
    <m/>
    <n v="0"/>
    <s v="Stayed"/>
    <m/>
    <n v="1"/>
    <n v="0"/>
    <s v="No Recorded Promotions"/>
    <s v="1â€“3 years"/>
    <s v="Low"/>
    <s v="3.233333333333333"/>
    <n v="8.3333333333333301E-2"/>
    <n v="0"/>
  </r>
  <r>
    <s v="EMP0881"/>
    <x v="4"/>
    <s v="Sales Executive"/>
    <n v="1.4"/>
    <s v="G3"/>
    <n v="29"/>
    <s v="Master"/>
    <s v="Coimbatore"/>
    <n v="2"/>
    <n v="10"/>
    <n v="8"/>
    <n v="0"/>
    <n v="12"/>
    <n v="0"/>
    <s v="Band C"/>
    <n v="55700"/>
    <n v="4.3"/>
    <n v="2.5"/>
    <n v="1"/>
    <n v="0"/>
    <n v="2.9"/>
    <n v="3.4"/>
    <n v="2.8"/>
    <s v="Yes"/>
    <n v="0"/>
    <n v="1"/>
    <n v="1.3"/>
    <n v="0"/>
    <s v="Stayed"/>
    <m/>
    <n v="0"/>
    <n v="0"/>
    <s v="Promoted"/>
    <s v="1â€“3 years"/>
    <s v="Low"/>
    <s v="3.033333333333333"/>
    <s v="0.16666666666666666"/>
    <n v="0"/>
  </r>
  <r>
    <s v="EMP0882"/>
    <x v="0"/>
    <s v="Operations Associate"/>
    <n v="0.4"/>
    <s v="G2"/>
    <n v="26"/>
    <s v="Master"/>
    <s v="Coimbatore"/>
    <n v="3"/>
    <n v="4.3"/>
    <n v="7"/>
    <n v="4"/>
    <n v="12"/>
    <n v="0"/>
    <s v="Band B"/>
    <n v="36900"/>
    <n v="5.2"/>
    <n v="4"/>
    <n v="0.2"/>
    <n v="0"/>
    <n v="4.5"/>
    <n v="2.5"/>
    <n v="4.5999999999999996"/>
    <s v="Yes"/>
    <n v="0"/>
    <n v="0"/>
    <m/>
    <n v="0"/>
    <s v="Stayed"/>
    <m/>
    <n v="1"/>
    <n v="0"/>
    <s v="No Recorded Promotions"/>
    <s v="0â€“1 years"/>
    <s v="Low"/>
    <s v="3.8666666666666667"/>
    <n v="0.25"/>
    <n v="0"/>
  </r>
  <r>
    <s v="EMP0883"/>
    <x v="2"/>
    <s v="Support Specialist"/>
    <n v="2.7"/>
    <s v="G4"/>
    <n v="26"/>
    <s v="Diploma"/>
    <s v="Bengaluru"/>
    <n v="3"/>
    <n v="5"/>
    <n v="9"/>
    <n v="2"/>
    <n v="12"/>
    <n v="0"/>
    <s v="Band D"/>
    <n v="79900"/>
    <n v="3.8"/>
    <n v="3.3"/>
    <n v="2.4"/>
    <n v="0"/>
    <n v="3"/>
    <n v="3.4"/>
    <n v="1.9"/>
    <s v="Yes"/>
    <n v="0"/>
    <n v="3"/>
    <n v="0.7"/>
    <n v="0"/>
    <s v="Stayed"/>
    <m/>
    <n v="0"/>
    <n v="0"/>
    <s v="Promoted"/>
    <s v="1â€“3 years"/>
    <s v="Low"/>
    <s v="2.766666666666667"/>
    <n v="0.25"/>
    <n v="0"/>
  </r>
  <r>
    <s v="EMP0884"/>
    <x v="1"/>
    <s v="HR Executive"/>
    <n v="6.3"/>
    <s v="G5"/>
    <n v="33"/>
    <s v="Master"/>
    <s v="Remote"/>
    <n v="2"/>
    <n v="4.8"/>
    <n v="5"/>
    <n v="1"/>
    <n v="12"/>
    <n v="0"/>
    <s v="Band E"/>
    <n v="114800"/>
    <n v="13.4"/>
    <n v="4.0999999999999996"/>
    <n v="2.7"/>
    <n v="0"/>
    <n v="3.7"/>
    <n v="2.2000000000000002"/>
    <n v="4.4000000000000004"/>
    <s v="Yes"/>
    <n v="0"/>
    <n v="0"/>
    <m/>
    <n v="0"/>
    <s v="Stayed"/>
    <m/>
    <n v="1"/>
    <n v="0"/>
    <s v="No Recorded Promotions"/>
    <s v="5+ years"/>
    <s v="Low"/>
    <s v="3.4333333333333336"/>
    <s v="0.16666666666666666"/>
    <n v="0"/>
  </r>
  <r>
    <s v="EMP0885"/>
    <x v="3"/>
    <s v="Senior Software Engineer"/>
    <n v="8.6"/>
    <s v="G2"/>
    <n v="38"/>
    <s v="Diploma"/>
    <s v="Hyderabad"/>
    <n v="3"/>
    <n v="7.1"/>
    <n v="13"/>
    <n v="1"/>
    <n v="12"/>
    <n v="0"/>
    <s v="Band B"/>
    <n v="41600"/>
    <n v="8.1999999999999993"/>
    <n v="1.2"/>
    <n v="1.5"/>
    <n v="0"/>
    <n v="1.2"/>
    <n v="2.8"/>
    <n v="3.1"/>
    <s v="Yes"/>
    <n v="0"/>
    <n v="0"/>
    <m/>
    <n v="1"/>
    <s v="Stayed"/>
    <m/>
    <n v="1"/>
    <n v="0"/>
    <s v="No Recorded Promotions"/>
    <s v="5+ years"/>
    <s v="Low"/>
    <s v="2.3666666666666667"/>
    <n v="0.25"/>
    <n v="0"/>
  </r>
  <r>
    <s v="EMP0886"/>
    <x v="4"/>
    <s v="Sales Executive"/>
    <n v="7.2"/>
    <s v="G3"/>
    <n v="33"/>
    <s v="Bachelor"/>
    <s v="Bengaluru"/>
    <n v="5"/>
    <n v="11.3"/>
    <n v="7"/>
    <n v="4"/>
    <n v="12"/>
    <n v="0"/>
    <s v="Band C"/>
    <n v="53300"/>
    <n v="17"/>
    <n v="3.7"/>
    <n v="1.8"/>
    <n v="0"/>
    <n v="1.9"/>
    <n v="2.1"/>
    <n v="3.3"/>
    <s v="Yes"/>
    <n v="0"/>
    <n v="0"/>
    <m/>
    <n v="0"/>
    <s v="Stayed"/>
    <m/>
    <n v="1"/>
    <n v="0"/>
    <s v="No Recorded Promotions"/>
    <s v="5+ years"/>
    <s v="Moderate"/>
    <s v="2.433333333333333"/>
    <s v="0.4166666666666667"/>
    <n v="0"/>
  </r>
  <r>
    <s v="EMP0887"/>
    <x v="4"/>
    <s v="Sales Manager"/>
    <n v="7.5"/>
    <s v="G4"/>
    <n v="32"/>
    <s v="Bachelor"/>
    <s v="Bengaluru"/>
    <n v="3"/>
    <n v="10.3"/>
    <n v="4"/>
    <n v="1"/>
    <n v="12"/>
    <n v="0"/>
    <s v="Band C"/>
    <n v="71900"/>
    <n v="9.5"/>
    <n v="2.8"/>
    <n v="1.5"/>
    <n v="0"/>
    <n v="5"/>
    <n v="3.3"/>
    <n v="3.1"/>
    <s v="Yes"/>
    <n v="1"/>
    <n v="1"/>
    <n v="2.2000000000000002"/>
    <n v="0"/>
    <s v="Stayed"/>
    <m/>
    <n v="0"/>
    <n v="0"/>
    <s v="Promoted"/>
    <s v="5+ years"/>
    <s v="Moderate"/>
    <s v="3.8000000000000003"/>
    <n v="0.25"/>
    <n v="0"/>
  </r>
  <r>
    <s v="EMP0888"/>
    <x v="3"/>
    <s v="Software Engineer"/>
    <n v="1.6"/>
    <s v="G2"/>
    <n v="27"/>
    <s v="Master"/>
    <s v="Bengaluru"/>
    <n v="6"/>
    <n v="17.600000000000001"/>
    <n v="4"/>
    <n v="0"/>
    <n v="12"/>
    <n v="0"/>
    <s v="Band A"/>
    <n v="30100"/>
    <n v="10.4"/>
    <n v="2.9"/>
    <n v="2.2999999999999998"/>
    <n v="0"/>
    <n v="3.3"/>
    <n v="2.5"/>
    <n v="3.6"/>
    <s v="Yes"/>
    <n v="0"/>
    <n v="1"/>
    <n v="0.5"/>
    <n v="3"/>
    <s v="Stayed"/>
    <m/>
    <n v="0"/>
    <n v="0"/>
    <s v="Promoted"/>
    <s v="1â€“3 years"/>
    <s v="Moderate"/>
    <s v="3.1333333333333333"/>
    <n v="0.5"/>
    <n v="0"/>
  </r>
  <r>
    <s v="EMP0889"/>
    <x v="3"/>
    <s v="Software Engineer"/>
    <n v="4.5"/>
    <s v="G4"/>
    <n v="34"/>
    <s v="Bachelor"/>
    <s v="Coimbatore"/>
    <n v="2"/>
    <n v="11.8"/>
    <n v="9"/>
    <n v="2"/>
    <n v="12"/>
    <n v="0"/>
    <s v="Band C"/>
    <n v="73500"/>
    <n v="3.8"/>
    <n v="4.4000000000000004"/>
    <n v="1.1000000000000001"/>
    <n v="0"/>
    <n v="2.4"/>
    <n v="3.8"/>
    <n v="2.8"/>
    <s v="Yes"/>
    <n v="0"/>
    <n v="1"/>
    <n v="0.8"/>
    <n v="0"/>
    <s v="Stayed"/>
    <m/>
    <n v="0"/>
    <n v="0"/>
    <s v="Promoted"/>
    <s v="3â€“5 years"/>
    <s v="Moderate"/>
    <n v="3"/>
    <s v="0.16666666666666666"/>
    <n v="0"/>
  </r>
  <r>
    <s v="EMP0890"/>
    <x v="0"/>
    <s v="Operations Associate"/>
    <n v="5.5"/>
    <s v="G2"/>
    <n v="36"/>
    <s v="Bachelor"/>
    <s v="Chennai"/>
    <n v="3"/>
    <n v="16.399999999999999"/>
    <n v="12"/>
    <n v="2"/>
    <n v="12"/>
    <n v="0"/>
    <s v="Band B"/>
    <n v="40400"/>
    <n v="7.1"/>
    <n v="2.8"/>
    <n v="0.1"/>
    <n v="0"/>
    <n v="3.5"/>
    <n v="3.3"/>
    <n v="4.2"/>
    <s v="No"/>
    <n v="1"/>
    <n v="0"/>
    <m/>
    <n v="0"/>
    <s v="Stayed"/>
    <m/>
    <n v="1"/>
    <n v="0"/>
    <s v="No Recorded Promotions"/>
    <s v="5+ years"/>
    <s v="Moderate"/>
    <s v="3.6666666666666665"/>
    <n v="0.25"/>
    <n v="0"/>
  </r>
  <r>
    <s v="EMP0891"/>
    <x v="4"/>
    <s v="Sales Executive"/>
    <n v="5.7"/>
    <s v="G4"/>
    <n v="29"/>
    <s v="Master"/>
    <s v="Bengaluru"/>
    <n v="5"/>
    <n v="18.399999999999999"/>
    <n v="12"/>
    <n v="2"/>
    <n v="12"/>
    <n v="0"/>
    <s v="Band C"/>
    <n v="66600"/>
    <n v="8.3000000000000007"/>
    <n v="3.6"/>
    <n v="0.5"/>
    <n v="0"/>
    <n v="2.4"/>
    <n v="3"/>
    <n v="4.3"/>
    <s v="Yes"/>
    <n v="0"/>
    <n v="0"/>
    <m/>
    <n v="0"/>
    <s v="Stayed"/>
    <m/>
    <n v="1"/>
    <n v="0"/>
    <s v="No Recorded Promotions"/>
    <s v="5+ years"/>
    <s v="Moderate"/>
    <s v="3.233333333333333"/>
    <s v="0.4166666666666667"/>
    <n v="0"/>
  </r>
  <r>
    <s v="EMP0892"/>
    <x v="2"/>
    <s v="Support Specialist"/>
    <n v="3.6"/>
    <s v="G1"/>
    <n v="27"/>
    <s v="Bachelor"/>
    <s v="Bengaluru"/>
    <n v="2"/>
    <n v="6.7"/>
    <n v="10"/>
    <n v="1"/>
    <n v="12"/>
    <n v="0"/>
    <s v="Band A"/>
    <n v="22400"/>
    <n v="5.5"/>
    <n v="2.2999999999999998"/>
    <n v="0.6"/>
    <n v="0"/>
    <n v="3"/>
    <n v="4.8"/>
    <n v="3.4"/>
    <s v="No"/>
    <n v="1"/>
    <n v="2"/>
    <n v="2.2999999999999998"/>
    <n v="1"/>
    <s v="Stayed"/>
    <m/>
    <n v="0"/>
    <n v="0"/>
    <s v="Promoted"/>
    <s v="3â€“5 years"/>
    <s v="Low"/>
    <s v="3.733333333333333"/>
    <s v="0.16666666666666666"/>
    <n v="0"/>
  </r>
  <r>
    <s v="EMP0893"/>
    <x v="4"/>
    <s v="Account Manager"/>
    <n v="4.2"/>
    <s v="G2"/>
    <n v="32"/>
    <s v="Bachelor"/>
    <s v="Coimbatore"/>
    <n v="1"/>
    <n v="9"/>
    <n v="12"/>
    <n v="2"/>
    <n v="12"/>
    <n v="0"/>
    <s v="Band B"/>
    <n v="40200"/>
    <n v="6.1"/>
    <n v="3.2"/>
    <n v="1"/>
    <n v="0"/>
    <n v="2"/>
    <n v="3.5"/>
    <n v="3.9"/>
    <s v="Yes"/>
    <n v="0"/>
    <n v="0"/>
    <m/>
    <n v="0"/>
    <s v="Stayed"/>
    <m/>
    <n v="1"/>
    <n v="0"/>
    <s v="No Recorded Promotions"/>
    <s v="3â€“5 years"/>
    <s v="Low"/>
    <s v="3.1333333333333333"/>
    <n v="8.3333333333333301E-2"/>
    <n v="0"/>
  </r>
  <r>
    <s v="EMP0894"/>
    <x v="3"/>
    <s v="Data Analyst"/>
    <n v="7.1"/>
    <s v="G3"/>
    <n v="39"/>
    <s v="Master"/>
    <s v="Hyderabad"/>
    <n v="2"/>
    <n v="45"/>
    <n v="8"/>
    <n v="4"/>
    <n v="12"/>
    <n v="0"/>
    <s v="Band C"/>
    <n v="58200"/>
    <n v="9.6999999999999993"/>
    <n v="1.8"/>
    <n v="1.1000000000000001"/>
    <n v="0"/>
    <n v="2.6"/>
    <n v="2.9"/>
    <n v="3.1"/>
    <s v="Yes"/>
    <n v="0"/>
    <n v="1"/>
    <n v="1.8"/>
    <n v="0"/>
    <s v="Left"/>
    <d v="2024-12-23T00:00:00"/>
    <n v="0"/>
    <n v="0"/>
    <s v="Promoted"/>
    <s v="5+ years"/>
    <s v="High"/>
    <s v="2.8666666666666667"/>
    <s v="0.16666666666666666"/>
    <n v="1"/>
  </r>
  <r>
    <s v="EMP0895"/>
    <x v="0"/>
    <s v="Operations Associate"/>
    <n v="5.3"/>
    <s v="G3"/>
    <n v="36"/>
    <s v="Bachelor"/>
    <s v="Bengaluru"/>
    <n v="5"/>
    <n v="6.2"/>
    <n v="10"/>
    <n v="1"/>
    <n v="12"/>
    <n v="0"/>
    <s v="Band C"/>
    <n v="57200"/>
    <n v="9.8000000000000007"/>
    <n v="3.1"/>
    <n v="4.2"/>
    <n v="0"/>
    <n v="2.9"/>
    <n v="2.7"/>
    <n v="3.4"/>
    <s v="Yes"/>
    <n v="0"/>
    <n v="0"/>
    <m/>
    <n v="1"/>
    <s v="Stayed"/>
    <m/>
    <n v="1"/>
    <n v="0"/>
    <s v="No Recorded Promotions"/>
    <s v="5+ years"/>
    <s v="Low"/>
    <n v="3"/>
    <s v="0.4166666666666667"/>
    <n v="0"/>
  </r>
  <r>
    <s v="EMP0896"/>
    <x v="2"/>
    <s v="Support Specialist"/>
    <n v="6"/>
    <s v="G4"/>
    <n v="27"/>
    <s v="Bachelor"/>
    <s v="Coimbatore"/>
    <n v="1"/>
    <n v="17.100000000000001"/>
    <n v="10"/>
    <n v="0"/>
    <n v="12"/>
    <n v="0"/>
    <s v="Band C"/>
    <n v="65400"/>
    <n v="2.7"/>
    <n v="3.5"/>
    <n v="1.3"/>
    <n v="0"/>
    <n v="4.3"/>
    <n v="2.1"/>
    <n v="4.5999999999999996"/>
    <s v="Yes"/>
    <n v="0"/>
    <n v="4"/>
    <n v="5.4"/>
    <n v="2"/>
    <s v="Stayed"/>
    <m/>
    <n v="0"/>
    <n v="0"/>
    <s v="Promoted"/>
    <s v="5+ years"/>
    <s v="Moderate"/>
    <s v="3.6666666666666665"/>
    <n v="8.3333333333333301E-2"/>
    <n v="0"/>
  </r>
  <r>
    <s v="EMP0897"/>
    <x v="4"/>
    <s v="Account Manager"/>
    <n v="2.6"/>
    <s v="G5"/>
    <n v="28"/>
    <s v="Bachelor"/>
    <s v="Chennai"/>
    <n v="3"/>
    <n v="2.9"/>
    <n v="10"/>
    <n v="0"/>
    <n v="12"/>
    <n v="0"/>
    <s v="Band D"/>
    <n v="100400"/>
    <n v="9.1"/>
    <n v="4.2"/>
    <n v="1.8"/>
    <n v="0"/>
    <n v="3.7"/>
    <n v="3.1"/>
    <n v="2.9"/>
    <s v="No"/>
    <n v="0"/>
    <n v="0"/>
    <m/>
    <n v="1"/>
    <s v="Stayed"/>
    <m/>
    <n v="1"/>
    <n v="0"/>
    <s v="No Recorded Promotions"/>
    <s v="1â€“3 years"/>
    <s v="Low"/>
    <s v="3.233333333333334"/>
    <n v="0.25"/>
    <n v="0"/>
  </r>
  <r>
    <s v="EMP0898"/>
    <x v="3"/>
    <s v="QA Engineer"/>
    <n v="5.8"/>
    <s v="G1"/>
    <n v="28"/>
    <s v="Doctorate"/>
    <s v="Chennai"/>
    <n v="2"/>
    <n v="18.7"/>
    <n v="6"/>
    <n v="1"/>
    <n v="12"/>
    <n v="0"/>
    <s v="Band A"/>
    <n v="29000"/>
    <n v="10.199999999999999"/>
    <n v="2.5"/>
    <n v="1.2"/>
    <n v="0"/>
    <n v="3.9"/>
    <n v="3.5"/>
    <n v="4.0999999999999996"/>
    <s v="Yes"/>
    <n v="0"/>
    <n v="0"/>
    <m/>
    <n v="0"/>
    <s v="Stayed"/>
    <m/>
    <n v="1"/>
    <n v="0"/>
    <s v="No Recorded Promotions"/>
    <s v="5+ years"/>
    <s v="Moderate"/>
    <s v="3.8333333333333335"/>
    <s v="0.16666666666666666"/>
    <n v="0"/>
  </r>
  <r>
    <s v="EMP0899"/>
    <x v="3"/>
    <s v="Data Analyst"/>
    <n v="4.0999999999999996"/>
    <s v="G2"/>
    <n v="29"/>
    <s v="Bachelor"/>
    <s v="Chennai"/>
    <n v="3"/>
    <n v="5.3"/>
    <n v="8"/>
    <n v="2"/>
    <n v="12"/>
    <n v="0"/>
    <s v="Band B"/>
    <n v="43300"/>
    <n v="5.6"/>
    <n v="2.7"/>
    <n v="1.5"/>
    <n v="0"/>
    <n v="3.3"/>
    <n v="1.5"/>
    <n v="3.8"/>
    <s v="Yes"/>
    <n v="0"/>
    <n v="0"/>
    <m/>
    <n v="0"/>
    <s v="Stayed"/>
    <m/>
    <n v="1"/>
    <n v="0"/>
    <s v="No Recorded Promotions"/>
    <s v="3â€“5 years"/>
    <s v="Low"/>
    <s v="2.8666666666666667"/>
    <n v="0.25"/>
    <n v="0"/>
  </r>
  <r>
    <s v="EMP0900"/>
    <x v="5"/>
    <s v="Accountant"/>
    <n v="6.6"/>
    <s v="G2"/>
    <n v="39"/>
    <s v="Diploma"/>
    <s v="Coimbatore"/>
    <n v="2"/>
    <n v="10.6"/>
    <n v="11"/>
    <n v="1"/>
    <n v="12"/>
    <n v="0"/>
    <s v="Band B"/>
    <n v="35900"/>
    <n v="5.2"/>
    <n v="2.6"/>
    <n v="1.8"/>
    <n v="0"/>
    <n v="4"/>
    <n v="2"/>
    <n v="3.4"/>
    <s v="Yes"/>
    <n v="1"/>
    <n v="0"/>
    <m/>
    <n v="0"/>
    <s v="Stayed"/>
    <m/>
    <n v="1"/>
    <n v="0"/>
    <s v="No Recorded Promotions"/>
    <s v="5+ years"/>
    <s v="Moderate"/>
    <s v="3.1333333333333333"/>
    <s v="0.16666666666666666"/>
    <n v="0"/>
  </r>
  <r>
    <s v="EMP0901"/>
    <x v="1"/>
    <s v="Recruiter"/>
    <n v="2.2000000000000002"/>
    <s v="G2"/>
    <n v="23"/>
    <s v="Bachelor"/>
    <s v="Chennai"/>
    <n v="4"/>
    <n v="9.8000000000000007"/>
    <n v="13"/>
    <n v="0"/>
    <n v="12"/>
    <n v="0"/>
    <s v="Band B"/>
    <n v="43400"/>
    <n v="9.8000000000000007"/>
    <n v="3"/>
    <n v="3.2"/>
    <n v="0"/>
    <n v="2.5"/>
    <n v="2.7"/>
    <n v="3.7"/>
    <s v="Yes"/>
    <n v="0"/>
    <n v="0"/>
    <m/>
    <n v="0"/>
    <s v="Left"/>
    <d v="2026-01-30T00:00:00"/>
    <n v="1"/>
    <n v="0"/>
    <s v="No Recorded Promotions"/>
    <s v="1â€“3 years"/>
    <s v="Low"/>
    <s v="2.966666666666667"/>
    <s v="0.3333333333333333"/>
    <n v="1"/>
  </r>
  <r>
    <s v="EMP0902"/>
    <x v="4"/>
    <s v="Sales Manager"/>
    <n v="6.3"/>
    <s v="G2"/>
    <n v="26"/>
    <s v="Bachelor"/>
    <s v="Chennai"/>
    <n v="5"/>
    <n v="9.9"/>
    <n v="7"/>
    <n v="1"/>
    <n v="12"/>
    <n v="0"/>
    <s v="Band B"/>
    <n v="47800"/>
    <n v="0"/>
    <n v="2.2999999999999998"/>
    <n v="3.1"/>
    <n v="0"/>
    <n v="2.6"/>
    <n v="2.2000000000000002"/>
    <n v="3.6"/>
    <s v="Yes"/>
    <n v="0"/>
    <n v="1"/>
    <n v="2.4"/>
    <n v="1"/>
    <s v="Stayed"/>
    <m/>
    <n v="0"/>
    <n v="0"/>
    <s v="Promoted"/>
    <s v="5+ years"/>
    <s v="Low"/>
    <s v="2.8000000000000003"/>
    <s v="0.4166666666666667"/>
    <n v="0"/>
  </r>
  <r>
    <s v="EMP0903"/>
    <x v="3"/>
    <s v="Data Analyst"/>
    <n v="2.9"/>
    <s v="G4"/>
    <n v="26"/>
    <s v="Doctorate"/>
    <s v="Chennai"/>
    <n v="4"/>
    <n v="8.6999999999999993"/>
    <n v="3"/>
    <n v="1"/>
    <n v="12"/>
    <n v="0"/>
    <s v="Band C"/>
    <n v="71900"/>
    <n v="8"/>
    <n v="1.3"/>
    <n v="0.2"/>
    <n v="0"/>
    <n v="3.7"/>
    <n v="3.2"/>
    <n v="2.5"/>
    <s v="Yes"/>
    <n v="0"/>
    <n v="2"/>
    <n v="2.7"/>
    <n v="0"/>
    <s v="Stayed"/>
    <m/>
    <n v="0"/>
    <n v="0"/>
    <s v="Promoted"/>
    <s v="1â€“3 years"/>
    <s v="Low"/>
    <s v="3.1333333333333333"/>
    <s v="0.3333333333333333"/>
    <n v="0"/>
  </r>
  <r>
    <s v="EMP0904"/>
    <x v="1"/>
    <s v="Recruiter"/>
    <n v="6.3"/>
    <s v="G4"/>
    <n v="33"/>
    <s v="Bachelor"/>
    <s v="Hyderabad"/>
    <n v="9"/>
    <n v="14.4"/>
    <n v="10"/>
    <n v="3"/>
    <n v="12"/>
    <n v="0"/>
    <s v="Band D"/>
    <n v="78100"/>
    <n v="14.5"/>
    <n v="2.2999999999999998"/>
    <n v="0.6"/>
    <n v="0"/>
    <n v="3"/>
    <n v="3.4"/>
    <n v="3.4"/>
    <s v="No"/>
    <n v="1"/>
    <n v="0"/>
    <m/>
    <n v="0"/>
    <s v="Stayed"/>
    <m/>
    <n v="1"/>
    <n v="0"/>
    <s v="No Recorded Promotions"/>
    <s v="5+ years"/>
    <s v="Moderate"/>
    <s v="3.266666666666667"/>
    <n v="0.75"/>
    <n v="0"/>
  </r>
  <r>
    <s v="EMP0905"/>
    <x v="2"/>
    <s v="Support Specialist"/>
    <n v="4.5999999999999996"/>
    <s v="G1"/>
    <n v="33"/>
    <s v="Diploma"/>
    <s v="Hyderabad"/>
    <n v="2"/>
    <n v="22.8"/>
    <n v="12"/>
    <n v="4"/>
    <n v="12"/>
    <n v="0"/>
    <s v="Band A"/>
    <n v="31800"/>
    <n v="0"/>
    <n v="3.2"/>
    <n v="1"/>
    <n v="0"/>
    <n v="3.3"/>
    <n v="3.1"/>
    <n v="2.6"/>
    <s v="Yes"/>
    <n v="0"/>
    <n v="1"/>
    <n v="0.3"/>
    <n v="0"/>
    <s v="Stayed"/>
    <m/>
    <n v="0"/>
    <n v="0"/>
    <s v="Promoted"/>
    <s v="3â€“5 years"/>
    <s v="High"/>
    <n v="3"/>
    <s v="0.16666666666666666"/>
    <n v="0"/>
  </r>
  <r>
    <s v="EMP0906"/>
    <x v="0"/>
    <s v="Operations Manager"/>
    <n v="3.9"/>
    <s v="G2"/>
    <n v="32"/>
    <s v="Bachelor"/>
    <s v="Coimbatore"/>
    <n v="2"/>
    <n v="4.0999999999999996"/>
    <n v="15"/>
    <n v="4"/>
    <n v="12"/>
    <n v="0"/>
    <s v="Band A"/>
    <n v="34300"/>
    <n v="11.3"/>
    <n v="3.1"/>
    <n v="2.9"/>
    <n v="0"/>
    <n v="3.2"/>
    <n v="3.7"/>
    <n v="3.2"/>
    <s v="Yes"/>
    <n v="0"/>
    <n v="0"/>
    <m/>
    <n v="0"/>
    <s v="Stayed"/>
    <m/>
    <n v="1"/>
    <n v="0"/>
    <s v="No Recorded Promotions"/>
    <s v="3â€“5 years"/>
    <s v="Low"/>
    <s v="3.366666666666667"/>
    <s v="0.16666666666666666"/>
    <n v="0"/>
  </r>
  <r>
    <s v="EMP0907"/>
    <x v="1"/>
    <s v="Recruiter"/>
    <n v="3.1"/>
    <s v="G3"/>
    <n v="34"/>
    <s v="Diploma"/>
    <s v="Chennai"/>
    <n v="7"/>
    <n v="8.9"/>
    <n v="7"/>
    <n v="5"/>
    <n v="12"/>
    <n v="0"/>
    <s v="Band B"/>
    <n v="49800"/>
    <n v="10.199999999999999"/>
    <n v="3.7"/>
    <n v="1.7"/>
    <n v="0"/>
    <n v="4.4000000000000004"/>
    <n v="2.7"/>
    <n v="4.5"/>
    <s v="Yes"/>
    <n v="0"/>
    <n v="1"/>
    <n v="0.3"/>
    <n v="1"/>
    <s v="Stayed"/>
    <m/>
    <n v="0"/>
    <n v="0"/>
    <s v="Promoted"/>
    <s v="3â€“5 years"/>
    <s v="Low"/>
    <s v="3.866666666666667"/>
    <s v="0.5833333333333334"/>
    <n v="0"/>
  </r>
  <r>
    <s v="EMP0908"/>
    <x v="3"/>
    <s v="Data Analyst"/>
    <n v="3.6"/>
    <s v="G2"/>
    <n v="23"/>
    <s v="Bachelor"/>
    <s v="Chennai"/>
    <n v="2"/>
    <n v="1.4"/>
    <n v="5"/>
    <n v="1"/>
    <n v="12"/>
    <n v="0"/>
    <s v="Band B"/>
    <n v="39800"/>
    <n v="2.2000000000000002"/>
    <n v="4"/>
    <n v="1.1000000000000001"/>
    <n v="0"/>
    <n v="4.5"/>
    <n v="3.2"/>
    <n v="3.9"/>
    <s v="No"/>
    <n v="0"/>
    <n v="2"/>
    <n v="1.9"/>
    <n v="1"/>
    <s v="Stayed"/>
    <m/>
    <n v="0"/>
    <n v="0"/>
    <s v="Promoted"/>
    <s v="3â€“5 years"/>
    <s v="Low"/>
    <s v="3.8666666666666667"/>
    <s v="0.16666666666666666"/>
    <n v="0"/>
  </r>
  <r>
    <s v="EMP0909"/>
    <x v="4"/>
    <s v="Sales Executive"/>
    <n v="2.7"/>
    <s v="G1"/>
    <n v="33"/>
    <s v="Doctorate"/>
    <s v="Chennai"/>
    <n v="3"/>
    <n v="11.7"/>
    <n v="15"/>
    <n v="3"/>
    <n v="12"/>
    <n v="0"/>
    <s v="Band B"/>
    <n v="35200"/>
    <n v="10.1"/>
    <n v="2.8"/>
    <n v="0.3"/>
    <n v="0"/>
    <n v="2.7"/>
    <n v="2.2999999999999998"/>
    <n v="2.2999999999999998"/>
    <s v="No"/>
    <n v="0"/>
    <n v="1"/>
    <m/>
    <n v="0"/>
    <s v="Left"/>
    <d v="2024-10-31T00:00:00"/>
    <n v="1"/>
    <n v="0"/>
    <s v="Promoted"/>
    <s v="1â€“3 years"/>
    <s v="Moderate"/>
    <s v="2.433333333333333"/>
    <n v="0.25"/>
    <n v="1"/>
  </r>
  <r>
    <s v="EMP0910"/>
    <x v="4"/>
    <s v="Account Manager"/>
    <n v="3"/>
    <s v="G2"/>
    <n v="28"/>
    <s v="Master"/>
    <s v="Coimbatore"/>
    <n v="2"/>
    <n v="3.8"/>
    <n v="9"/>
    <n v="1"/>
    <n v="12"/>
    <n v="0"/>
    <s v="Band A"/>
    <n v="33000"/>
    <n v="12"/>
    <n v="1.8"/>
    <n v="2.5"/>
    <n v="0"/>
    <n v="1.7"/>
    <n v="3.5"/>
    <n v="3.2"/>
    <s v="No"/>
    <n v="0"/>
    <n v="0"/>
    <m/>
    <n v="0"/>
    <s v="Stayed"/>
    <m/>
    <n v="1"/>
    <n v="0"/>
    <s v="No Recorded Promotions"/>
    <s v="1â€“3 years"/>
    <s v="Low"/>
    <s v="2.8000000000000003"/>
    <s v="0.16666666666666666"/>
    <n v="0"/>
  </r>
  <r>
    <s v="EMP0911"/>
    <x v="0"/>
    <s v="Operations Associate"/>
    <n v="5.2"/>
    <s v="G2"/>
    <n v="34"/>
    <s v="Diploma"/>
    <s v="Chennai"/>
    <n v="3"/>
    <n v="10.199999999999999"/>
    <n v="14"/>
    <n v="4"/>
    <n v="12"/>
    <n v="0"/>
    <s v="Band B"/>
    <n v="47700"/>
    <n v="3.3"/>
    <n v="3.6"/>
    <n v="3.3"/>
    <n v="0"/>
    <n v="2.7"/>
    <n v="3.3"/>
    <n v="3.6"/>
    <s v="Yes"/>
    <n v="0"/>
    <n v="0"/>
    <m/>
    <n v="1"/>
    <s v="Stayed"/>
    <m/>
    <n v="1"/>
    <n v="0"/>
    <s v="No Recorded Promotions"/>
    <s v="5+ years"/>
    <s v="Moderate"/>
    <s v="3.1999999999999997"/>
    <n v="0.25"/>
    <n v="0"/>
  </r>
  <r>
    <s v="EMP0912"/>
    <x v="2"/>
    <s v="Support Associate"/>
    <n v="0.8"/>
    <s v="G1"/>
    <n v="22"/>
    <s v="Bachelor"/>
    <s v="Chennai"/>
    <n v="1"/>
    <n v="12.1"/>
    <n v="7"/>
    <n v="3"/>
    <n v="12"/>
    <n v="0"/>
    <s v="Band A"/>
    <n v="27400"/>
    <n v="5.2"/>
    <n v="3.2"/>
    <n v="0.5"/>
    <n v="0"/>
    <n v="2.5"/>
    <n v="3.3"/>
    <n v="4"/>
    <s v="Yes"/>
    <n v="1"/>
    <n v="1"/>
    <n v="0.4"/>
    <n v="0"/>
    <s v="Stayed"/>
    <m/>
    <n v="0"/>
    <n v="0"/>
    <s v="Promoted"/>
    <s v="0â€“1 years"/>
    <s v="Moderate"/>
    <s v="3.266666666666667"/>
    <n v="8.3333333333333301E-2"/>
    <n v="0"/>
  </r>
  <r>
    <s v="EMP0913"/>
    <x v="2"/>
    <s v="Support Specialist"/>
    <n v="6.2"/>
    <s v="G3"/>
    <n v="32"/>
    <s v="Bachelor"/>
    <s v="Remote"/>
    <n v="6"/>
    <n v="1.7"/>
    <n v="9"/>
    <n v="1"/>
    <n v="12"/>
    <n v="0"/>
    <s v="Band C"/>
    <n v="55000"/>
    <n v="8.1"/>
    <n v="3"/>
    <n v="0.2"/>
    <n v="0"/>
    <n v="4"/>
    <n v="3.1"/>
    <n v="2.9"/>
    <s v="Yes"/>
    <n v="0"/>
    <n v="2"/>
    <n v="4"/>
    <n v="1"/>
    <s v="Stayed"/>
    <m/>
    <n v="0"/>
    <n v="0"/>
    <s v="Promoted"/>
    <s v="5+ years"/>
    <s v="Low"/>
    <s v="3.3333333333333335"/>
    <n v="0.5"/>
    <n v="0"/>
  </r>
  <r>
    <s v="EMP0914"/>
    <x v="2"/>
    <s v="Support Associate"/>
    <n v="6.3"/>
    <s v="G2"/>
    <n v="33"/>
    <s v="Bachelor"/>
    <s v="Coimbatore"/>
    <n v="3"/>
    <n v="13.5"/>
    <n v="6"/>
    <n v="2"/>
    <n v="12"/>
    <n v="0"/>
    <s v="Band B"/>
    <n v="46400"/>
    <n v="11.9"/>
    <n v="4.3"/>
    <n v="1.2"/>
    <n v="0"/>
    <n v="4.0999999999999996"/>
    <n v="3.2"/>
    <n v="2.4"/>
    <s v="Yes"/>
    <n v="0"/>
    <n v="1"/>
    <n v="1.6"/>
    <n v="1"/>
    <s v="Stayed"/>
    <m/>
    <n v="0"/>
    <n v="0"/>
    <s v="Promoted"/>
    <s v="5+ years"/>
    <s v="Moderate"/>
    <s v="3.233333333333333"/>
    <n v="0.25"/>
    <n v="0"/>
  </r>
  <r>
    <s v="EMP0915"/>
    <x v="2"/>
    <s v="Support Specialist"/>
    <n v="3.1"/>
    <s v="G3"/>
    <n v="34"/>
    <s v="Bachelor"/>
    <s v="Hyderabad"/>
    <n v="3"/>
    <n v="22"/>
    <n v="10"/>
    <n v="2"/>
    <n v="12"/>
    <n v="0"/>
    <s v="Band C"/>
    <n v="65700"/>
    <n v="5.8"/>
    <n v="3.6"/>
    <n v="1.3"/>
    <n v="0"/>
    <n v="2.4"/>
    <n v="3.5"/>
    <n v="3.4"/>
    <s v="Yes"/>
    <n v="0"/>
    <n v="1"/>
    <n v="1"/>
    <n v="1"/>
    <s v="Left"/>
    <d v="2025-11-21T00:00:00"/>
    <n v="0"/>
    <n v="0"/>
    <s v="Promoted"/>
    <s v="3â€“5 years"/>
    <s v="High"/>
    <n v="3.1"/>
    <n v="0.25"/>
    <n v="1"/>
  </r>
  <r>
    <s v="EMP0916"/>
    <x v="2"/>
    <s v="Support Specialist"/>
    <n v="4.2"/>
    <s v="G2"/>
    <n v="24"/>
    <s v="Bachelor"/>
    <s v="Chennai"/>
    <n v="2"/>
    <n v="15.9"/>
    <n v="9"/>
    <n v="3"/>
    <n v="12"/>
    <n v="0"/>
    <s v="Band B"/>
    <n v="41200"/>
    <n v="7.8"/>
    <n v="3.3"/>
    <n v="4"/>
    <n v="0"/>
    <n v="2.6"/>
    <n v="3.5"/>
    <n v="3.9"/>
    <s v="No"/>
    <n v="0"/>
    <n v="2"/>
    <n v="2"/>
    <n v="0"/>
    <s v="Stayed"/>
    <m/>
    <n v="0"/>
    <n v="0"/>
    <s v="Promoted"/>
    <s v="3â€“5 years"/>
    <s v="Moderate"/>
    <s v="3.3333333333333335"/>
    <s v="0.16666666666666666"/>
    <n v="0"/>
  </r>
  <r>
    <s v="EMP0917"/>
    <x v="3"/>
    <s v="QA Engineer"/>
    <n v="1.7"/>
    <s v="G4"/>
    <n v="28"/>
    <s v="Master"/>
    <s v="Chennai"/>
    <n v="1"/>
    <n v="4.2"/>
    <n v="8"/>
    <n v="0"/>
    <n v="12"/>
    <n v="0"/>
    <s v="Band D"/>
    <n v="79800"/>
    <n v="5.3"/>
    <n v="3.3"/>
    <n v="0.7"/>
    <n v="0"/>
    <n v="2"/>
    <n v="2.6"/>
    <n v="3.6"/>
    <s v="Yes"/>
    <n v="0"/>
    <n v="1"/>
    <n v="1"/>
    <n v="1"/>
    <s v="Stayed"/>
    <m/>
    <n v="0"/>
    <n v="0"/>
    <s v="Promoted"/>
    <s v="1â€“3 years"/>
    <s v="Low"/>
    <s v="2.733333333333333"/>
    <n v="8.3333333333333301E-2"/>
    <n v="0"/>
  </r>
  <r>
    <s v="EMP0918"/>
    <x v="3"/>
    <s v="Data Analyst"/>
    <n v="5"/>
    <s v="G1"/>
    <n v="27"/>
    <s v="Master"/>
    <s v="Remote"/>
    <n v="1"/>
    <n v="9.6999999999999993"/>
    <n v="5"/>
    <n v="0"/>
    <n v="12"/>
    <n v="0"/>
    <s v="Band A"/>
    <n v="26000"/>
    <n v="8.1"/>
    <n v="4"/>
    <n v="0.6"/>
    <n v="0"/>
    <n v="3.4"/>
    <n v="3.9"/>
    <n v="2.7"/>
    <s v="Yes"/>
    <n v="0"/>
    <n v="0"/>
    <m/>
    <n v="1"/>
    <s v="Stayed"/>
    <m/>
    <n v="1"/>
    <n v="0"/>
    <s v="No Recorded Promotions"/>
    <s v="3â€“5 years"/>
    <s v="Low"/>
    <s v="3.3333333333333335"/>
    <n v="8.3333333333333301E-2"/>
    <n v="0"/>
  </r>
  <r>
    <s v="EMP0919"/>
    <x v="4"/>
    <s v="Sales Manager"/>
    <n v="1.9"/>
    <s v="G1"/>
    <n v="30"/>
    <s v="Bachelor"/>
    <s v="Coimbatore"/>
    <n v="5"/>
    <n v="10.6"/>
    <n v="8"/>
    <n v="3"/>
    <n v="12"/>
    <n v="0"/>
    <s v="Band A"/>
    <n v="26200"/>
    <n v="12.2"/>
    <n v="2.6"/>
    <n v="0.6"/>
    <n v="0"/>
    <n v="3.3"/>
    <n v="3.7"/>
    <n v="4.8"/>
    <s v="Yes"/>
    <n v="1"/>
    <n v="0"/>
    <m/>
    <n v="0"/>
    <s v="Stayed"/>
    <m/>
    <n v="1"/>
    <n v="0"/>
    <s v="No Recorded Promotions"/>
    <s v="1â€“3 years"/>
    <s v="Moderate"/>
    <s v="3.9333333333333336"/>
    <s v="0.4166666666666667"/>
    <n v="0"/>
  </r>
  <r>
    <s v="EMP0920"/>
    <x v="5"/>
    <s v="Financial Analyst"/>
    <n v="0.1"/>
    <s v="G2"/>
    <n v="29"/>
    <s v="Master"/>
    <s v="Bengaluru"/>
    <n v="6"/>
    <n v="9"/>
    <n v="12"/>
    <n v="3"/>
    <n v="12"/>
    <n v="0"/>
    <s v="Band A"/>
    <n v="31800"/>
    <n v="8.4"/>
    <n v="2.4"/>
    <n v="0.4"/>
    <n v="0"/>
    <n v="4"/>
    <n v="2.5"/>
    <n v="3.3"/>
    <s v="Yes"/>
    <n v="0"/>
    <n v="1"/>
    <n v="0.3"/>
    <n v="1"/>
    <s v="Stayed"/>
    <m/>
    <n v="0"/>
    <n v="0"/>
    <s v="Promoted"/>
    <s v="0â€“1 years"/>
    <s v="Low"/>
    <s v="3.266666666666667"/>
    <n v="0.5"/>
    <n v="0"/>
  </r>
  <r>
    <s v="EMP0921"/>
    <x v="3"/>
    <s v="Senior Software Engineer"/>
    <n v="8.3000000000000007"/>
    <s v="G2"/>
    <n v="39"/>
    <s v="Bachelor"/>
    <s v="Remote"/>
    <n v="1"/>
    <n v="2.7"/>
    <n v="6"/>
    <n v="3"/>
    <n v="12"/>
    <n v="0"/>
    <s v="Band B"/>
    <n v="39000"/>
    <n v="6.6"/>
    <n v="3"/>
    <n v="1.1000000000000001"/>
    <n v="0"/>
    <n v="3.7"/>
    <n v="2.2000000000000002"/>
    <n v="3.6"/>
    <s v="No"/>
    <n v="0"/>
    <n v="0"/>
    <m/>
    <n v="0"/>
    <s v="Stayed"/>
    <m/>
    <n v="1"/>
    <n v="0"/>
    <s v="No Recorded Promotions"/>
    <s v="5+ years"/>
    <s v="Low"/>
    <s v="3.1666666666666665"/>
    <n v="8.3333333333333301E-2"/>
    <n v="0"/>
  </r>
  <r>
    <s v="EMP0922"/>
    <x v="2"/>
    <s v="Support Team Lead"/>
    <n v="1.6"/>
    <s v="G2"/>
    <n v="25"/>
    <s v="Bachelor"/>
    <s v="Coimbatore"/>
    <n v="1"/>
    <n v="4.9000000000000004"/>
    <n v="6"/>
    <n v="0"/>
    <n v="12"/>
    <n v="0"/>
    <s v="Band B"/>
    <n v="40600"/>
    <n v="7.9"/>
    <n v="2.1"/>
    <n v="2.6"/>
    <n v="0"/>
    <n v="3.8"/>
    <n v="2.6"/>
    <n v="2.9"/>
    <s v="Yes"/>
    <n v="0"/>
    <n v="1"/>
    <n v="1.1000000000000001"/>
    <n v="0"/>
    <s v="Stayed"/>
    <m/>
    <n v="0"/>
    <n v="0"/>
    <s v="Promoted"/>
    <s v="1â€“3 years"/>
    <s v="Low"/>
    <n v="3.1"/>
    <n v="8.3333333333333301E-2"/>
    <n v="0"/>
  </r>
  <r>
    <s v="EMP0923"/>
    <x v="0"/>
    <s v="Operations Associate"/>
    <n v="3.6"/>
    <s v="G3"/>
    <n v="33"/>
    <s v="Master"/>
    <s v="Chennai"/>
    <n v="0"/>
    <n v="8.4"/>
    <n v="9"/>
    <n v="2"/>
    <n v="12"/>
    <n v="0"/>
    <s v="Band C"/>
    <n v="54600"/>
    <n v="4.8"/>
    <n v="3.2"/>
    <n v="2.7"/>
    <n v="0"/>
    <n v="1.9"/>
    <n v="1.9"/>
    <n v="4.3"/>
    <s v="Yes"/>
    <n v="0"/>
    <n v="0"/>
    <m/>
    <n v="0"/>
    <s v="Stayed"/>
    <m/>
    <n v="1"/>
    <n v="0"/>
    <s v="No Recorded Promotions"/>
    <s v="3â€“5 years"/>
    <s v="Low"/>
    <s v="2.6999999999999997"/>
    <n v="0"/>
    <n v="0"/>
  </r>
  <r>
    <s v="EMP0924"/>
    <x v="5"/>
    <s v="Financial Analyst"/>
    <n v="4.4000000000000004"/>
    <s v="G2"/>
    <n v="36"/>
    <s v="Diploma"/>
    <s v="Coimbatore"/>
    <n v="3"/>
    <n v="78"/>
    <n v="6"/>
    <n v="2"/>
    <n v="12"/>
    <n v="1"/>
    <s v="Band B"/>
    <n v="47500"/>
    <n v="4"/>
    <n v="3.3"/>
    <n v="0.4"/>
    <n v="0"/>
    <n v="2.7"/>
    <n v="3.4"/>
    <n v="3.9"/>
    <s v="Yes"/>
    <n v="0"/>
    <n v="3"/>
    <n v="1.8"/>
    <n v="0"/>
    <s v="Stayed"/>
    <m/>
    <n v="0"/>
    <n v="0"/>
    <s v="Promoted"/>
    <s v="3â€“5 years"/>
    <s v="Extreme"/>
    <s v="3.3333333333333335"/>
    <n v="0.25"/>
    <n v="0"/>
  </r>
  <r>
    <s v="EMP0925"/>
    <x v="3"/>
    <s v="Senior Software Engineer"/>
    <n v="5.2"/>
    <s v="G1"/>
    <n v="25"/>
    <s v="Bachelor"/>
    <s v="Chennai"/>
    <n v="4"/>
    <n v="6.1"/>
    <n v="7"/>
    <n v="2"/>
    <n v="12"/>
    <n v="0"/>
    <s v="Band B"/>
    <n v="36600"/>
    <n v="12.8"/>
    <n v="3.1"/>
    <n v="3"/>
    <n v="0"/>
    <n v="4.2"/>
    <n v="4.3"/>
    <n v="3.7"/>
    <s v="Yes"/>
    <n v="0"/>
    <n v="0"/>
    <m/>
    <n v="0"/>
    <s v="Stayed"/>
    <m/>
    <n v="1"/>
    <n v="0"/>
    <s v="No Recorded Promotions"/>
    <s v="5+ years"/>
    <s v="Low"/>
    <s v="4.066666666666666"/>
    <s v="0.3333333333333333"/>
    <n v="0"/>
  </r>
  <r>
    <s v="EMP0926"/>
    <x v="4"/>
    <s v="Sales Executive"/>
    <n v="3.8"/>
    <s v="G2"/>
    <n v="32"/>
    <s v="Master"/>
    <s v="Chennai"/>
    <n v="1"/>
    <n v="1.2"/>
    <n v="8"/>
    <n v="1"/>
    <n v="12"/>
    <n v="0"/>
    <s v="Band B"/>
    <n v="38400"/>
    <n v="14.6"/>
    <n v="2.9"/>
    <n v="1.4"/>
    <n v="0"/>
    <n v="2.8"/>
    <n v="4.5"/>
    <n v="2.5"/>
    <s v="Yes"/>
    <n v="0"/>
    <n v="0"/>
    <m/>
    <n v="2"/>
    <s v="Stayed"/>
    <m/>
    <n v="1"/>
    <n v="0"/>
    <s v="No Recorded Promotions"/>
    <s v="3â€“5 years"/>
    <s v="Low"/>
    <s v="3.266666666666667"/>
    <n v="8.3333333333333301E-2"/>
    <n v="0"/>
  </r>
  <r>
    <s v="EMP0927"/>
    <x v="3"/>
    <s v="QA Engineer"/>
    <n v="4.5999999999999996"/>
    <s v="G4"/>
    <n v="34"/>
    <s v="Bachelor"/>
    <s v="Chennai"/>
    <n v="7"/>
    <n v="6.5"/>
    <n v="5"/>
    <n v="4"/>
    <n v="12"/>
    <n v="0"/>
    <s v="Band C"/>
    <n v="66800"/>
    <n v="0.8"/>
    <n v="4.7"/>
    <n v="2.4"/>
    <n v="0"/>
    <n v="1.8"/>
    <n v="2.2000000000000002"/>
    <n v="4.3"/>
    <s v="Yes"/>
    <n v="0"/>
    <n v="3"/>
    <n v="1.2"/>
    <n v="1"/>
    <s v="Stayed"/>
    <m/>
    <n v="0"/>
    <n v="0"/>
    <s v="Promoted"/>
    <s v="3â€“5 years"/>
    <s v="Low"/>
    <s v="2.766666666666667"/>
    <s v="0.5833333333333334"/>
    <n v="0"/>
  </r>
  <r>
    <s v="EMP0928"/>
    <x v="2"/>
    <s v="Support Associate"/>
    <n v="3.1"/>
    <s v="G4"/>
    <n v="28"/>
    <s v="Master"/>
    <s v="Hyderabad"/>
    <n v="2"/>
    <n v="32.1"/>
    <n v="12"/>
    <n v="3"/>
    <n v="12"/>
    <n v="0"/>
    <s v="Band D"/>
    <n v="81100"/>
    <n v="10.3"/>
    <n v="4"/>
    <n v="0.8"/>
    <n v="0"/>
    <n v="4"/>
    <n v="3.9"/>
    <n v="4"/>
    <s v="Yes"/>
    <n v="0"/>
    <n v="0"/>
    <m/>
    <n v="0"/>
    <s v="Stayed"/>
    <m/>
    <n v="1"/>
    <n v="0"/>
    <s v="No Recorded Promotions"/>
    <s v="3â€“5 years"/>
    <s v="High"/>
    <s v="3.966666666666667"/>
    <s v="0.16666666666666666"/>
    <n v="0"/>
  </r>
  <r>
    <s v="EMP0929"/>
    <x v="5"/>
    <s v="Accountant"/>
    <n v="1"/>
    <s v="G3"/>
    <n v="22"/>
    <s v="Bachelor"/>
    <s v="Bengaluru"/>
    <n v="4"/>
    <n v="13.6"/>
    <n v="8"/>
    <n v="2"/>
    <n v="12"/>
    <n v="0"/>
    <s v="Band C"/>
    <n v="59900"/>
    <n v="11.4"/>
    <n v="3.1"/>
    <n v="1.3"/>
    <n v="0"/>
    <n v="2.8"/>
    <n v="3.3"/>
    <n v="4.2"/>
    <s v="Yes"/>
    <n v="0"/>
    <n v="1"/>
    <n v="0.2"/>
    <n v="1"/>
    <s v="Stayed"/>
    <m/>
    <n v="0"/>
    <n v="0"/>
    <s v="Promoted"/>
    <s v="0â€“1 years"/>
    <s v="Moderate"/>
    <s v="3.4333333333333336"/>
    <s v="0.3333333333333333"/>
    <n v="0"/>
  </r>
  <r>
    <s v="EMP0930"/>
    <x v="0"/>
    <s v="Team Lead"/>
    <n v="3.7"/>
    <s v="G3"/>
    <n v="33"/>
    <s v="Master"/>
    <s v="Chennai"/>
    <n v="5"/>
    <n v="11.7"/>
    <n v="11"/>
    <n v="2"/>
    <n v="12"/>
    <n v="0"/>
    <s v="Band C"/>
    <n v="56100"/>
    <n v="3.2"/>
    <n v="3.3"/>
    <n v="1.1000000000000001"/>
    <n v="0"/>
    <n v="4.3"/>
    <n v="1"/>
    <n v="3.4"/>
    <s v="Yes"/>
    <n v="0"/>
    <n v="1"/>
    <n v="2.2000000000000002"/>
    <n v="1"/>
    <s v="Stayed"/>
    <m/>
    <n v="0"/>
    <n v="0"/>
    <s v="Promoted"/>
    <s v="3â€“5 years"/>
    <s v="Moderate"/>
    <n v="2.9"/>
    <s v="0.4166666666666667"/>
    <n v="0"/>
  </r>
  <r>
    <s v="EMP0931"/>
    <x v="4"/>
    <s v="Sales Executive"/>
    <n v="5.7"/>
    <s v="G3"/>
    <n v="27"/>
    <s v="Diploma"/>
    <s v="Chennai"/>
    <n v="2"/>
    <n v="4.8"/>
    <n v="13"/>
    <n v="1"/>
    <n v="12"/>
    <n v="0"/>
    <s v="Band C"/>
    <n v="59500"/>
    <n v="6.1"/>
    <n v="4.4000000000000004"/>
    <n v="1.4"/>
    <n v="0"/>
    <n v="3.3"/>
    <n v="2.9"/>
    <n v="3.3"/>
    <s v="Yes"/>
    <n v="0"/>
    <n v="1"/>
    <n v="5.7"/>
    <n v="0"/>
    <s v="Stayed"/>
    <m/>
    <n v="0"/>
    <n v="0"/>
    <s v="Promoted"/>
    <s v="5+ years"/>
    <s v="Low"/>
    <s v="3.1666666666666665"/>
    <s v="0.16666666666666666"/>
    <n v="0"/>
  </r>
  <r>
    <s v="EMP0932"/>
    <x v="4"/>
    <s v="Sales Manager"/>
    <n v="1.7"/>
    <s v="G3"/>
    <n v="27"/>
    <s v="Bachelor"/>
    <s v="Bengaluru"/>
    <n v="2"/>
    <n v="6.8"/>
    <n v="9"/>
    <n v="3"/>
    <n v="12"/>
    <n v="0"/>
    <s v="Band C"/>
    <n v="55400"/>
    <n v="5.7"/>
    <n v="2.7"/>
    <n v="1"/>
    <n v="0"/>
    <n v="3.1"/>
    <n v="2.8"/>
    <n v="3.3"/>
    <s v="No"/>
    <n v="0"/>
    <n v="1"/>
    <n v="1.6"/>
    <n v="0"/>
    <s v="Stayed"/>
    <m/>
    <n v="0"/>
    <n v="0"/>
    <s v="Promoted"/>
    <s v="1â€“3 years"/>
    <s v="Low"/>
    <s v="3.0666666666666664"/>
    <s v="0.16666666666666666"/>
    <n v="0"/>
  </r>
  <r>
    <s v="EMP0933"/>
    <x v="4"/>
    <s v="Sales Executive"/>
    <n v="4.4000000000000004"/>
    <s v="G2"/>
    <n v="30"/>
    <s v="Bachelor"/>
    <s v="Remote"/>
    <n v="3"/>
    <n v="1"/>
    <n v="9"/>
    <n v="0"/>
    <n v="12"/>
    <n v="0"/>
    <s v="Band A"/>
    <n v="34700"/>
    <n v="15.6"/>
    <n v="2.2999999999999998"/>
    <n v="1.6"/>
    <n v="0"/>
    <n v="4.5"/>
    <n v="4.3"/>
    <n v="5"/>
    <s v="Yes"/>
    <n v="0"/>
    <n v="0"/>
    <m/>
    <n v="1"/>
    <s v="Stayed"/>
    <m/>
    <n v="1"/>
    <n v="0"/>
    <s v="No Recorded Promotions"/>
    <s v="3â€“5 years"/>
    <s v="Low"/>
    <s v="4.6000000000000005"/>
    <n v="0.25"/>
    <n v="0"/>
  </r>
  <r>
    <s v="EMP0934"/>
    <x v="0"/>
    <s v="Team Lead"/>
    <n v="11.6"/>
    <s v="G3"/>
    <n v="40"/>
    <s v="Master"/>
    <s v="Chennai"/>
    <n v="3"/>
    <n v="4.5"/>
    <n v="9"/>
    <n v="1"/>
    <n v="12"/>
    <n v="0"/>
    <s v="Band C"/>
    <n v="50800"/>
    <n v="14.6"/>
    <n v="3.4"/>
    <n v="0"/>
    <n v="0"/>
    <n v="2.1"/>
    <n v="2.4"/>
    <n v="3"/>
    <s v="Yes"/>
    <n v="0"/>
    <n v="0"/>
    <m/>
    <n v="0"/>
    <s v="Stayed"/>
    <m/>
    <n v="1"/>
    <n v="0"/>
    <s v="No Recorded Promotions"/>
    <s v="5+ years"/>
    <s v="Low"/>
    <n v="2.5"/>
    <n v="0.25"/>
    <n v="0"/>
  </r>
  <r>
    <s v="EMP0935"/>
    <x v="0"/>
    <s v="Operations Manager"/>
    <n v="3.5"/>
    <s v="G4"/>
    <n v="27"/>
    <s v="Bachelor"/>
    <s v="Chennai"/>
    <n v="2"/>
    <n v="13.1"/>
    <n v="11"/>
    <n v="0"/>
    <n v="12"/>
    <n v="0"/>
    <s v="Band C"/>
    <n v="71100"/>
    <n v="4.3"/>
    <n v="3.6"/>
    <n v="0.7"/>
    <n v="0"/>
    <n v="4.5999999999999996"/>
    <n v="3.7"/>
    <n v="2.5"/>
    <s v="Yes"/>
    <n v="0"/>
    <n v="0"/>
    <m/>
    <n v="0"/>
    <s v="Stayed"/>
    <m/>
    <n v="1"/>
    <n v="0"/>
    <s v="No Recorded Promotions"/>
    <s v="3â€“5 years"/>
    <s v="Moderate"/>
    <n v="3.6"/>
    <s v="0.16666666666666666"/>
    <n v="0"/>
  </r>
  <r>
    <s v="EMP0936"/>
    <x v="3"/>
    <s v="Software Engineer"/>
    <n v="3.7"/>
    <s v="G2"/>
    <n v="27"/>
    <s v="Master"/>
    <s v="Hyderabad"/>
    <n v="2"/>
    <n v="11.7"/>
    <n v="4"/>
    <n v="2"/>
    <n v="12"/>
    <n v="0"/>
    <s v="Band B"/>
    <n v="38000"/>
    <n v="2.2000000000000002"/>
    <n v="3.6"/>
    <n v="1.2"/>
    <n v="0"/>
    <n v="2.7"/>
    <n v="3.1"/>
    <n v="3.1"/>
    <s v="Yes"/>
    <n v="0"/>
    <n v="0"/>
    <m/>
    <n v="0"/>
    <s v="Stayed"/>
    <m/>
    <n v="1"/>
    <n v="0"/>
    <s v="No Recorded Promotions"/>
    <s v="3â€“5 years"/>
    <s v="Moderate"/>
    <s v="2.966666666666667"/>
    <s v="0.16666666666666666"/>
    <n v="0"/>
  </r>
  <r>
    <s v="EMP0937"/>
    <x v="2"/>
    <s v="Support Team Lead"/>
    <n v="0.9"/>
    <s v="G3"/>
    <n v="27"/>
    <s v="Bachelor"/>
    <s v="Hyderabad"/>
    <n v="3"/>
    <n v="5.6"/>
    <n v="9"/>
    <n v="1"/>
    <n v="12"/>
    <n v="0"/>
    <s v="Band C"/>
    <n v="53700"/>
    <n v="11.1"/>
    <n v="3.9"/>
    <n v="2.1"/>
    <n v="0"/>
    <n v="3.4"/>
    <n v="1.9"/>
    <n v="3"/>
    <s v="Yes"/>
    <n v="0"/>
    <n v="0"/>
    <m/>
    <n v="0"/>
    <s v="Stayed"/>
    <m/>
    <n v="1"/>
    <n v="0"/>
    <s v="No Recorded Promotions"/>
    <s v="0â€“1 years"/>
    <s v="Low"/>
    <s v="2.766666666666667"/>
    <n v="0.25"/>
    <n v="0"/>
  </r>
  <r>
    <s v="EMP0938"/>
    <x v="3"/>
    <s v="QA Engineer"/>
    <n v="1.5"/>
    <s v="G2"/>
    <n v="32"/>
    <s v="Bachelor"/>
    <s v="Remote"/>
    <n v="5"/>
    <n v="9"/>
    <n v="8"/>
    <n v="2"/>
    <n v="12"/>
    <n v="0"/>
    <s v="Band B"/>
    <n v="37400"/>
    <n v="10.199999999999999"/>
    <n v="2.5"/>
    <n v="0"/>
    <n v="0"/>
    <n v="3.5"/>
    <n v="2.7"/>
    <n v="4.4000000000000004"/>
    <s v="Yes"/>
    <n v="0"/>
    <n v="0"/>
    <m/>
    <n v="1"/>
    <s v="Stayed"/>
    <m/>
    <n v="1"/>
    <n v="0"/>
    <s v="No Recorded Promotions"/>
    <s v="1â€“3 years"/>
    <s v="Low"/>
    <s v="3.5333333333333337"/>
    <s v="0.4166666666666667"/>
    <n v="0"/>
  </r>
  <r>
    <s v="EMP0939"/>
    <x v="2"/>
    <s v="Support Team Lead"/>
    <n v="2"/>
    <s v="G2"/>
    <n v="37"/>
    <s v="Bachelor"/>
    <s v="Chennai"/>
    <n v="3"/>
    <n v="10.3"/>
    <n v="8"/>
    <n v="2"/>
    <n v="12"/>
    <n v="0"/>
    <s v="Band A"/>
    <n v="30200"/>
    <n v="13"/>
    <n v="1.9"/>
    <n v="3.1"/>
    <n v="0"/>
    <n v="2.9"/>
    <n v="4.5999999999999996"/>
    <n v="2.2999999999999998"/>
    <s v="No"/>
    <n v="0"/>
    <n v="0"/>
    <m/>
    <n v="0"/>
    <s v="Stayed"/>
    <m/>
    <n v="1"/>
    <n v="0"/>
    <s v="No Recorded Promotions"/>
    <s v="1â€“3 years"/>
    <s v="Moderate"/>
    <s v="3.266666666666667"/>
    <n v="0.25"/>
    <n v="0"/>
  </r>
  <r>
    <s v="EMP0940"/>
    <x v="3"/>
    <s v="Software Engineer"/>
    <n v="5.6"/>
    <s v="G1"/>
    <n v="26"/>
    <s v="Diploma"/>
    <s v="Chennai"/>
    <n v="6"/>
    <n v="5.9"/>
    <n v="12"/>
    <n v="5"/>
    <n v="12"/>
    <n v="0"/>
    <s v="Band A"/>
    <n v="22000"/>
    <n v="3.8"/>
    <n v="2.7"/>
    <n v="1.3"/>
    <n v="0"/>
    <n v="2.6"/>
    <n v="3"/>
    <n v="3"/>
    <s v="Yes"/>
    <n v="0"/>
    <n v="0"/>
    <m/>
    <n v="1"/>
    <s v="Stayed"/>
    <m/>
    <n v="1"/>
    <n v="0"/>
    <s v="No Recorded Promotions"/>
    <s v="5+ years"/>
    <s v="Low"/>
    <s v="2.8666666666666667"/>
    <n v="0.5"/>
    <n v="0"/>
  </r>
  <r>
    <s v="EMP0941"/>
    <x v="4"/>
    <s v="Sales Manager"/>
    <n v="1.8"/>
    <s v="G3"/>
    <n v="29"/>
    <s v="Master"/>
    <s v="Coimbatore"/>
    <n v="2"/>
    <n v="14.2"/>
    <n v="7"/>
    <n v="4"/>
    <n v="12"/>
    <n v="0"/>
    <s v="Band C"/>
    <n v="56600"/>
    <n v="10.9"/>
    <n v="3.7"/>
    <n v="2.9"/>
    <n v="0"/>
    <n v="3"/>
    <n v="4"/>
    <n v="3.6"/>
    <s v="Yes"/>
    <n v="0"/>
    <n v="1"/>
    <n v="0.1"/>
    <n v="0"/>
    <s v="Stayed"/>
    <m/>
    <n v="0"/>
    <n v="0"/>
    <s v="Promoted"/>
    <s v="1â€“3 years"/>
    <s v="Moderate"/>
    <s v="3.533333333333333"/>
    <s v="0.16666666666666666"/>
    <n v="0"/>
  </r>
  <r>
    <s v="EMP0942"/>
    <x v="2"/>
    <s v="Support Team Lead"/>
    <n v="0.6"/>
    <s v="G4"/>
    <n v="22"/>
    <s v="Bachelor"/>
    <s v="Chennai"/>
    <n v="2"/>
    <n v="11.6"/>
    <n v="7"/>
    <n v="3"/>
    <n v="12"/>
    <n v="0"/>
    <s v="Band C"/>
    <n v="64400"/>
    <n v="5.0999999999999996"/>
    <n v="2.4"/>
    <n v="1.8"/>
    <n v="0"/>
    <n v="2.4"/>
    <n v="4"/>
    <n v="4.4000000000000004"/>
    <s v="No"/>
    <n v="0"/>
    <n v="0"/>
    <m/>
    <n v="0"/>
    <s v="Stayed"/>
    <m/>
    <n v="1"/>
    <n v="0"/>
    <s v="No Recorded Promotions"/>
    <s v="0â€“1 years"/>
    <s v="Moderate"/>
    <n v="3.6"/>
    <s v="0.16666666666666666"/>
    <n v="0"/>
  </r>
  <r>
    <s v="EMP0943"/>
    <x v="3"/>
    <s v="Data Analyst"/>
    <n v="4.9000000000000004"/>
    <s v="G1"/>
    <n v="35"/>
    <s v="Master"/>
    <s v="Hyderabad"/>
    <n v="3"/>
    <n v="7"/>
    <n v="12"/>
    <n v="2"/>
    <n v="12"/>
    <n v="0"/>
    <s v="Band A"/>
    <n v="28400"/>
    <n v="10.5"/>
    <n v="1.5"/>
    <n v="3.8"/>
    <n v="0"/>
    <n v="5"/>
    <n v="2.8"/>
    <n v="4"/>
    <s v="Yes"/>
    <n v="0"/>
    <n v="0"/>
    <m/>
    <n v="0"/>
    <s v="Stayed"/>
    <m/>
    <n v="1"/>
    <n v="0"/>
    <s v="No Recorded Promotions"/>
    <s v="3â€“5 years"/>
    <s v="Low"/>
    <s v="3.9333333333333336"/>
    <n v="0.25"/>
    <n v="0"/>
  </r>
  <r>
    <s v="EMP0944"/>
    <x v="4"/>
    <s v="Sales Executive"/>
    <n v="2.1"/>
    <s v="G2"/>
    <n v="24"/>
    <s v="Bachelor"/>
    <s v="Chennai"/>
    <n v="3"/>
    <n v="2.9"/>
    <n v="11"/>
    <n v="7"/>
    <n v="12"/>
    <n v="0"/>
    <s v="Band B"/>
    <n v="35500"/>
    <n v="7.9"/>
    <n v="3.3"/>
    <n v="1.9"/>
    <n v="0"/>
    <n v="2.9"/>
    <n v="2"/>
    <n v="4.7"/>
    <s v="Yes"/>
    <n v="0"/>
    <n v="0"/>
    <m/>
    <n v="1"/>
    <s v="Stayed"/>
    <m/>
    <n v="1"/>
    <n v="0"/>
    <s v="No Recorded Promotions"/>
    <s v="1â€“3 years"/>
    <s v="Low"/>
    <s v="3.2000000000000006"/>
    <n v="0.25"/>
    <n v="0"/>
  </r>
  <r>
    <s v="EMP0945"/>
    <x v="1"/>
    <s v="HR Manager"/>
    <n v="0.9"/>
    <s v="G1"/>
    <n v="24"/>
    <s v="Bachelor"/>
    <s v="Bengaluru"/>
    <n v="4"/>
    <n v="6.5"/>
    <n v="7"/>
    <n v="3"/>
    <n v="12"/>
    <n v="0"/>
    <s v="Band A"/>
    <n v="24900"/>
    <n v="15.6"/>
    <n v="2.7"/>
    <n v="0.2"/>
    <n v="0"/>
    <n v="4.3"/>
    <n v="2.2000000000000002"/>
    <n v="3.7"/>
    <s v="Yes"/>
    <n v="0"/>
    <n v="2"/>
    <n v="0.8"/>
    <n v="1"/>
    <s v="Stayed"/>
    <m/>
    <n v="0"/>
    <n v="0"/>
    <s v="Promoted"/>
    <s v="0â€“1 years"/>
    <s v="Low"/>
    <n v="3.4"/>
    <s v="0.3333333333333333"/>
    <n v="0"/>
  </r>
  <r>
    <s v="EMP0946"/>
    <x v="4"/>
    <s v="Sales Executive"/>
    <n v="6"/>
    <s v="G1"/>
    <n v="30"/>
    <s v="Bachelor"/>
    <s v="Remote"/>
    <n v="3"/>
    <n v="6.2"/>
    <n v="14"/>
    <n v="2"/>
    <n v="12"/>
    <n v="0"/>
    <s v="Band A"/>
    <n v="26300"/>
    <n v="9.8000000000000007"/>
    <n v="1.6"/>
    <n v="2.2000000000000002"/>
    <n v="0"/>
    <n v="4.2"/>
    <n v="4.5"/>
    <n v="3.2"/>
    <s v="Yes"/>
    <n v="0"/>
    <n v="0"/>
    <m/>
    <n v="0"/>
    <s v="Stayed"/>
    <m/>
    <n v="1"/>
    <n v="0"/>
    <s v="No Recorded Promotions"/>
    <s v="5+ years"/>
    <s v="Low"/>
    <s v="3.9666666666666663"/>
    <n v="0.25"/>
    <n v="0"/>
  </r>
  <r>
    <s v="EMP0947"/>
    <x v="0"/>
    <s v="Team Lead"/>
    <n v="2.8"/>
    <s v="G5"/>
    <n v="28"/>
    <s v="Master"/>
    <s v="Remote"/>
    <n v="1"/>
    <n v="5.6"/>
    <n v="8"/>
    <n v="1"/>
    <n v="12"/>
    <n v="0"/>
    <s v="Band D"/>
    <n v="107900"/>
    <n v="6.7"/>
    <n v="3.3"/>
    <n v="1.5"/>
    <n v="0"/>
    <n v="3.6"/>
    <n v="3.3"/>
    <n v="4.0999999999999996"/>
    <s v="No"/>
    <n v="0"/>
    <n v="0"/>
    <m/>
    <n v="0"/>
    <s v="Stayed"/>
    <m/>
    <n v="1"/>
    <n v="0"/>
    <s v="No Recorded Promotions"/>
    <s v="1â€“3 years"/>
    <s v="Low"/>
    <s v="3.6666666666666665"/>
    <n v="8.3333333333333301E-2"/>
    <n v="0"/>
  </r>
  <r>
    <s v="EMP0948"/>
    <x v="2"/>
    <s v="Support Specialist"/>
    <n v="5.3"/>
    <s v="G2"/>
    <n v="33"/>
    <s v="Master"/>
    <s v="Bengaluru"/>
    <n v="4"/>
    <n v="1.8"/>
    <n v="9"/>
    <n v="0"/>
    <n v="12"/>
    <n v="0"/>
    <s v="Band B"/>
    <n v="38700"/>
    <n v="8.6"/>
    <n v="2.9"/>
    <n v="0.7"/>
    <n v="0"/>
    <n v="3.2"/>
    <n v="1.6"/>
    <n v="2.2999999999999998"/>
    <s v="Yes"/>
    <n v="0"/>
    <n v="0"/>
    <m/>
    <n v="0"/>
    <s v="Stayed"/>
    <m/>
    <n v="1"/>
    <n v="0"/>
    <s v="No Recorded Promotions"/>
    <s v="5+ years"/>
    <s v="Low"/>
    <s v="2.3666666666666667"/>
    <s v="0.3333333333333333"/>
    <n v="0"/>
  </r>
  <r>
    <s v="EMP0949"/>
    <x v="2"/>
    <s v="Support Specialist"/>
    <n v="0.9"/>
    <s v="G2"/>
    <n v="29"/>
    <s v="Bachelor"/>
    <s v="Remote"/>
    <n v="2"/>
    <n v="26.3"/>
    <n v="16"/>
    <n v="3"/>
    <n v="12"/>
    <n v="0"/>
    <s v="Band B"/>
    <n v="40900"/>
    <n v="7.6"/>
    <n v="4.7"/>
    <n v="1.5"/>
    <n v="0"/>
    <n v="3.5"/>
    <n v="4"/>
    <n v="2"/>
    <s v="Yes"/>
    <n v="0"/>
    <n v="2"/>
    <n v="0.6"/>
    <n v="0"/>
    <s v="Stayed"/>
    <m/>
    <n v="0"/>
    <n v="0"/>
    <s v="Promoted"/>
    <s v="0â€“1 years"/>
    <s v="High"/>
    <s v="3.1666666666666665"/>
    <s v="0.16666666666666666"/>
    <n v="0"/>
  </r>
  <r>
    <s v="EMP0950"/>
    <x v="4"/>
    <s v="Account Manager"/>
    <n v="0.4"/>
    <s v="G2"/>
    <n v="26"/>
    <s v="Bachelor"/>
    <s v="Chennai"/>
    <n v="3"/>
    <n v="25.4"/>
    <n v="11"/>
    <n v="1"/>
    <n v="12"/>
    <n v="0"/>
    <s v="Band B"/>
    <n v="41500"/>
    <n v="3.4"/>
    <n v="3.3"/>
    <n v="1.9"/>
    <n v="0"/>
    <n v="3.8"/>
    <n v="1.6"/>
    <n v="3.4"/>
    <s v="Yes"/>
    <n v="1"/>
    <n v="2"/>
    <n v="0"/>
    <n v="0"/>
    <s v="Stayed"/>
    <m/>
    <n v="0"/>
    <n v="0"/>
    <s v="Promoted"/>
    <s v="0â€“1 years"/>
    <s v="High"/>
    <s v="2.9333333333333336"/>
    <n v="0.25"/>
    <n v="0"/>
  </r>
  <r>
    <s v="EMP0951"/>
    <x v="5"/>
    <s v="Accountant"/>
    <n v="4.0999999999999996"/>
    <s v="G5"/>
    <n v="25"/>
    <s v="Bachelor"/>
    <s v="Chennai"/>
    <n v="2"/>
    <n v="8.6999999999999993"/>
    <n v="5"/>
    <n v="4"/>
    <n v="12"/>
    <n v="0"/>
    <s v="Band D"/>
    <n v="101700"/>
    <n v="15.7"/>
    <n v="3.7"/>
    <n v="1.6"/>
    <n v="0"/>
    <n v="3.4"/>
    <n v="2.5"/>
    <n v="3.6"/>
    <s v="No"/>
    <n v="0"/>
    <n v="2"/>
    <n v="3.3"/>
    <n v="0"/>
    <s v="Stayed"/>
    <m/>
    <n v="0"/>
    <n v="0"/>
    <s v="Promoted"/>
    <s v="3â€“5 years"/>
    <s v="Low"/>
    <s v="3.1666666666666665"/>
    <s v="0.16666666666666666"/>
    <n v="0"/>
  </r>
  <r>
    <s v="EMP0952"/>
    <x v="4"/>
    <s v="Account Manager"/>
    <n v="1.5"/>
    <s v="G2"/>
    <n v="30"/>
    <s v="Bachelor"/>
    <s v="Chennai"/>
    <n v="5"/>
    <n v="11.9"/>
    <n v="14"/>
    <n v="2"/>
    <n v="12"/>
    <n v="0"/>
    <s v="Band B"/>
    <n v="41700"/>
    <n v="14.4"/>
    <n v="3.2"/>
    <n v="0.2"/>
    <n v="0"/>
    <n v="1.9"/>
    <n v="3.3"/>
    <n v="4.2"/>
    <s v="Yes"/>
    <n v="0"/>
    <n v="1"/>
    <n v="1"/>
    <n v="0"/>
    <s v="Stayed"/>
    <m/>
    <n v="0"/>
    <n v="0"/>
    <s v="Promoted"/>
    <s v="1â€“3 years"/>
    <s v="Moderate"/>
    <s v="3.133333333333333"/>
    <s v="0.4166666666666667"/>
    <n v="0"/>
  </r>
  <r>
    <s v="EMP0953"/>
    <x v="4"/>
    <s v="Sales Manager"/>
    <n v="4.0999999999999996"/>
    <s v="G3"/>
    <n v="30"/>
    <s v="Bachelor"/>
    <s v="Remote"/>
    <n v="1"/>
    <n v="14"/>
    <n v="3"/>
    <n v="2"/>
    <n v="12"/>
    <n v="0"/>
    <s v="Band C"/>
    <n v="53700"/>
    <n v="7.3"/>
    <n v="2.7"/>
    <n v="4.0999999999999996"/>
    <n v="0"/>
    <n v="3.3"/>
    <n v="5"/>
    <n v="2.7"/>
    <s v="No"/>
    <n v="1"/>
    <n v="0"/>
    <m/>
    <n v="0"/>
    <s v="Stayed"/>
    <m/>
    <n v="1"/>
    <n v="0"/>
    <s v="No Recorded Promotions"/>
    <s v="3â€“5 years"/>
    <s v="Moderate"/>
    <s v="3.6666666666666665"/>
    <n v="8.3333333333333301E-2"/>
    <n v="0"/>
  </r>
  <r>
    <s v="EMP0954"/>
    <x v="3"/>
    <s v="Senior Software Engineer"/>
    <n v="4.0999999999999996"/>
    <s v="G2"/>
    <n v="35"/>
    <s v="Bachelor"/>
    <s v="Remote"/>
    <n v="3"/>
    <n v="8.9"/>
    <n v="10"/>
    <n v="1"/>
    <n v="12"/>
    <n v="0"/>
    <s v="Band B"/>
    <n v="45600"/>
    <n v="10.8"/>
    <n v="2.8"/>
    <n v="2.5"/>
    <n v="0"/>
    <n v="4.7"/>
    <n v="3.9"/>
    <n v="4.4000000000000004"/>
    <s v="Yes"/>
    <n v="0"/>
    <n v="1"/>
    <n v="2.6"/>
    <n v="0"/>
    <s v="Stayed"/>
    <m/>
    <n v="0"/>
    <n v="0"/>
    <s v="Promoted"/>
    <s v="3â€“5 years"/>
    <s v="Low"/>
    <s v="4.333333333333333"/>
    <n v="0.25"/>
    <n v="0"/>
  </r>
  <r>
    <s v="EMP0955"/>
    <x v="2"/>
    <s v="Support Associate"/>
    <n v="3.8"/>
    <s v="G1"/>
    <n v="27"/>
    <s v="Master"/>
    <s v="Chennai"/>
    <n v="5"/>
    <n v="12.5"/>
    <n v="9"/>
    <n v="1"/>
    <n v="12"/>
    <n v="0"/>
    <s v="Band A"/>
    <n v="31600"/>
    <n v="16.2"/>
    <n v="4.2"/>
    <n v="1.3"/>
    <n v="0"/>
    <n v="1"/>
    <n v="2.8"/>
    <n v="3.9"/>
    <s v="No"/>
    <n v="0"/>
    <n v="0"/>
    <m/>
    <n v="0"/>
    <s v="Stayed"/>
    <m/>
    <n v="1"/>
    <n v="0"/>
    <s v="No Recorded Promotions"/>
    <s v="3â€“5 years"/>
    <s v="Moderate"/>
    <s v="2.5666666666666664"/>
    <s v="0.4166666666666667"/>
    <n v="0"/>
  </r>
  <r>
    <s v="EMP0956"/>
    <x v="2"/>
    <s v="Support Team Lead"/>
    <n v="7.5"/>
    <s v="G3"/>
    <n v="27"/>
    <s v="Doctorate"/>
    <s v="Chennai"/>
    <n v="3"/>
    <n v="15.6"/>
    <n v="10"/>
    <n v="5"/>
    <n v="12"/>
    <n v="0"/>
    <s v="Band C"/>
    <n v="62800"/>
    <n v="12.9"/>
    <n v="3.9"/>
    <n v="1"/>
    <n v="0"/>
    <n v="3.5"/>
    <n v="3.2"/>
    <n v="3.4"/>
    <s v="Yes"/>
    <n v="0"/>
    <n v="0"/>
    <m/>
    <n v="1"/>
    <s v="Stayed"/>
    <m/>
    <n v="1"/>
    <n v="0"/>
    <s v="No Recorded Promotions"/>
    <s v="5+ years"/>
    <s v="Moderate"/>
    <s v="3.3666666666666667"/>
    <n v="0.25"/>
    <n v="0"/>
  </r>
  <r>
    <s v="EMP0957"/>
    <x v="0"/>
    <s v="Operations Associate"/>
    <n v="17.899999999999999"/>
    <s v="G1"/>
    <n v="44"/>
    <s v="Master"/>
    <s v="Coimbatore"/>
    <n v="3"/>
    <n v="11.2"/>
    <n v="6"/>
    <n v="1"/>
    <n v="12"/>
    <n v="0"/>
    <s v="Band A"/>
    <n v="30800"/>
    <n v="6.8"/>
    <n v="1.9"/>
    <n v="3.9"/>
    <n v="0"/>
    <n v="3.1"/>
    <n v="4"/>
    <n v="3.6"/>
    <s v="Yes"/>
    <n v="0"/>
    <n v="2"/>
    <n v="15"/>
    <n v="0"/>
    <s v="Stayed"/>
    <m/>
    <n v="0"/>
    <n v="0"/>
    <s v="Promoted"/>
    <s v="5+ years"/>
    <s v="Moderate"/>
    <s v="3.5666666666666664"/>
    <n v="0.25"/>
    <n v="0"/>
  </r>
  <r>
    <s v="EMP0958"/>
    <x v="5"/>
    <s v="Financial Analyst"/>
    <n v="4.9000000000000004"/>
    <s v="G3"/>
    <n v="36"/>
    <s v="Master"/>
    <s v="Chennai"/>
    <n v="2"/>
    <n v="17.600000000000001"/>
    <n v="10"/>
    <n v="2"/>
    <n v="12"/>
    <n v="0"/>
    <s v="Band C"/>
    <n v="56000"/>
    <n v="7.6"/>
    <n v="2.1"/>
    <n v="1.6"/>
    <n v="0"/>
    <n v="3.4"/>
    <n v="4.5"/>
    <n v="3.7"/>
    <s v="Yes"/>
    <n v="0"/>
    <n v="1"/>
    <n v="1.2"/>
    <n v="1"/>
    <s v="Stayed"/>
    <m/>
    <n v="0"/>
    <n v="0"/>
    <s v="Promoted"/>
    <s v="3â€“5 years"/>
    <s v="Moderate"/>
    <s v="3.866666666666667"/>
    <s v="0.16666666666666666"/>
    <n v="0"/>
  </r>
  <r>
    <s v="EMP0959"/>
    <x v="1"/>
    <s v="Recruiter"/>
    <n v="11.6"/>
    <s v="G2"/>
    <n v="38"/>
    <s v="Bachelor"/>
    <s v="Hyderabad"/>
    <n v="3"/>
    <n v="5.4"/>
    <n v="6"/>
    <n v="4"/>
    <n v="12"/>
    <n v="0"/>
    <s v="Band A"/>
    <n v="33900"/>
    <n v="1.1000000000000001"/>
    <n v="2.1"/>
    <n v="0.3"/>
    <n v="0"/>
    <n v="2.2999999999999998"/>
    <n v="3"/>
    <n v="2.7"/>
    <s v="Yes"/>
    <n v="0"/>
    <n v="1"/>
    <n v="9.4"/>
    <n v="1"/>
    <s v="Stayed"/>
    <m/>
    <n v="0"/>
    <n v="0"/>
    <s v="Promoted"/>
    <s v="5+ years"/>
    <s v="Low"/>
    <s v="2.6666666666666665"/>
    <n v="0.25"/>
    <n v="0"/>
  </r>
  <r>
    <s v="EMP0960"/>
    <x v="5"/>
    <s v="Financial Analyst"/>
    <n v="2.9"/>
    <s v="G3"/>
    <n v="28"/>
    <s v="Master"/>
    <s v="Chennai"/>
    <n v="4"/>
    <n v="9.6999999999999993"/>
    <n v="6"/>
    <n v="1"/>
    <n v="12"/>
    <n v="0"/>
    <s v="Band C"/>
    <n v="61600"/>
    <n v="11.1"/>
    <n v="4.2"/>
    <n v="3.9"/>
    <n v="0"/>
    <n v="3.6"/>
    <n v="3"/>
    <n v="3.1"/>
    <s v="Yes"/>
    <n v="0"/>
    <n v="0"/>
    <m/>
    <n v="0"/>
    <s v="Stayed"/>
    <m/>
    <n v="1"/>
    <n v="0"/>
    <s v="No Recorded Promotions"/>
    <s v="1â€“3 years"/>
    <s v="Low"/>
    <s v="3.233333333333333"/>
    <s v="0.3333333333333333"/>
    <n v="0"/>
  </r>
  <r>
    <s v="EMP0961"/>
    <x v="5"/>
    <s v="Finance Manager"/>
    <n v="1.2"/>
    <s v="G3"/>
    <n v="24"/>
    <s v="Bachelor"/>
    <s v="Hyderabad"/>
    <n v="3"/>
    <n v="45"/>
    <n v="13"/>
    <n v="2"/>
    <n v="12"/>
    <n v="0"/>
    <s v="Band B"/>
    <n v="48100"/>
    <n v="13"/>
    <n v="1.6"/>
    <n v="0.8"/>
    <n v="0"/>
    <n v="3.5"/>
    <n v="2.5"/>
    <n v="3.7"/>
    <s v="Yes"/>
    <n v="0"/>
    <n v="1"/>
    <n v="0.5"/>
    <n v="1"/>
    <s v="Stayed"/>
    <m/>
    <n v="0"/>
    <n v="0"/>
    <s v="Promoted"/>
    <s v="1â€“3 years"/>
    <s v="High"/>
    <s v="3.233333333333333"/>
    <n v="0.25"/>
    <n v="0"/>
  </r>
  <r>
    <s v="EMP0962"/>
    <x v="1"/>
    <s v="Recruiter"/>
    <n v="2.2000000000000002"/>
    <s v="G3"/>
    <n v="35"/>
    <s v="Bachelor"/>
    <s v="Coimbatore"/>
    <n v="5"/>
    <n v="20.7"/>
    <n v="7"/>
    <n v="2"/>
    <n v="12"/>
    <n v="0"/>
    <s v="Band B"/>
    <n v="49100"/>
    <n v="13"/>
    <n v="3.9"/>
    <n v="0.3"/>
    <n v="0"/>
    <n v="5"/>
    <n v="3.8"/>
    <n v="3.1"/>
    <s v="Yes"/>
    <n v="0"/>
    <n v="1"/>
    <n v="1.1000000000000001"/>
    <n v="2"/>
    <s v="Stayed"/>
    <m/>
    <n v="0"/>
    <n v="0"/>
    <s v="Promoted"/>
    <s v="1â€“3 years"/>
    <s v="High"/>
    <s v="3.966666666666667"/>
    <s v="0.4166666666666667"/>
    <n v="0"/>
  </r>
  <r>
    <s v="EMP0963"/>
    <x v="3"/>
    <s v="Data Analyst"/>
    <n v="3"/>
    <s v="G1"/>
    <n v="25"/>
    <s v="Bachelor"/>
    <s v="Coimbatore"/>
    <n v="1"/>
    <n v="11.4"/>
    <n v="7"/>
    <n v="1"/>
    <n v="12"/>
    <n v="0"/>
    <s v="Band A"/>
    <n v="23800"/>
    <n v="10.8"/>
    <n v="3.6"/>
    <n v="1.6"/>
    <n v="0"/>
    <n v="3.4"/>
    <n v="4.0999999999999996"/>
    <n v="3.4"/>
    <s v="Yes"/>
    <n v="1"/>
    <n v="1"/>
    <n v="2.4"/>
    <n v="0"/>
    <s v="Stayed"/>
    <m/>
    <n v="0"/>
    <n v="0"/>
    <s v="Promoted"/>
    <s v="1â€“3 years"/>
    <s v="Moderate"/>
    <s v="3.6333333333333333"/>
    <n v="8.3333333333333301E-2"/>
    <n v="0"/>
  </r>
  <r>
    <s v="EMP0964"/>
    <x v="3"/>
    <s v="Software Engineer"/>
    <n v="12.2"/>
    <s v="G3"/>
    <n v="35"/>
    <s v="Diploma"/>
    <s v="Chennai"/>
    <n v="2"/>
    <n v="4.0999999999999996"/>
    <n v="9"/>
    <n v="2"/>
    <n v="12"/>
    <n v="0"/>
    <s v="Band C"/>
    <n v="59700"/>
    <n v="9.4"/>
    <n v="3.3"/>
    <n v="0.6"/>
    <n v="0"/>
    <n v="4.5"/>
    <n v="1.5"/>
    <n v="3.6"/>
    <s v="Yes"/>
    <n v="0"/>
    <n v="1"/>
    <n v="11"/>
    <n v="0"/>
    <s v="Stayed"/>
    <m/>
    <n v="0"/>
    <n v="0"/>
    <s v="Promoted"/>
    <s v="5+ years"/>
    <s v="Low"/>
    <s v="3.1999999999999997"/>
    <s v="0.16666666666666666"/>
    <n v="0"/>
  </r>
  <r>
    <s v="EMP0965"/>
    <x v="2"/>
    <s v="Support Team Lead"/>
    <n v="3.9"/>
    <s v="G5"/>
    <n v="32"/>
    <s v="Doctorate"/>
    <s v="Remote"/>
    <n v="2"/>
    <n v="10.1"/>
    <n v="8"/>
    <n v="3"/>
    <n v="12"/>
    <n v="0"/>
    <s v="Band D"/>
    <n v="94600"/>
    <n v="4"/>
    <n v="2.8"/>
    <n v="1.1000000000000001"/>
    <n v="0"/>
    <n v="2"/>
    <n v="2.8"/>
    <n v="4.0999999999999996"/>
    <s v="Yes"/>
    <n v="0"/>
    <n v="0"/>
    <m/>
    <n v="0"/>
    <s v="Stayed"/>
    <m/>
    <n v="1"/>
    <n v="0"/>
    <s v="No Recorded Promotions"/>
    <s v="3â€“5 years"/>
    <s v="Moderate"/>
    <s v="2.9666666666666663"/>
    <s v="0.16666666666666666"/>
    <n v="0"/>
  </r>
  <r>
    <s v="EMP0966"/>
    <x v="1"/>
    <s v="Recruiter"/>
    <n v="7.6"/>
    <s v="G2"/>
    <n v="26"/>
    <s v="Master"/>
    <s v="Bengaluru"/>
    <n v="3"/>
    <n v="19.7"/>
    <n v="13"/>
    <n v="1"/>
    <n v="12"/>
    <n v="0"/>
    <s v="Band C"/>
    <n v="50200"/>
    <n v="9.3000000000000007"/>
    <n v="4.3"/>
    <n v="1.8"/>
    <n v="0"/>
    <n v="4.2"/>
    <n v="2.1"/>
    <n v="4.3"/>
    <s v="Yes"/>
    <n v="0"/>
    <n v="2"/>
    <m/>
    <n v="0"/>
    <s v="Stayed"/>
    <m/>
    <n v="1"/>
    <n v="0"/>
    <s v="Promoted"/>
    <s v="5+ years"/>
    <s v="Moderate"/>
    <s v="3.5333333333333337"/>
    <n v="0.25"/>
    <n v="0"/>
  </r>
  <r>
    <s v="EMP0967"/>
    <x v="2"/>
    <s v="Support Associate"/>
    <n v="2.7"/>
    <s v="G2"/>
    <n v="34"/>
    <s v="Bachelor"/>
    <s v="Coimbatore"/>
    <n v="4"/>
    <n v="16.899999999999999"/>
    <n v="4"/>
    <n v="3"/>
    <n v="12"/>
    <n v="0"/>
    <s v="Band B"/>
    <n v="42400"/>
    <n v="5.5"/>
    <n v="3.3"/>
    <n v="0"/>
    <n v="0"/>
    <n v="3.5"/>
    <n v="3.3"/>
    <n v="3.8"/>
    <s v="Yes"/>
    <n v="0"/>
    <n v="1"/>
    <n v="2.4"/>
    <n v="0"/>
    <s v="Stayed"/>
    <m/>
    <n v="0"/>
    <n v="0"/>
    <s v="Promoted"/>
    <s v="1â€“3 years"/>
    <s v="Moderate"/>
    <s v="3.533333333333333"/>
    <s v="0.3333333333333333"/>
    <n v="0"/>
  </r>
  <r>
    <s v="EMP0968"/>
    <x v="3"/>
    <s v="Software Engineer"/>
    <n v="2.4"/>
    <s v="G4"/>
    <n v="31"/>
    <s v="Bachelor"/>
    <s v="Coimbatore"/>
    <n v="2"/>
    <n v="1.3"/>
    <n v="6"/>
    <n v="4"/>
    <n v="12"/>
    <n v="0"/>
    <s v="Band C"/>
    <n v="66100"/>
    <n v="10.1"/>
    <n v="1.9"/>
    <n v="1.4"/>
    <n v="0"/>
    <n v="3.5"/>
    <n v="2.1"/>
    <n v="4.0999999999999996"/>
    <s v="Yes"/>
    <n v="0"/>
    <n v="1"/>
    <n v="2.2999999999999998"/>
    <n v="0"/>
    <s v="Stayed"/>
    <m/>
    <n v="0"/>
    <n v="0"/>
    <s v="Promoted"/>
    <s v="1â€“3 years"/>
    <s v="Low"/>
    <s v="3.233333333333333"/>
    <s v="0.16666666666666666"/>
    <n v="0"/>
  </r>
  <r>
    <s v="EMP0969"/>
    <x v="5"/>
    <s v="Finance Manager"/>
    <n v="0.9"/>
    <s v="G1"/>
    <n v="30"/>
    <s v="Master"/>
    <s v="Remote"/>
    <n v="3"/>
    <n v="1.9"/>
    <n v="7"/>
    <n v="1"/>
    <n v="12"/>
    <n v="0"/>
    <s v="Band A"/>
    <n v="22400"/>
    <n v="4.9000000000000004"/>
    <n v="2.1"/>
    <n v="3.3"/>
    <n v="0"/>
    <n v="3.6"/>
    <n v="2"/>
    <n v="4.2"/>
    <s v="Yes"/>
    <n v="0"/>
    <n v="1"/>
    <n v="0.2"/>
    <n v="1"/>
    <s v="Stayed"/>
    <m/>
    <n v="0"/>
    <n v="0"/>
    <s v="Promoted"/>
    <s v="0â€“1 years"/>
    <s v="Low"/>
    <s v="3.266666666666667"/>
    <n v="0.25"/>
    <n v="0"/>
  </r>
  <r>
    <s v="EMP0970"/>
    <x v="3"/>
    <s v="QA Engineer"/>
    <n v="11.9"/>
    <s v="G3"/>
    <n v="40"/>
    <s v="Bachelor"/>
    <s v="Hyderabad"/>
    <n v="2"/>
    <n v="14.2"/>
    <n v="9"/>
    <n v="3"/>
    <n v="12"/>
    <n v="0"/>
    <s v="Band B"/>
    <n v="43400"/>
    <n v="10.1"/>
    <n v="1.7"/>
    <n v="0.3"/>
    <n v="0"/>
    <n v="4.8"/>
    <n v="4.2"/>
    <n v="3.5"/>
    <s v="Yes"/>
    <n v="0"/>
    <n v="4"/>
    <n v="2.1"/>
    <n v="0"/>
    <s v="Stayed"/>
    <m/>
    <n v="0"/>
    <n v="0"/>
    <s v="Promoted"/>
    <s v="5+ years"/>
    <s v="Moderate"/>
    <s v="4.166666666666667"/>
    <s v="0.16666666666666666"/>
    <n v="0"/>
  </r>
  <r>
    <s v="EMP0971"/>
    <x v="4"/>
    <s v="Account Manager"/>
    <n v="9.3000000000000007"/>
    <s v="G3"/>
    <n v="35"/>
    <s v="Master"/>
    <s v="Hyderabad"/>
    <n v="1"/>
    <n v="2"/>
    <n v="8"/>
    <n v="0"/>
    <n v="12"/>
    <n v="0"/>
    <s v="Band C"/>
    <n v="50600"/>
    <n v="13.3"/>
    <n v="4.3"/>
    <n v="2.6"/>
    <n v="0"/>
    <n v="3.5"/>
    <n v="3.1"/>
    <n v="1.7"/>
    <s v="Yes"/>
    <n v="0"/>
    <n v="1"/>
    <n v="4.5999999999999996"/>
    <n v="0"/>
    <s v="Stayed"/>
    <m/>
    <n v="0"/>
    <n v="0"/>
    <s v="Promoted"/>
    <s v="5+ years"/>
    <s v="Low"/>
    <s v="2.766666666666666"/>
    <n v="8.3333333333333301E-2"/>
    <n v="0"/>
  </r>
  <r>
    <s v="EMP0972"/>
    <x v="3"/>
    <s v="Software Engineer"/>
    <n v="4.4000000000000004"/>
    <s v="G1"/>
    <n v="26"/>
    <s v="Doctorate"/>
    <s v="Bengaluru"/>
    <n v="5"/>
    <n v="3.9"/>
    <n v="14"/>
    <n v="2"/>
    <n v="12"/>
    <n v="0"/>
    <s v="Band A"/>
    <n v="24400"/>
    <n v="9.5"/>
    <n v="4.5"/>
    <n v="1.4"/>
    <n v="0"/>
    <n v="2.6"/>
    <n v="3.1"/>
    <n v="4.3"/>
    <s v="No"/>
    <n v="0"/>
    <n v="1"/>
    <n v="4"/>
    <n v="0"/>
    <s v="Stayed"/>
    <m/>
    <n v="0"/>
    <n v="0"/>
    <s v="Promoted"/>
    <s v="3â€“5 years"/>
    <s v="Low"/>
    <s v="3.3333333333333335"/>
    <s v="0.4166666666666667"/>
    <n v="0"/>
  </r>
  <r>
    <s v="EMP0973"/>
    <x v="3"/>
    <s v="QA Engineer"/>
    <n v="3.1"/>
    <s v="G3"/>
    <n v="29"/>
    <s v="Bachelor"/>
    <s v="Hyderabad"/>
    <n v="1"/>
    <n v="8.6"/>
    <n v="7"/>
    <n v="3"/>
    <n v="12"/>
    <n v="0"/>
    <s v="Band C"/>
    <n v="55100"/>
    <n v="9.3000000000000007"/>
    <n v="4.2"/>
    <n v="2"/>
    <n v="0"/>
    <n v="2.7"/>
    <n v="3.6"/>
    <n v="2.7"/>
    <s v="Yes"/>
    <n v="0"/>
    <n v="0"/>
    <m/>
    <n v="0"/>
    <s v="Left"/>
    <d v="2024-02-06T00:00:00"/>
    <n v="1"/>
    <n v="0"/>
    <s v="No Recorded Promotions"/>
    <s v="3â€“5 years"/>
    <s v="Low"/>
    <n v="3"/>
    <n v="8.3333333333333301E-2"/>
    <n v="1"/>
  </r>
  <r>
    <s v="EMP0974"/>
    <x v="2"/>
    <s v="Support Team Lead"/>
    <n v="4"/>
    <s v="G3"/>
    <n v="26"/>
    <s v="Bachelor"/>
    <s v="Chennai"/>
    <n v="2"/>
    <n v="22.1"/>
    <n v="10"/>
    <n v="1"/>
    <n v="12"/>
    <n v="0"/>
    <s v="Band C"/>
    <n v="52600"/>
    <n v="11.7"/>
    <n v="3.1"/>
    <n v="0.8"/>
    <n v="0"/>
    <n v="4"/>
    <n v="4.0999999999999996"/>
    <n v="2.5"/>
    <s v="Yes"/>
    <n v="0"/>
    <n v="1"/>
    <n v="2"/>
    <n v="0"/>
    <s v="Stayed"/>
    <m/>
    <n v="0"/>
    <n v="0"/>
    <s v="Promoted"/>
    <s v="3â€“5 years"/>
    <s v="High"/>
    <s v="3.533333333333333"/>
    <s v="0.16666666666666666"/>
    <n v="0"/>
  </r>
  <r>
    <s v="EMP0975"/>
    <x v="4"/>
    <s v="Sales Executive"/>
    <n v="1.2"/>
    <s v="G2"/>
    <n v="29"/>
    <s v="Bachelor"/>
    <s v="Bengaluru"/>
    <n v="3"/>
    <n v="14.7"/>
    <n v="6"/>
    <n v="1"/>
    <n v="12"/>
    <n v="0"/>
    <s v="Band B"/>
    <n v="38100"/>
    <n v="15.1"/>
    <n v="1.9"/>
    <n v="1.6"/>
    <n v="0"/>
    <n v="3.7"/>
    <n v="2.8"/>
    <n v="2.5"/>
    <s v="Yes"/>
    <n v="0"/>
    <n v="1"/>
    <n v="1.2"/>
    <n v="0"/>
    <s v="Stayed"/>
    <m/>
    <n v="0"/>
    <n v="0"/>
    <s v="Promoted"/>
    <s v="1â€“3 years"/>
    <s v="Moderate"/>
    <n v="3"/>
    <n v="0.25"/>
    <n v="0"/>
  </r>
  <r>
    <s v="EMP0976"/>
    <x v="0"/>
    <s v="Team Lead"/>
    <n v="5.2"/>
    <s v="G4"/>
    <n v="34"/>
    <s v="Diploma"/>
    <s v="Coimbatore"/>
    <n v="3"/>
    <n v="7.7"/>
    <n v="5"/>
    <n v="5"/>
    <n v="12"/>
    <n v="0"/>
    <s v="Band C"/>
    <n v="65000"/>
    <n v="7.6"/>
    <n v="2.2999999999999998"/>
    <n v="3.9"/>
    <n v="0"/>
    <n v="1.9"/>
    <n v="2.8"/>
    <n v="5"/>
    <s v="Yes"/>
    <n v="0"/>
    <n v="1"/>
    <n v="2.4"/>
    <n v="0"/>
    <s v="Stayed"/>
    <m/>
    <n v="0"/>
    <n v="0"/>
    <s v="Promoted"/>
    <s v="5+ years"/>
    <s v="Low"/>
    <s v="3.233333333333333"/>
    <n v="0.25"/>
    <n v="0"/>
  </r>
  <r>
    <s v="EMP0977"/>
    <x v="1"/>
    <s v="Recruiter"/>
    <n v="8.8000000000000007"/>
    <s v="G1"/>
    <n v="41"/>
    <s v="Bachelor"/>
    <s v="Bengaluru"/>
    <n v="7"/>
    <n v="18"/>
    <n v="11"/>
    <n v="2"/>
    <n v="12"/>
    <n v="0"/>
    <s v="Band A"/>
    <n v="31400"/>
    <n v="10.1"/>
    <n v="2.2999999999999998"/>
    <n v="2.1"/>
    <n v="0"/>
    <n v="3.8"/>
    <n v="3.3"/>
    <n v="3.8"/>
    <s v="Yes"/>
    <n v="1"/>
    <n v="0"/>
    <m/>
    <n v="0"/>
    <s v="Stayed"/>
    <m/>
    <n v="1"/>
    <n v="0"/>
    <s v="No Recorded Promotions"/>
    <s v="5+ years"/>
    <s v="Moderate"/>
    <s v="3.633333333333333"/>
    <s v="0.5833333333333334"/>
    <n v="0"/>
  </r>
  <r>
    <s v="EMP0978"/>
    <x v="4"/>
    <s v="Sales Manager"/>
    <n v="9.1"/>
    <s v="G2"/>
    <n v="37"/>
    <s v="Diploma"/>
    <s v="Remote"/>
    <n v="3"/>
    <n v="38.6"/>
    <n v="1"/>
    <n v="2"/>
    <n v="12"/>
    <n v="0"/>
    <s v="Band A"/>
    <n v="34900"/>
    <n v="14"/>
    <n v="3.2"/>
    <n v="0.3"/>
    <n v="0"/>
    <n v="2.2999999999999998"/>
    <n v="4.2"/>
    <n v="2.6"/>
    <s v="Yes"/>
    <n v="0"/>
    <n v="1"/>
    <n v="9.1"/>
    <n v="1"/>
    <s v="Stayed"/>
    <m/>
    <n v="0"/>
    <n v="0"/>
    <s v="Promoted"/>
    <s v="5+ years"/>
    <s v="High"/>
    <s v="3.033333333333333"/>
    <n v="0.25"/>
    <n v="0"/>
  </r>
  <r>
    <s v="EMP0979"/>
    <x v="5"/>
    <s v="Accountant"/>
    <n v="0.9"/>
    <s v="G4"/>
    <n v="31"/>
    <s v="Diploma"/>
    <s v="Remote"/>
    <n v="6"/>
    <n v="10.199999999999999"/>
    <n v="8"/>
    <n v="2"/>
    <n v="12"/>
    <n v="0"/>
    <s v="Band C"/>
    <n v="69300"/>
    <n v="10.7"/>
    <n v="4.4000000000000004"/>
    <n v="3"/>
    <n v="0"/>
    <n v="3.7"/>
    <n v="3.1"/>
    <n v="2.9"/>
    <s v="Yes"/>
    <n v="0"/>
    <n v="0"/>
    <m/>
    <n v="0"/>
    <s v="Stayed"/>
    <m/>
    <n v="1"/>
    <n v="0"/>
    <s v="No Recorded Promotions"/>
    <s v="0â€“1 years"/>
    <s v="Moderate"/>
    <s v="3.233333333333334"/>
    <n v="0.5"/>
    <n v="0"/>
  </r>
  <r>
    <s v="EMP0980"/>
    <x v="3"/>
    <s v="Senior Software Engineer"/>
    <n v="7.6"/>
    <s v="G1"/>
    <n v="32"/>
    <s v="Bachelor"/>
    <s v="Coimbatore"/>
    <n v="3"/>
    <n v="2.7"/>
    <n v="11"/>
    <n v="2"/>
    <n v="12"/>
    <n v="0"/>
    <s v="Band A"/>
    <n v="33400"/>
    <n v="0"/>
    <n v="4.4000000000000004"/>
    <n v="1.2"/>
    <n v="0"/>
    <n v="2.6"/>
    <n v="2.9"/>
    <n v="3.4"/>
    <s v="Yes"/>
    <n v="0"/>
    <n v="2"/>
    <n v="2.1"/>
    <n v="0"/>
    <s v="Stayed"/>
    <m/>
    <n v="0"/>
    <n v="0"/>
    <s v="Promoted"/>
    <s v="5+ years"/>
    <s v="Low"/>
    <s v="2.966666666666667"/>
    <n v="0.25"/>
    <n v="0"/>
  </r>
  <r>
    <s v="EMP0981"/>
    <x v="2"/>
    <s v="Support Team Lead"/>
    <n v="1.2"/>
    <s v="G4"/>
    <n v="25"/>
    <s v="Bachelor"/>
    <s v="Bengaluru"/>
    <n v="3"/>
    <n v="4"/>
    <n v="14"/>
    <n v="3"/>
    <n v="12"/>
    <n v="0"/>
    <s v="Band C"/>
    <n v="66900"/>
    <n v="5.0999999999999996"/>
    <n v="2.8"/>
    <n v="0.1"/>
    <n v="0"/>
    <n v="3"/>
    <n v="3.6"/>
    <n v="3.8"/>
    <s v="Yes"/>
    <n v="0"/>
    <n v="0"/>
    <m/>
    <n v="0"/>
    <s v="Stayed"/>
    <m/>
    <n v="1"/>
    <n v="0"/>
    <s v="No Recorded Promotions"/>
    <s v="1â€“3 years"/>
    <s v="Low"/>
    <s v="3.4666666666666663"/>
    <n v="0.25"/>
    <n v="0"/>
  </r>
  <r>
    <s v="EMP0982"/>
    <x v="0"/>
    <s v="Operations Associate"/>
    <n v="0.4"/>
    <s v="G1"/>
    <n v="28"/>
    <s v="Master"/>
    <s v="Hyderabad"/>
    <n v="2"/>
    <n v="4"/>
    <n v="9"/>
    <n v="1"/>
    <n v="12"/>
    <n v="0"/>
    <s v="Band A"/>
    <n v="29500"/>
    <n v="11"/>
    <n v="1.2"/>
    <n v="0.5"/>
    <n v="0"/>
    <n v="2.8"/>
    <n v="4.8"/>
    <n v="3.6"/>
    <s v="No"/>
    <n v="0"/>
    <n v="0"/>
    <m/>
    <n v="0"/>
    <s v="Stayed"/>
    <m/>
    <n v="1"/>
    <n v="0"/>
    <s v="No Recorded Promotions"/>
    <s v="0â€“1 years"/>
    <s v="Low"/>
    <s v="3.733333333333333"/>
    <s v="0.16666666666666666"/>
    <n v="0"/>
  </r>
  <r>
    <s v="EMP0983"/>
    <x v="0"/>
    <s v="Operations Manager"/>
    <n v="7.8"/>
    <s v="G2"/>
    <n v="32"/>
    <s v="Diploma"/>
    <s v="Remote"/>
    <n v="2"/>
    <n v="5"/>
    <n v="3"/>
    <n v="5"/>
    <n v="12"/>
    <n v="0"/>
    <s v="Band A"/>
    <n v="31500"/>
    <n v="6.4"/>
    <n v="2.1"/>
    <n v="0.4"/>
    <n v="0"/>
    <n v="4.7"/>
    <n v="3.3"/>
    <n v="2.7"/>
    <s v="No"/>
    <n v="0"/>
    <n v="1"/>
    <n v="1.3"/>
    <n v="0"/>
    <s v="Stayed"/>
    <m/>
    <n v="0"/>
    <n v="0"/>
    <s v="Promoted"/>
    <s v="5+ years"/>
    <s v="Low"/>
    <s v="3.5666666666666664"/>
    <s v="0.16666666666666666"/>
    <n v="0"/>
  </r>
  <r>
    <s v="EMP0984"/>
    <x v="1"/>
    <s v="HR Manager"/>
    <n v="2.5"/>
    <s v="G1"/>
    <n v="30"/>
    <s v="Master"/>
    <s v="Hyderabad"/>
    <n v="1"/>
    <n v="7.3"/>
    <n v="7"/>
    <n v="1"/>
    <n v="12"/>
    <n v="0"/>
    <s v="Band A"/>
    <n v="21200"/>
    <n v="13.8"/>
    <n v="4.3"/>
    <n v="1.1000000000000001"/>
    <n v="0"/>
    <n v="3.7"/>
    <n v="3"/>
    <n v="3.7"/>
    <s v="Yes"/>
    <n v="0"/>
    <n v="1"/>
    <n v="0.4"/>
    <n v="0"/>
    <s v="Stayed"/>
    <m/>
    <n v="0"/>
    <n v="0"/>
    <s v="Promoted"/>
    <s v="1â€“3 years"/>
    <s v="Low"/>
    <s v="3.466666666666667"/>
    <n v="8.3333333333333301E-2"/>
    <n v="0"/>
  </r>
  <r>
    <s v="EMP0985"/>
    <x v="3"/>
    <s v="QA Engineer"/>
    <n v="7.1"/>
    <s v="G3"/>
    <n v="29"/>
    <s v="Bachelor"/>
    <s v="Chennai"/>
    <n v="5"/>
    <n v="12.2"/>
    <n v="5"/>
    <n v="2"/>
    <n v="12"/>
    <n v="0"/>
    <s v="Band C"/>
    <n v="58200"/>
    <n v="15.4"/>
    <n v="3.4"/>
    <n v="3.1"/>
    <n v="0"/>
    <n v="4.4000000000000004"/>
    <n v="4.9000000000000004"/>
    <n v="2.9"/>
    <s v="Yes"/>
    <n v="0"/>
    <n v="2"/>
    <n v="1.8"/>
    <n v="0"/>
    <s v="Stayed"/>
    <m/>
    <n v="0"/>
    <n v="0"/>
    <s v="Promoted"/>
    <s v="5+ years"/>
    <s v="Moderate"/>
    <s v="4.066666666666667"/>
    <s v="0.4166666666666667"/>
    <n v="0"/>
  </r>
  <r>
    <s v="EMP0986"/>
    <x v="2"/>
    <s v="Support Specialist"/>
    <n v="6.7"/>
    <s v="G4"/>
    <n v="29"/>
    <s v="Diploma"/>
    <s v="Chennai"/>
    <n v="3"/>
    <n v="2.2999999999999998"/>
    <n v="3"/>
    <n v="2"/>
    <n v="12"/>
    <n v="0"/>
    <s v="Band D"/>
    <n v="84400"/>
    <n v="5.6"/>
    <n v="2.9"/>
    <n v="2.5"/>
    <n v="0"/>
    <n v="5"/>
    <n v="4.4000000000000004"/>
    <n v="4.2"/>
    <s v="No"/>
    <n v="0"/>
    <n v="1"/>
    <n v="3.6"/>
    <n v="0"/>
    <s v="Stayed"/>
    <m/>
    <n v="0"/>
    <n v="0"/>
    <s v="Promoted"/>
    <s v="5+ years"/>
    <s v="Low"/>
    <s v="4.533333333333334"/>
    <n v="0.25"/>
    <n v="0"/>
  </r>
  <r>
    <s v="EMP0987"/>
    <x v="4"/>
    <s v="Sales Manager"/>
    <n v="6.1"/>
    <s v="G4"/>
    <n v="35"/>
    <s v="Diploma"/>
    <s v="Hyderabad"/>
    <n v="1"/>
    <n v="2.8"/>
    <n v="7"/>
    <n v="2"/>
    <n v="12"/>
    <n v="0"/>
    <s v="Band C"/>
    <n v="72200"/>
    <n v="3.9"/>
    <n v="2.8"/>
    <n v="0.7"/>
    <n v="0"/>
    <n v="3.3"/>
    <n v="4.3"/>
    <n v="3.4"/>
    <s v="Yes"/>
    <n v="0"/>
    <n v="1"/>
    <n v="5.0999999999999996"/>
    <n v="1"/>
    <s v="Stayed"/>
    <m/>
    <n v="0"/>
    <n v="0"/>
    <s v="Promoted"/>
    <s v="5+ years"/>
    <s v="Low"/>
    <s v="3.6666666666666665"/>
    <n v="8.3333333333333301E-2"/>
    <n v="0"/>
  </r>
  <r>
    <s v="EMP0988"/>
    <x v="3"/>
    <s v="Data Analyst"/>
    <n v="4"/>
    <s v="G5"/>
    <n v="34"/>
    <s v="Master"/>
    <s v="Hyderabad"/>
    <n v="5"/>
    <n v="15.5"/>
    <n v="12"/>
    <n v="0"/>
    <n v="12"/>
    <n v="0"/>
    <s v="Band E"/>
    <n v="123000"/>
    <n v="6.6"/>
    <n v="2.5"/>
    <n v="1.9"/>
    <n v="0"/>
    <n v="4.7"/>
    <n v="2.7"/>
    <n v="2.8"/>
    <s v="Yes"/>
    <n v="0"/>
    <n v="2"/>
    <n v="2.1"/>
    <n v="0"/>
    <s v="Stayed"/>
    <m/>
    <n v="0"/>
    <n v="0"/>
    <s v="Promoted"/>
    <s v="3â€“5 years"/>
    <s v="Moderate"/>
    <n v="3.4"/>
    <s v="0.4166666666666667"/>
    <n v="0"/>
  </r>
  <r>
    <s v="EMP0989"/>
    <x v="4"/>
    <s v="Sales Manager"/>
    <n v="1.3"/>
    <s v="G3"/>
    <n v="23"/>
    <s v="Bachelor"/>
    <s v="Bengaluru"/>
    <n v="5"/>
    <n v="6.2"/>
    <n v="15"/>
    <n v="2"/>
    <n v="12"/>
    <n v="0"/>
    <s v="Band B"/>
    <n v="43000"/>
    <n v="6.3"/>
    <n v="2.1"/>
    <n v="0.8"/>
    <n v="0"/>
    <n v="2.7"/>
    <n v="2.7"/>
    <n v="4"/>
    <s v="Yes"/>
    <n v="0"/>
    <n v="1"/>
    <n v="1"/>
    <n v="0"/>
    <s v="Left"/>
    <d v="2026-09-18T00:00:00"/>
    <n v="0"/>
    <n v="0"/>
    <s v="Promoted"/>
    <s v="1â€“3 years"/>
    <s v="Low"/>
    <s v="3.1333333333333333"/>
    <s v="0.4166666666666667"/>
    <n v="1"/>
  </r>
  <r>
    <s v="EMP0990"/>
    <x v="0"/>
    <s v="Team Lead"/>
    <n v="3"/>
    <s v="G3"/>
    <n v="32"/>
    <s v="Bachelor"/>
    <s v="Bengaluru"/>
    <n v="4"/>
    <n v="4.4000000000000004"/>
    <n v="5"/>
    <n v="1"/>
    <n v="12"/>
    <n v="0"/>
    <s v="Band B"/>
    <n v="48500"/>
    <n v="14.1"/>
    <n v="5"/>
    <n v="1"/>
    <n v="0"/>
    <n v="4.4000000000000004"/>
    <n v="1.5"/>
    <n v="3.7"/>
    <s v="Yes"/>
    <n v="0"/>
    <n v="0"/>
    <m/>
    <n v="1"/>
    <s v="Stayed"/>
    <m/>
    <n v="1"/>
    <n v="0"/>
    <s v="No Recorded Promotions"/>
    <s v="1â€“3 years"/>
    <s v="Low"/>
    <s v="3.2000000000000006"/>
    <s v="0.3333333333333333"/>
    <n v="0"/>
  </r>
  <r>
    <s v="EMP0991"/>
    <x v="0"/>
    <s v="Team Lead"/>
    <n v="9.1999999999999993"/>
    <s v="G2"/>
    <n v="33"/>
    <s v="Diploma"/>
    <s v="Coimbatore"/>
    <n v="0"/>
    <n v="8"/>
    <n v="10"/>
    <n v="2"/>
    <n v="12"/>
    <n v="0"/>
    <s v="Band B"/>
    <n v="42800"/>
    <n v="3.9"/>
    <n v="4.7"/>
    <n v="1.7"/>
    <n v="0"/>
    <n v="2.6"/>
    <n v="4.0999999999999996"/>
    <n v="3"/>
    <s v="Yes"/>
    <n v="0"/>
    <n v="1"/>
    <n v="6.8"/>
    <n v="0"/>
    <s v="Stayed"/>
    <m/>
    <n v="0"/>
    <n v="0"/>
    <s v="Promoted"/>
    <s v="5+ years"/>
    <s v="Low"/>
    <s v="3.233333333333333"/>
    <n v="0"/>
    <n v="0"/>
  </r>
  <r>
    <s v="EMP0992"/>
    <x v="0"/>
    <s v="Team Lead"/>
    <n v="7.2"/>
    <s v="G4"/>
    <n v="33"/>
    <s v="Doctorate"/>
    <s v="Coimbatore"/>
    <n v="2"/>
    <n v="24.9"/>
    <n v="6"/>
    <n v="2"/>
    <n v="12"/>
    <n v="0"/>
    <s v="Band D"/>
    <n v="79700"/>
    <n v="11"/>
    <n v="2.5"/>
    <n v="0.3"/>
    <n v="0"/>
    <n v="3.3"/>
    <n v="3.3"/>
    <n v="4"/>
    <s v="Yes"/>
    <n v="0"/>
    <n v="0"/>
    <m/>
    <n v="0"/>
    <s v="Stayed"/>
    <m/>
    <n v="1"/>
    <n v="0"/>
    <s v="No Recorded Promotions"/>
    <s v="5+ years"/>
    <s v="High"/>
    <s v="3.533333333333333"/>
    <s v="0.16666666666666666"/>
    <n v="0"/>
  </r>
  <r>
    <s v="EMP0993"/>
    <x v="0"/>
    <s v="Operations Associate"/>
    <n v="3.1"/>
    <s v="G3"/>
    <n v="35"/>
    <s v="Bachelor"/>
    <s v="Hyderabad"/>
    <n v="2"/>
    <n v="17.100000000000001"/>
    <n v="4"/>
    <n v="0"/>
    <n v="12"/>
    <n v="0"/>
    <s v="Band B"/>
    <n v="49200"/>
    <n v="13.6"/>
    <n v="1.6"/>
    <n v="1"/>
    <n v="0"/>
    <n v="3.8"/>
    <n v="1.6"/>
    <n v="3.9"/>
    <s v="Yes"/>
    <n v="0"/>
    <n v="0"/>
    <m/>
    <n v="0"/>
    <s v="Stayed"/>
    <m/>
    <n v="1"/>
    <n v="0"/>
    <s v="No Recorded Promotions"/>
    <s v="3â€“5 years"/>
    <s v="Moderate"/>
    <n v="3.1"/>
    <s v="0.16666666666666666"/>
    <n v="0"/>
  </r>
  <r>
    <s v="EMP0994"/>
    <x v="3"/>
    <s v="Data Analyst"/>
    <n v="3.1"/>
    <s v="G4"/>
    <n v="32"/>
    <s v="Bachelor"/>
    <s v="Chennai"/>
    <n v="1"/>
    <n v="16.2"/>
    <n v="13"/>
    <n v="1"/>
    <n v="12"/>
    <n v="0"/>
    <s v="Band C"/>
    <n v="62100"/>
    <n v="11.3"/>
    <n v="3.4"/>
    <n v="1.1000000000000001"/>
    <n v="0"/>
    <n v="3.9"/>
    <n v="4.3"/>
    <n v="4.4000000000000004"/>
    <s v="Yes"/>
    <n v="0"/>
    <n v="0"/>
    <m/>
    <n v="0"/>
    <s v="Stayed"/>
    <m/>
    <n v="1"/>
    <n v="0"/>
    <s v="No Recorded Promotions"/>
    <s v="3â€“5 years"/>
    <s v="Moderate"/>
    <n v="4.2"/>
    <n v="8.3333333333333301E-2"/>
    <n v="0"/>
  </r>
  <r>
    <s v="EMP0995"/>
    <x v="2"/>
    <s v="Support Team Lead"/>
    <n v="5.8"/>
    <s v="G2"/>
    <n v="35"/>
    <s v="Master"/>
    <s v="Bengaluru"/>
    <n v="3"/>
    <n v="31.2"/>
    <n v="12"/>
    <n v="2"/>
    <n v="12"/>
    <n v="0"/>
    <s v="Band B"/>
    <n v="43200"/>
    <n v="9.6999999999999993"/>
    <n v="3.1"/>
    <n v="0.6"/>
    <n v="0"/>
    <n v="2.2000000000000002"/>
    <n v="2.9"/>
    <n v="4"/>
    <s v="Yes"/>
    <n v="0"/>
    <n v="0"/>
    <m/>
    <n v="0"/>
    <s v="Left"/>
    <d v="2025-12-28T00:00:00"/>
    <n v="1"/>
    <n v="0"/>
    <s v="No Recorded Promotions"/>
    <s v="5+ years"/>
    <s v="High"/>
    <s v="3.033333333333333"/>
    <n v="0.25"/>
    <n v="1"/>
  </r>
  <r>
    <s v="EMP0996"/>
    <x v="1"/>
    <s v="Recruiter"/>
    <n v="4.2"/>
    <s v="G2"/>
    <n v="38"/>
    <s v="Bachelor"/>
    <s v="Bengaluru"/>
    <n v="3"/>
    <n v="12.7"/>
    <n v="5"/>
    <n v="1"/>
    <n v="12"/>
    <n v="0"/>
    <s v="Band B"/>
    <n v="39900"/>
    <n v="7.4"/>
    <n v="3.8"/>
    <n v="1.9"/>
    <n v="0"/>
    <n v="2.5"/>
    <n v="3"/>
    <n v="3.2"/>
    <s v="Yes"/>
    <n v="0"/>
    <n v="0"/>
    <m/>
    <n v="0"/>
    <s v="Stayed"/>
    <m/>
    <n v="1"/>
    <n v="0"/>
    <s v="No Recorded Promotions"/>
    <s v="3â€“5 years"/>
    <s v="Moderate"/>
    <n v="2.9"/>
    <n v="0.25"/>
    <n v="0"/>
  </r>
  <r>
    <s v="EMP0997"/>
    <x v="0"/>
    <s v="Operations Associate"/>
    <n v="3.3"/>
    <s v="G3"/>
    <n v="26"/>
    <s v="Bachelor"/>
    <s v="Hyderabad"/>
    <n v="2"/>
    <n v="33.200000000000003"/>
    <n v="13"/>
    <n v="1"/>
    <n v="12"/>
    <n v="0"/>
    <s v="Band C"/>
    <n v="50800"/>
    <n v="15.4"/>
    <n v="4"/>
    <n v="1.9"/>
    <n v="0"/>
    <n v="3.9"/>
    <n v="1.8"/>
    <n v="2"/>
    <s v="Yes"/>
    <n v="0"/>
    <n v="0"/>
    <m/>
    <n v="0"/>
    <s v="Stayed"/>
    <m/>
    <n v="1"/>
    <n v="0"/>
    <s v="No Recorded Promotions"/>
    <s v="3â€“5 years"/>
    <s v="High"/>
    <s v="2.566666666666667"/>
    <s v="0.16666666666666666"/>
    <n v="0"/>
  </r>
  <r>
    <s v="EMP0998"/>
    <x v="3"/>
    <s v="Senior Software Engineer"/>
    <n v="5.4"/>
    <s v="G1"/>
    <n v="27"/>
    <s v="Master"/>
    <s v="Chennai"/>
    <n v="3"/>
    <n v="35.1"/>
    <n v="8"/>
    <n v="0"/>
    <n v="12"/>
    <n v="0"/>
    <s v="Band A"/>
    <n v="31200"/>
    <n v="7"/>
    <n v="2.1"/>
    <n v="0.4"/>
    <n v="0"/>
    <n v="3"/>
    <n v="3.6"/>
    <n v="3.5"/>
    <s v="Yes"/>
    <n v="0"/>
    <n v="1"/>
    <n v="1.7"/>
    <n v="1"/>
    <s v="Stayed"/>
    <m/>
    <n v="0"/>
    <n v="0"/>
    <s v="Promoted"/>
    <s v="5+ years"/>
    <s v="High"/>
    <s v="3.3666666666666667"/>
    <n v="0.25"/>
    <n v="0"/>
  </r>
  <r>
    <s v="EMP0999"/>
    <x v="2"/>
    <s v="Support Specialist"/>
    <n v="5.3"/>
    <s v="G1"/>
    <n v="28"/>
    <s v="Bachelor"/>
    <s v="Bengaluru"/>
    <n v="5"/>
    <n v="2.4"/>
    <n v="9"/>
    <n v="2"/>
    <n v="12"/>
    <n v="0"/>
    <s v="Band A"/>
    <n v="28900"/>
    <n v="11.8"/>
    <n v="4.4000000000000004"/>
    <n v="0.3"/>
    <n v="0"/>
    <n v="2"/>
    <n v="3.7"/>
    <n v="3.7"/>
    <s v="Yes"/>
    <n v="0"/>
    <n v="1"/>
    <n v="0.9"/>
    <n v="0"/>
    <s v="Stayed"/>
    <m/>
    <n v="0"/>
    <n v="0"/>
    <s v="Promoted"/>
    <s v="5+ years"/>
    <s v="Low"/>
    <s v="3.1333333333333333"/>
    <s v="0.4166666666666667"/>
    <n v="0"/>
  </r>
  <r>
    <s v="EMP1000"/>
    <x v="4"/>
    <s v="Account Manager"/>
    <n v="2.2999999999999998"/>
    <s v="G5"/>
    <n v="27"/>
    <s v="Diploma"/>
    <s v="Chennai"/>
    <n v="6"/>
    <n v="1.7"/>
    <n v="10"/>
    <n v="4"/>
    <n v="12"/>
    <n v="0"/>
    <s v="Band D"/>
    <n v="93800"/>
    <n v="7.4"/>
    <n v="2.9"/>
    <n v="1.2"/>
    <n v="0"/>
    <n v="3.2"/>
    <n v="3.2"/>
    <n v="3.4"/>
    <s v="Yes"/>
    <n v="0"/>
    <n v="0"/>
    <m/>
    <n v="0"/>
    <s v="Stayed"/>
    <m/>
    <n v="1"/>
    <n v="0"/>
    <s v="No Recorded Promotions"/>
    <s v="1â€“3 years"/>
    <s v="Low"/>
    <s v="3.266666666666667"/>
    <n v="0.5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EMP0001"/>
    <s v="Operations"/>
    <x v="0"/>
    <n v="1.5"/>
    <s v="G4"/>
    <n v="24"/>
    <s v="Bachelor"/>
    <s v="Coimbatore"/>
    <n v="3"/>
    <n v="11.2"/>
    <n v="7"/>
    <n v="2"/>
    <n v="12"/>
    <n v="0"/>
    <s v="Band C"/>
    <n v="56600"/>
    <n v="7.3"/>
    <n v="1.5"/>
    <n v="4.2"/>
    <n v="0"/>
    <n v="3.2"/>
    <n v="3.1"/>
    <n v="3.1"/>
    <s v="Yes"/>
    <n v="0"/>
    <n v="1"/>
    <n v="0.3"/>
    <n v="0"/>
    <x v="0"/>
    <m/>
    <n v="0"/>
    <n v="0"/>
    <x v="0"/>
    <s v="1â€“3 years"/>
    <s v="Moderate"/>
    <s v="3.1333333333333333"/>
    <n v="0.25"/>
    <n v="0"/>
  </r>
  <r>
    <s v="EMP0002"/>
    <s v="Hr"/>
    <x v="1"/>
    <n v="1.4"/>
    <s v="G4"/>
    <n v="24"/>
    <s v="Diploma"/>
    <s v="Chennai"/>
    <n v="1"/>
    <n v="23.8"/>
    <n v="5"/>
    <n v="2"/>
    <n v="12"/>
    <n v="0"/>
    <s v="Band D"/>
    <n v="75600"/>
    <n v="4.7"/>
    <n v="3"/>
    <n v="0.8"/>
    <n v="0"/>
    <n v="2.7"/>
    <n v="3.4"/>
    <n v="5"/>
    <s v="Yes"/>
    <n v="0"/>
    <n v="1"/>
    <n v="0"/>
    <n v="0"/>
    <x v="0"/>
    <m/>
    <n v="0"/>
    <n v="0"/>
    <x v="0"/>
    <s v="1â€“3 years"/>
    <s v="High"/>
    <s v="3.6999999999999997"/>
    <n v="8.3333333333333301E-2"/>
    <n v="0"/>
  </r>
  <r>
    <s v="EMP0003"/>
    <s v="Customer Support"/>
    <x v="2"/>
    <n v="1.3"/>
    <s v="G5"/>
    <n v="23"/>
    <s v="Bachelor"/>
    <s v="Remote"/>
    <n v="1"/>
    <n v="7.1"/>
    <n v="4"/>
    <n v="0"/>
    <n v="12"/>
    <n v="0"/>
    <s v="Band D"/>
    <n v="97500"/>
    <n v="4.3"/>
    <n v="3.1"/>
    <n v="3.5"/>
    <n v="0"/>
    <n v="3.3"/>
    <n v="3.7"/>
    <n v="2.4"/>
    <s v="Yes"/>
    <n v="1"/>
    <n v="1"/>
    <n v="0.8"/>
    <n v="0"/>
    <x v="0"/>
    <m/>
    <n v="0"/>
    <n v="0"/>
    <x v="0"/>
    <s v="1â€“3 years"/>
    <s v="Low"/>
    <s v="3.1333333333333333"/>
    <n v="8.3333333333333301E-2"/>
    <n v="0"/>
  </r>
  <r>
    <s v="EMP0004"/>
    <s v="Operations"/>
    <x v="3"/>
    <n v="2.2999999999999998"/>
    <s v="G2"/>
    <n v="30"/>
    <s v="Master"/>
    <s v="Bengaluru"/>
    <n v="3"/>
    <n v="3.4"/>
    <n v="5"/>
    <n v="1"/>
    <n v="12"/>
    <n v="0"/>
    <s v="Band B"/>
    <n v="37000"/>
    <n v="5.9"/>
    <n v="3.1"/>
    <n v="1.5"/>
    <n v="0"/>
    <n v="2.9"/>
    <n v="3.6"/>
    <n v="3.4"/>
    <s v="Yes"/>
    <n v="1"/>
    <n v="1"/>
    <n v="0.8"/>
    <n v="0"/>
    <x v="0"/>
    <m/>
    <n v="0"/>
    <n v="0"/>
    <x v="0"/>
    <s v="1â€“3 years"/>
    <s v="Low"/>
    <s v="3.3000000000000003"/>
    <n v="0.25"/>
    <n v="0"/>
  </r>
  <r>
    <s v="EMP0005"/>
    <s v="Engineering"/>
    <x v="4"/>
    <n v="4.7"/>
    <s v="G2"/>
    <n v="25"/>
    <s v="Master"/>
    <s v="Bengaluru"/>
    <n v="8"/>
    <n v="22.5"/>
    <n v="6"/>
    <n v="4"/>
    <n v="12"/>
    <n v="0"/>
    <s v="Band B"/>
    <n v="36800"/>
    <n v="8.1"/>
    <n v="2.6"/>
    <n v="0.5"/>
    <n v="0"/>
    <n v="3.9"/>
    <n v="2.5"/>
    <n v="4"/>
    <s v="Yes"/>
    <n v="0"/>
    <n v="0"/>
    <m/>
    <n v="0"/>
    <x v="0"/>
    <m/>
    <n v="1"/>
    <n v="0"/>
    <x v="1"/>
    <s v="3â€“5 years"/>
    <s v="High"/>
    <s v="3.466666666666667"/>
    <s v="0.6666666666666666"/>
    <n v="0"/>
  </r>
  <r>
    <s v="EMP0006"/>
    <s v="Customer Support"/>
    <x v="5"/>
    <n v="5.3"/>
    <s v="G1"/>
    <n v="29"/>
    <s v="Diploma"/>
    <s v="Chennai"/>
    <n v="2"/>
    <n v="24.9"/>
    <n v="9"/>
    <n v="1"/>
    <n v="12"/>
    <n v="0"/>
    <s v="Band A"/>
    <n v="30000"/>
    <n v="0.5"/>
    <n v="3.8"/>
    <n v="0.7"/>
    <n v="0"/>
    <n v="4"/>
    <n v="2.8"/>
    <n v="2.6"/>
    <s v="Yes"/>
    <n v="0"/>
    <n v="0"/>
    <m/>
    <n v="0"/>
    <x v="0"/>
    <m/>
    <n v="1"/>
    <n v="0"/>
    <x v="1"/>
    <s v="5+ years"/>
    <s v="High"/>
    <s v="3.1333333333333333"/>
    <s v="0.16666666666666666"/>
    <n v="0"/>
  </r>
  <r>
    <s v="EMP0007"/>
    <s v="Operations"/>
    <x v="3"/>
    <n v="3.6"/>
    <s v="G2"/>
    <n v="21"/>
    <s v="Bachelor"/>
    <s v="Bengaluru"/>
    <n v="1"/>
    <n v="10.3"/>
    <n v="7"/>
    <n v="2"/>
    <n v="12"/>
    <n v="0"/>
    <s v="Band B"/>
    <n v="39900"/>
    <n v="11.8"/>
    <n v="3.9"/>
    <n v="1.8"/>
    <n v="0"/>
    <n v="3.6"/>
    <n v="4"/>
    <n v="2.5"/>
    <s v="Yes"/>
    <n v="0"/>
    <n v="0"/>
    <m/>
    <n v="1"/>
    <x v="0"/>
    <m/>
    <n v="1"/>
    <n v="0"/>
    <x v="1"/>
    <s v="3â€“5 years"/>
    <s v="Moderate"/>
    <s v="3.3666666666666667"/>
    <n v="8.3333333333333301E-2"/>
    <n v="0"/>
  </r>
  <r>
    <s v="EMP0008"/>
    <s v="Operations"/>
    <x v="6"/>
    <n v="4.0999999999999996"/>
    <s v="G2"/>
    <n v="31"/>
    <s v="Bachelor"/>
    <s v="Bengaluru"/>
    <n v="6"/>
    <n v="3.5"/>
    <n v="13"/>
    <n v="1"/>
    <n v="12"/>
    <n v="0"/>
    <s v="Band B"/>
    <n v="41500"/>
    <n v="8.1"/>
    <n v="2.9"/>
    <n v="0.1"/>
    <n v="0"/>
    <n v="3"/>
    <n v="2.7"/>
    <n v="4.3"/>
    <s v="No"/>
    <n v="0"/>
    <n v="0"/>
    <m/>
    <n v="0"/>
    <x v="0"/>
    <m/>
    <n v="1"/>
    <n v="0"/>
    <x v="1"/>
    <s v="3â€“5 years"/>
    <s v="Low"/>
    <s v="3.3333333333333335"/>
    <n v="0.5"/>
    <n v="0"/>
  </r>
  <r>
    <s v="EMP0009"/>
    <s v="Engineering"/>
    <x v="4"/>
    <n v="5.4"/>
    <s v="G5"/>
    <n v="29"/>
    <s v="Bachelor"/>
    <s v="Chennai"/>
    <n v="3"/>
    <n v="1.9"/>
    <n v="16"/>
    <n v="2"/>
    <n v="12"/>
    <n v="0"/>
    <s v="Band D"/>
    <n v="86600"/>
    <n v="3.7"/>
    <n v="2.9"/>
    <n v="1.1000000000000001"/>
    <n v="0"/>
    <n v="2.9"/>
    <n v="3.3"/>
    <n v="3.9"/>
    <s v="Yes"/>
    <n v="1"/>
    <n v="0"/>
    <m/>
    <n v="2"/>
    <x v="0"/>
    <m/>
    <n v="1"/>
    <n v="0"/>
    <x v="1"/>
    <s v="5+ years"/>
    <s v="Low"/>
    <s v="3.3666666666666667"/>
    <n v="0.25"/>
    <n v="0"/>
  </r>
  <r>
    <s v="EMP0010"/>
    <s v="Hr"/>
    <x v="7"/>
    <n v="0.5"/>
    <s v="G1"/>
    <n v="21"/>
    <s v="Bachelor"/>
    <s v="Hyderabad"/>
    <n v="3"/>
    <n v="13.4"/>
    <n v="10"/>
    <n v="0"/>
    <n v="12"/>
    <n v="0"/>
    <s v="Band A"/>
    <n v="22100"/>
    <n v="14.5"/>
    <n v="2.2999999999999998"/>
    <n v="1.4"/>
    <n v="0"/>
    <n v="2.5"/>
    <n v="1.8"/>
    <n v="3.8"/>
    <s v="Yes"/>
    <n v="0"/>
    <n v="1"/>
    <n v="0.1"/>
    <n v="0"/>
    <x v="0"/>
    <m/>
    <n v="0"/>
    <n v="0"/>
    <x v="0"/>
    <s v="0â€“1 years"/>
    <s v="Moderate"/>
    <s v="2.6999999999999997"/>
    <n v="0.25"/>
    <n v="0"/>
  </r>
  <r>
    <s v="EMP0011"/>
    <s v="Sales"/>
    <x v="8"/>
    <n v="4.3"/>
    <s v="G1"/>
    <n v="35"/>
    <s v="Diploma"/>
    <s v="Bengaluru"/>
    <n v="1"/>
    <n v="6.1"/>
    <n v="13"/>
    <n v="2"/>
    <n v="12"/>
    <n v="0"/>
    <s v="Band A"/>
    <n v="25800"/>
    <n v="8.1999999999999993"/>
    <n v="3.4"/>
    <n v="2.2000000000000002"/>
    <n v="0"/>
    <n v="2.8"/>
    <n v="3.2"/>
    <n v="3.5"/>
    <s v="Yes"/>
    <n v="0"/>
    <n v="0"/>
    <m/>
    <n v="0"/>
    <x v="0"/>
    <m/>
    <n v="1"/>
    <n v="0"/>
    <x v="1"/>
    <s v="3â€“5 years"/>
    <s v="Low"/>
    <s v="3.1666666666666665"/>
    <n v="8.3333333333333301E-2"/>
    <n v="0"/>
  </r>
  <r>
    <s v="EMP0012"/>
    <s v="Customer Support"/>
    <x v="2"/>
    <n v="8.6"/>
    <s v="G2"/>
    <n v="29"/>
    <s v="Diploma"/>
    <s v="Hyderabad"/>
    <n v="3"/>
    <n v="9.8000000000000007"/>
    <n v="9"/>
    <n v="1"/>
    <n v="12"/>
    <n v="0"/>
    <s v="Band A"/>
    <n v="35000"/>
    <n v="2.7"/>
    <n v="4.4000000000000004"/>
    <n v="0.1"/>
    <n v="0"/>
    <n v="2.1"/>
    <n v="3.5"/>
    <n v="2.8"/>
    <s v="Yes"/>
    <n v="0"/>
    <n v="0"/>
    <m/>
    <n v="0"/>
    <x v="0"/>
    <m/>
    <n v="1"/>
    <n v="0"/>
    <x v="1"/>
    <s v="5+ years"/>
    <s v="Low"/>
    <s v="2.7999999999999994"/>
    <n v="0.25"/>
    <n v="0"/>
  </r>
  <r>
    <s v="EMP0013"/>
    <s v="Operations"/>
    <x v="6"/>
    <n v="3.2"/>
    <s v="G1"/>
    <n v="32"/>
    <s v="Bachelor"/>
    <s v="Chennai"/>
    <n v="7"/>
    <n v="9"/>
    <n v="8"/>
    <n v="3"/>
    <n v="12"/>
    <n v="0"/>
    <s v="Band A"/>
    <n v="23700"/>
    <n v="14.3"/>
    <n v="4.4000000000000004"/>
    <n v="1.1000000000000001"/>
    <n v="0"/>
    <n v="4.5"/>
    <n v="1.4"/>
    <n v="3.2"/>
    <s v="Yes"/>
    <n v="0"/>
    <n v="0"/>
    <m/>
    <n v="1"/>
    <x v="0"/>
    <m/>
    <n v="1"/>
    <n v="0"/>
    <x v="1"/>
    <s v="3â€“5 years"/>
    <s v="Low"/>
    <s v="3.0333333333333337"/>
    <s v="0.5833333333333334"/>
    <n v="0"/>
  </r>
  <r>
    <s v="EMP0014"/>
    <s v="Customer Support"/>
    <x v="9"/>
    <n v="7.5"/>
    <s v="G2"/>
    <n v="31"/>
    <s v="Bachelor"/>
    <s v="Chennai"/>
    <n v="3"/>
    <n v="4.9000000000000004"/>
    <n v="7"/>
    <n v="2"/>
    <n v="12"/>
    <n v="0"/>
    <s v="Band B"/>
    <n v="48900"/>
    <n v="13.4"/>
    <n v="2.7"/>
    <n v="2.7"/>
    <n v="0"/>
    <n v="3.3"/>
    <n v="3.3"/>
    <n v="3.3"/>
    <s v="Yes"/>
    <n v="1"/>
    <n v="0"/>
    <m/>
    <n v="1"/>
    <x v="0"/>
    <m/>
    <n v="1"/>
    <n v="0"/>
    <x v="1"/>
    <s v="5+ years"/>
    <s v="Low"/>
    <s v="3.2999999999999994"/>
    <n v="0.25"/>
    <n v="0"/>
  </r>
  <r>
    <s v="EMP0015"/>
    <s v="Hr"/>
    <x v="7"/>
    <n v="3.3"/>
    <s v="G3"/>
    <n v="36"/>
    <s v="Master"/>
    <s v="Bengaluru"/>
    <n v="0"/>
    <n v="1.8"/>
    <n v="8"/>
    <n v="4"/>
    <n v="12"/>
    <n v="0"/>
    <s v="Band B"/>
    <n v="38600"/>
    <n v="4.4000000000000004"/>
    <n v="5"/>
    <n v="5.5"/>
    <n v="0"/>
    <n v="1.6"/>
    <n v="1.9"/>
    <n v="4.0999999999999996"/>
    <s v="Yes"/>
    <n v="0"/>
    <n v="0"/>
    <m/>
    <n v="1"/>
    <x v="0"/>
    <m/>
    <n v="1"/>
    <n v="0"/>
    <x v="1"/>
    <s v="3â€“5 years"/>
    <s v="Low"/>
    <s v="2.533333333333333"/>
    <n v="0"/>
    <n v="0"/>
  </r>
  <r>
    <s v="EMP0016"/>
    <s v="Engineering"/>
    <x v="10"/>
    <n v="5.7"/>
    <s v="G2"/>
    <n v="35"/>
    <s v="Diploma"/>
    <s v="Hyderabad"/>
    <n v="4"/>
    <n v="7.2"/>
    <n v="13"/>
    <n v="2"/>
    <n v="12"/>
    <n v="0"/>
    <s v="Band B"/>
    <n v="42400"/>
    <n v="6.7"/>
    <n v="2.9"/>
    <n v="0.5"/>
    <n v="0"/>
    <n v="3.6"/>
    <n v="3.9"/>
    <n v="3.7"/>
    <s v="Yes"/>
    <n v="0"/>
    <n v="1"/>
    <n v="5.4"/>
    <n v="0"/>
    <x v="0"/>
    <m/>
    <n v="0"/>
    <n v="0"/>
    <x v="0"/>
    <s v="5+ years"/>
    <s v="Low"/>
    <s v="3.733333333333333"/>
    <s v="0.3333333333333333"/>
    <n v="0"/>
  </r>
  <r>
    <s v="EMP0017"/>
    <s v="Finance"/>
    <x v="11"/>
    <n v="4.5999999999999996"/>
    <s v="G3"/>
    <n v="27"/>
    <s v="Bachelor"/>
    <s v="Coimbatore"/>
    <n v="2"/>
    <n v="11.6"/>
    <n v="2"/>
    <n v="1"/>
    <n v="12"/>
    <n v="0"/>
    <s v="Band C"/>
    <n v="59900"/>
    <n v="6.2"/>
    <n v="2.2999999999999998"/>
    <n v="3.5"/>
    <n v="0"/>
    <n v="3.5"/>
    <n v="1.5"/>
    <n v="2.7"/>
    <s v="Yes"/>
    <n v="0"/>
    <n v="1"/>
    <n v="0.5"/>
    <n v="0"/>
    <x v="0"/>
    <m/>
    <n v="0"/>
    <n v="0"/>
    <x v="0"/>
    <s v="3â€“5 years"/>
    <s v="Moderate"/>
    <s v="2.566666666666667"/>
    <s v="0.16666666666666666"/>
    <n v="0"/>
  </r>
  <r>
    <s v="EMP0018"/>
    <s v="Engineering"/>
    <x v="12"/>
    <n v="1.4"/>
    <s v="G4"/>
    <n v="24"/>
    <s v="Bachelor"/>
    <s v="Chennai"/>
    <n v="4"/>
    <n v="12"/>
    <n v="13"/>
    <n v="4"/>
    <n v="12"/>
    <n v="0"/>
    <s v="Band D"/>
    <n v="78300"/>
    <n v="0.4"/>
    <n v="2"/>
    <n v="2.6"/>
    <n v="0"/>
    <n v="3.5"/>
    <n v="3.1"/>
    <n v="4"/>
    <s v="Yes"/>
    <n v="0"/>
    <n v="0"/>
    <m/>
    <n v="0"/>
    <x v="0"/>
    <m/>
    <n v="1"/>
    <n v="0"/>
    <x v="1"/>
    <s v="1â€“3 years"/>
    <s v="Moderate"/>
    <s v="3.533333333333333"/>
    <s v="0.3333333333333333"/>
    <n v="0"/>
  </r>
  <r>
    <s v="EMP0019"/>
    <s v="Customer Support"/>
    <x v="9"/>
    <n v="1.7"/>
    <s v="G3"/>
    <n v="30"/>
    <s v="Master"/>
    <s v="Hyderabad"/>
    <n v="2"/>
    <n v="5.8"/>
    <n v="9"/>
    <n v="0"/>
    <n v="12"/>
    <n v="0"/>
    <s v="Band C"/>
    <n v="53700"/>
    <n v="9.3000000000000007"/>
    <n v="2.2000000000000002"/>
    <n v="4"/>
    <n v="0"/>
    <n v="2.8"/>
    <n v="3.8"/>
    <n v="2.1"/>
    <s v="Yes"/>
    <n v="0"/>
    <n v="0"/>
    <m/>
    <n v="0"/>
    <x v="1"/>
    <d v="2026-08-17T00:00:00"/>
    <n v="1"/>
    <n v="0"/>
    <x v="1"/>
    <s v="1â€“3 years"/>
    <s v="Low"/>
    <n v="2.9"/>
    <s v="0.16666666666666666"/>
    <n v="1"/>
  </r>
  <r>
    <s v="EMP0020"/>
    <s v="Operations"/>
    <x v="3"/>
    <n v="9.6"/>
    <s v="G3"/>
    <n v="35"/>
    <s v="Master"/>
    <s v="Chennai"/>
    <n v="5"/>
    <n v="24.5"/>
    <n v="10"/>
    <n v="4"/>
    <n v="12"/>
    <n v="0"/>
    <s v="Band C"/>
    <n v="67100"/>
    <n v="11.4"/>
    <n v="3.5"/>
    <n v="0.1"/>
    <n v="0"/>
    <n v="4.2"/>
    <n v="3.4"/>
    <n v="3.1"/>
    <s v="Yes"/>
    <n v="0"/>
    <n v="0"/>
    <m/>
    <n v="1"/>
    <x v="0"/>
    <m/>
    <n v="1"/>
    <n v="0"/>
    <x v="1"/>
    <s v="5+ years"/>
    <s v="High"/>
    <s v="3.5666666666666664"/>
    <s v="0.4166666666666667"/>
    <n v="0"/>
  </r>
  <r>
    <s v="EMP0021"/>
    <s v="Operations"/>
    <x v="6"/>
    <n v="6.5"/>
    <s v="G2"/>
    <n v="32"/>
    <s v="Bachelor"/>
    <s v="Chennai"/>
    <n v="3"/>
    <n v="3.8"/>
    <n v="10"/>
    <n v="1"/>
    <n v="12"/>
    <n v="0"/>
    <s v="Band B"/>
    <n v="49200"/>
    <n v="10.6"/>
    <n v="3"/>
    <n v="2.2999999999999998"/>
    <n v="0"/>
    <n v="3.7"/>
    <n v="2.8"/>
    <n v="2.5"/>
    <s v="Yes"/>
    <n v="0"/>
    <n v="1"/>
    <n v="5"/>
    <n v="0"/>
    <x v="0"/>
    <m/>
    <n v="0"/>
    <n v="0"/>
    <x v="0"/>
    <s v="5+ years"/>
    <s v="Low"/>
    <n v="3"/>
    <n v="0.25"/>
    <n v="0"/>
  </r>
  <r>
    <s v="EMP0022"/>
    <s v="Sales"/>
    <x v="8"/>
    <n v="3.5"/>
    <s v="G1"/>
    <n v="35"/>
    <s v="Bachelor"/>
    <s v="Bengaluru"/>
    <n v="3"/>
    <n v="20.8"/>
    <n v="14"/>
    <n v="1"/>
    <n v="12"/>
    <n v="0"/>
    <s v="Band A"/>
    <n v="27600"/>
    <n v="8.1"/>
    <n v="2.6"/>
    <n v="3.4"/>
    <n v="0"/>
    <n v="4.2"/>
    <n v="3.5"/>
    <n v="2.7"/>
    <s v="Yes"/>
    <n v="0"/>
    <n v="1"/>
    <n v="2"/>
    <n v="0"/>
    <x v="0"/>
    <m/>
    <n v="0"/>
    <n v="0"/>
    <x v="0"/>
    <s v="3â€“5 years"/>
    <s v="High"/>
    <s v="3.466666666666667"/>
    <n v="0.25"/>
    <n v="0"/>
  </r>
  <r>
    <s v="EMP0023"/>
    <s v="Customer Support"/>
    <x v="2"/>
    <n v="3.1"/>
    <s v="G2"/>
    <n v="26"/>
    <s v="Bachelor"/>
    <s v="Chennai"/>
    <n v="3"/>
    <n v="11.3"/>
    <n v="11"/>
    <n v="0"/>
    <n v="12"/>
    <n v="0"/>
    <s v="Band B"/>
    <n v="40700"/>
    <n v="11.8"/>
    <n v="2.4"/>
    <n v="1.2"/>
    <n v="0"/>
    <n v="2.6"/>
    <n v="4.0999999999999996"/>
    <n v="4.9000000000000004"/>
    <s v="Yes"/>
    <n v="0"/>
    <n v="0"/>
    <m/>
    <n v="0"/>
    <x v="0"/>
    <m/>
    <n v="1"/>
    <n v="0"/>
    <x v="1"/>
    <s v="3â€“5 years"/>
    <s v="Moderate"/>
    <s v="3.8666666666666667"/>
    <n v="0.25"/>
    <n v="0"/>
  </r>
  <r>
    <s v="EMP0024"/>
    <s v="Customer Support"/>
    <x v="2"/>
    <n v="1.9"/>
    <s v="G5"/>
    <n v="28"/>
    <s v="Bachelor"/>
    <s v="Chennai"/>
    <n v="2"/>
    <n v="7.3"/>
    <n v="8"/>
    <n v="2"/>
    <n v="12"/>
    <n v="0"/>
    <s v="Band D"/>
    <n v="109500"/>
    <n v="3.5"/>
    <n v="2.2000000000000002"/>
    <n v="0.9"/>
    <n v="0"/>
    <n v="2.1"/>
    <n v="3.1"/>
    <n v="2.2000000000000002"/>
    <s v="Yes"/>
    <n v="0"/>
    <n v="1"/>
    <n v="0.5"/>
    <n v="0"/>
    <x v="0"/>
    <m/>
    <n v="0"/>
    <n v="0"/>
    <x v="0"/>
    <s v="1â€“3 years"/>
    <s v="Low"/>
    <s v="2.466666666666667"/>
    <s v="0.16666666666666666"/>
    <n v="0"/>
  </r>
  <r>
    <s v="EMP0025"/>
    <s v="Operations"/>
    <x v="6"/>
    <n v="4.9000000000000004"/>
    <s v="G3"/>
    <n v="35"/>
    <s v="Diploma"/>
    <s v="Chennai"/>
    <n v="1"/>
    <n v="14.7"/>
    <n v="13"/>
    <n v="2"/>
    <n v="12"/>
    <n v="0"/>
    <s v="Band B"/>
    <n v="48600"/>
    <n v="15.3"/>
    <n v="2.4"/>
    <n v="1.4"/>
    <n v="0"/>
    <n v="3.7"/>
    <n v="1.2"/>
    <n v="2.7"/>
    <s v="Yes"/>
    <n v="0"/>
    <n v="0"/>
    <m/>
    <n v="0"/>
    <x v="0"/>
    <m/>
    <n v="1"/>
    <n v="0"/>
    <x v="1"/>
    <s v="3â€“5 years"/>
    <s v="Moderate"/>
    <s v="2.5333333333333337"/>
    <n v="8.3333333333333301E-2"/>
    <n v="0"/>
  </r>
  <r>
    <s v="EMP0026"/>
    <s v="Engineering"/>
    <x v="10"/>
    <n v="2.1"/>
    <s v="G2"/>
    <n v="31"/>
    <s v="Bachelor"/>
    <s v="Remote"/>
    <n v="0"/>
    <n v="8.6"/>
    <n v="15"/>
    <n v="3"/>
    <n v="12"/>
    <n v="0"/>
    <s v="Band B"/>
    <n v="36900"/>
    <n v="4.9000000000000004"/>
    <n v="4.0999999999999996"/>
    <n v="3.2"/>
    <n v="0"/>
    <n v="2.4"/>
    <n v="4.2"/>
    <n v="3.8"/>
    <s v="Yes"/>
    <n v="0"/>
    <n v="0"/>
    <m/>
    <n v="1"/>
    <x v="0"/>
    <m/>
    <n v="1"/>
    <n v="0"/>
    <x v="1"/>
    <s v="1â€“3 years"/>
    <s v="Low"/>
    <s v="3.4666666666666663"/>
    <n v="0"/>
    <n v="0"/>
  </r>
  <r>
    <s v="EMP0027"/>
    <s v="Hr"/>
    <x v="7"/>
    <n v="2.8"/>
    <s v="G2"/>
    <n v="28"/>
    <s v="Bachelor"/>
    <s v="Chennai"/>
    <n v="2"/>
    <n v="2.6"/>
    <n v="11"/>
    <n v="3"/>
    <n v="12"/>
    <n v="0"/>
    <s v="Band B"/>
    <n v="35600"/>
    <n v="5.4"/>
    <n v="4.8"/>
    <n v="0.5"/>
    <n v="0"/>
    <n v="4.2"/>
    <n v="3.6"/>
    <n v="3"/>
    <s v="Yes"/>
    <n v="0"/>
    <n v="2"/>
    <n v="2.1"/>
    <n v="1"/>
    <x v="0"/>
    <m/>
    <n v="0"/>
    <n v="0"/>
    <x v="0"/>
    <s v="1â€“3 years"/>
    <s v="Low"/>
    <n v="3.6"/>
    <s v="0.16666666666666666"/>
    <n v="0"/>
  </r>
  <r>
    <s v="EMP0028"/>
    <s v="Engineering"/>
    <x v="4"/>
    <n v="2.2999999999999998"/>
    <s v="G4"/>
    <n v="27"/>
    <s v="Master"/>
    <s v="Bengaluru"/>
    <n v="1"/>
    <n v="3.5"/>
    <n v="12"/>
    <n v="3"/>
    <n v="12"/>
    <n v="0"/>
    <s v="Band C"/>
    <n v="74200"/>
    <n v="5.7"/>
    <n v="4.9000000000000004"/>
    <n v="0.5"/>
    <n v="0"/>
    <n v="1.4"/>
    <n v="3.2"/>
    <n v="3.5"/>
    <s v="Yes"/>
    <n v="0"/>
    <n v="0"/>
    <m/>
    <n v="0"/>
    <x v="0"/>
    <m/>
    <n v="1"/>
    <n v="0"/>
    <x v="1"/>
    <s v="1â€“3 years"/>
    <s v="Low"/>
    <s v="2.6999999999999997"/>
    <n v="8.3333333333333301E-2"/>
    <n v="0"/>
  </r>
  <r>
    <s v="EMP0029"/>
    <s v="Engineering"/>
    <x v="12"/>
    <n v="6.3"/>
    <s v="G3"/>
    <n v="25"/>
    <s v="Bachelor"/>
    <s v="Remote"/>
    <n v="1"/>
    <n v="8.1"/>
    <n v="7"/>
    <n v="0"/>
    <n v="12"/>
    <n v="0"/>
    <s v="Band B"/>
    <n v="42700"/>
    <n v="5.4"/>
    <n v="3.8"/>
    <n v="0"/>
    <n v="0"/>
    <n v="2.9"/>
    <n v="1.4"/>
    <n v="4.5"/>
    <s v="Yes"/>
    <n v="0"/>
    <n v="1"/>
    <n v="5.2"/>
    <n v="0"/>
    <x v="0"/>
    <m/>
    <n v="0"/>
    <n v="0"/>
    <x v="0"/>
    <s v="5+ years"/>
    <s v="Low"/>
    <s v="2.9333333333333336"/>
    <n v="8.3333333333333301E-2"/>
    <n v="0"/>
  </r>
  <r>
    <s v="EMP0030"/>
    <s v="Operations"/>
    <x v="3"/>
    <n v="3.3"/>
    <s v="G3"/>
    <n v="25"/>
    <s v="Bachelor"/>
    <s v="Bengaluru"/>
    <n v="5"/>
    <n v="6.5"/>
    <n v="14"/>
    <n v="2"/>
    <n v="12"/>
    <n v="0"/>
    <s v="Band C"/>
    <n v="62200"/>
    <n v="7.2"/>
    <n v="2.8"/>
    <n v="1.1000000000000001"/>
    <n v="0"/>
    <n v="2.7"/>
    <n v="2.9"/>
    <n v="3.4"/>
    <s v="No"/>
    <n v="1"/>
    <n v="0"/>
    <m/>
    <n v="0"/>
    <x v="0"/>
    <m/>
    <n v="1"/>
    <n v="0"/>
    <x v="1"/>
    <s v="3â€“5 years"/>
    <s v="Low"/>
    <n v="3"/>
    <s v="0.4166666666666667"/>
    <n v="0"/>
  </r>
  <r>
    <s v="EMP0031"/>
    <s v="Operations"/>
    <x v="3"/>
    <n v="4.0999999999999996"/>
    <s v="G4"/>
    <n v="31"/>
    <s v="Bachelor"/>
    <s v="Coimbatore"/>
    <n v="1"/>
    <n v="20.399999999999999"/>
    <n v="9"/>
    <n v="4"/>
    <n v="12"/>
    <n v="0"/>
    <s v="Band D"/>
    <n v="76800"/>
    <n v="7.1"/>
    <n v="2.6"/>
    <n v="0.2"/>
    <n v="0"/>
    <n v="3"/>
    <n v="2.4"/>
    <n v="3"/>
    <s v="Yes"/>
    <n v="0"/>
    <n v="0"/>
    <m/>
    <n v="0"/>
    <x v="1"/>
    <d v="2025-02-17T00:00:00"/>
    <n v="1"/>
    <n v="0"/>
    <x v="1"/>
    <s v="3â€“5 years"/>
    <s v="High"/>
    <s v="2.8000000000000003"/>
    <n v="8.3333333333333301E-2"/>
    <n v="1"/>
  </r>
  <r>
    <s v="EMP0032"/>
    <s v="Customer Support"/>
    <x v="5"/>
    <n v="1.4"/>
    <s v="G3"/>
    <n v="27"/>
    <s v="Bachelor"/>
    <s v="Coimbatore"/>
    <n v="4"/>
    <n v="6.2"/>
    <n v="14"/>
    <n v="1"/>
    <n v="12"/>
    <n v="0"/>
    <s v="Band C"/>
    <n v="55700"/>
    <n v="8.5"/>
    <n v="3.9"/>
    <n v="1.1000000000000001"/>
    <n v="0"/>
    <n v="3.5"/>
    <n v="2.1"/>
    <n v="3.3"/>
    <s v="Yes"/>
    <n v="0"/>
    <n v="0"/>
    <m/>
    <n v="0"/>
    <x v="0"/>
    <m/>
    <n v="1"/>
    <n v="0"/>
    <x v="1"/>
    <s v="1â€“3 years"/>
    <s v="Low"/>
    <s v="2.9666666666666663"/>
    <s v="0.3333333333333333"/>
    <n v="0"/>
  </r>
  <r>
    <s v="EMP0033"/>
    <s v="Sales"/>
    <x v="13"/>
    <n v="2.2999999999999998"/>
    <s v="G3"/>
    <n v="29"/>
    <s v="Bachelor"/>
    <s v="Coimbatore"/>
    <n v="2"/>
    <n v="5.9"/>
    <n v="13"/>
    <n v="4"/>
    <n v="12"/>
    <n v="0"/>
    <s v="Band B"/>
    <n v="37400"/>
    <n v="4.7"/>
    <n v="3"/>
    <n v="0.4"/>
    <n v="0"/>
    <n v="3.7"/>
    <n v="3.1"/>
    <n v="3.8"/>
    <s v="Yes"/>
    <n v="0"/>
    <n v="0"/>
    <m/>
    <n v="0"/>
    <x v="1"/>
    <d v="2026-04-13T00:00:00"/>
    <n v="1"/>
    <n v="0"/>
    <x v="1"/>
    <s v="1â€“3 years"/>
    <s v="Low"/>
    <s v="3.5333333333333337"/>
    <s v="0.16666666666666666"/>
    <n v="1"/>
  </r>
  <r>
    <s v="EMP0034"/>
    <s v="Sales"/>
    <x v="14"/>
    <n v="4.2"/>
    <s v="G1"/>
    <n v="34"/>
    <s v="Master"/>
    <s v="Bengaluru"/>
    <n v="0"/>
    <n v="5.3"/>
    <n v="17"/>
    <n v="2"/>
    <n v="12"/>
    <n v="0"/>
    <s v="Band A"/>
    <n v="25300"/>
    <n v="8.6999999999999993"/>
    <n v="3.6"/>
    <n v="0.7"/>
    <n v="0"/>
    <n v="3.9"/>
    <n v="2.7"/>
    <n v="3.9"/>
    <s v="Yes"/>
    <n v="0"/>
    <n v="1"/>
    <n v="0.3"/>
    <n v="2"/>
    <x v="0"/>
    <m/>
    <n v="0"/>
    <n v="0"/>
    <x v="0"/>
    <s v="3â€“5 years"/>
    <s v="Low"/>
    <n v="3.5"/>
    <n v="0"/>
    <n v="0"/>
  </r>
  <r>
    <s v="EMP0035"/>
    <s v="Hr"/>
    <x v="15"/>
    <n v="0.9"/>
    <s v="G1"/>
    <n v="22"/>
    <s v="Master"/>
    <s v="Remote"/>
    <n v="6"/>
    <n v="4.9000000000000004"/>
    <n v="7"/>
    <n v="2"/>
    <n v="12"/>
    <n v="0"/>
    <s v="Band A"/>
    <n v="33000"/>
    <n v="3.6"/>
    <n v="4.9000000000000004"/>
    <n v="0.8"/>
    <n v="0"/>
    <n v="4"/>
    <n v="2.8"/>
    <n v="3.4"/>
    <s v="Yes"/>
    <n v="1"/>
    <n v="1"/>
    <n v="0.3"/>
    <n v="0"/>
    <x v="0"/>
    <m/>
    <n v="0"/>
    <n v="0"/>
    <x v="0"/>
    <s v="0â€“1 years"/>
    <s v="Low"/>
    <n v="3.4"/>
    <n v="0.5"/>
    <n v="0"/>
  </r>
  <r>
    <s v="EMP0036"/>
    <s v="Engineering"/>
    <x v="4"/>
    <n v="3.2"/>
    <s v="G5"/>
    <n v="28"/>
    <s v="Bachelor"/>
    <s v="Hyderabad"/>
    <n v="0"/>
    <n v="5"/>
    <n v="5"/>
    <n v="1"/>
    <n v="12"/>
    <n v="0"/>
    <s v="Band D"/>
    <n v="94700"/>
    <n v="10.9"/>
    <n v="3.4"/>
    <n v="1.5"/>
    <n v="0"/>
    <n v="3.1"/>
    <n v="3.9"/>
    <n v="3.7"/>
    <s v="Yes"/>
    <n v="0"/>
    <n v="0"/>
    <m/>
    <n v="0"/>
    <x v="0"/>
    <m/>
    <n v="1"/>
    <n v="0"/>
    <x v="1"/>
    <s v="3â€“5 years"/>
    <s v="Low"/>
    <s v="3.5666666666666664"/>
    <n v="0"/>
    <n v="0"/>
  </r>
  <r>
    <s v="EMP0037"/>
    <s v="Engineering"/>
    <x v="12"/>
    <n v="3.7"/>
    <s v="G3"/>
    <n v="30"/>
    <s v="Master"/>
    <s v="Coimbatore"/>
    <n v="5"/>
    <n v="3"/>
    <n v="14"/>
    <n v="1"/>
    <n v="12"/>
    <n v="0"/>
    <s v="Band B"/>
    <n v="42300"/>
    <n v="10.9"/>
    <n v="5"/>
    <n v="1.6"/>
    <n v="0"/>
    <n v="5"/>
    <n v="3.4"/>
    <n v="3.7"/>
    <s v="No"/>
    <n v="0"/>
    <n v="1"/>
    <n v="2.8"/>
    <n v="0"/>
    <x v="0"/>
    <m/>
    <n v="0"/>
    <n v="0"/>
    <x v="0"/>
    <s v="3â€“5 years"/>
    <s v="Low"/>
    <s v="4.033333333333334"/>
    <s v="0.4166666666666667"/>
    <n v="0"/>
  </r>
  <r>
    <s v="EMP0038"/>
    <s v="Hr"/>
    <x v="1"/>
    <n v="1.2"/>
    <s v="G2"/>
    <n v="24"/>
    <s v="Bachelor"/>
    <s v="Chennai"/>
    <n v="3"/>
    <n v="11.7"/>
    <n v="8"/>
    <n v="4"/>
    <n v="12"/>
    <n v="0"/>
    <s v="Band B"/>
    <n v="39000"/>
    <n v="8"/>
    <n v="2.2000000000000002"/>
    <n v="1"/>
    <n v="0"/>
    <n v="4.5"/>
    <n v="2.8"/>
    <n v="3.3"/>
    <s v="Yes"/>
    <n v="0"/>
    <n v="0"/>
    <m/>
    <n v="0"/>
    <x v="0"/>
    <m/>
    <n v="1"/>
    <n v="0"/>
    <x v="1"/>
    <s v="1â€“3 years"/>
    <s v="Moderate"/>
    <s v="3.533333333333333"/>
    <n v="0.25"/>
    <n v="0"/>
  </r>
  <r>
    <s v="EMP0039"/>
    <s v="Engineering"/>
    <x v="4"/>
    <n v="7.3"/>
    <s v="G3"/>
    <n v="39"/>
    <s v="Diploma"/>
    <s v="Hyderabad"/>
    <n v="4"/>
    <n v="9.1999999999999993"/>
    <n v="7"/>
    <n v="1"/>
    <n v="12"/>
    <n v="0"/>
    <s v="Band C"/>
    <n v="60700"/>
    <n v="5.4"/>
    <n v="3.6"/>
    <n v="0.8"/>
    <n v="0"/>
    <n v="3"/>
    <n v="3.3"/>
    <n v="2.9"/>
    <s v="Yes"/>
    <n v="1"/>
    <n v="0"/>
    <m/>
    <n v="0"/>
    <x v="0"/>
    <m/>
    <n v="1"/>
    <n v="0"/>
    <x v="1"/>
    <s v="5+ years"/>
    <s v="Low"/>
    <s v="3.0666666666666664"/>
    <s v="0.3333333333333333"/>
    <n v="0"/>
  </r>
  <r>
    <s v="EMP0040"/>
    <s v="Operations"/>
    <x v="3"/>
    <n v="4.8"/>
    <s v="G1"/>
    <n v="34"/>
    <s v="Bachelor"/>
    <s v="Chennai"/>
    <n v="1"/>
    <n v="8.9"/>
    <n v="12"/>
    <n v="0"/>
    <n v="12"/>
    <n v="0"/>
    <s v="Band A"/>
    <n v="31000"/>
    <n v="9.1999999999999993"/>
    <n v="3.5"/>
    <n v="0.7"/>
    <n v="0"/>
    <n v="3.2"/>
    <n v="2.8"/>
    <n v="4"/>
    <s v="Yes"/>
    <n v="0"/>
    <n v="0"/>
    <m/>
    <n v="1"/>
    <x v="0"/>
    <m/>
    <n v="1"/>
    <n v="0"/>
    <x v="1"/>
    <s v="3â€“5 years"/>
    <s v="Low"/>
    <s v="3.3333333333333335"/>
    <n v="8.3333333333333301E-2"/>
    <n v="0"/>
  </r>
  <r>
    <s v="EMP0041"/>
    <s v="Hr"/>
    <x v="1"/>
    <n v="3.3"/>
    <s v="G4"/>
    <n v="30"/>
    <s v="Bachelor"/>
    <s v="Hyderabad"/>
    <n v="4"/>
    <n v="2.1"/>
    <n v="9"/>
    <n v="1"/>
    <n v="12"/>
    <n v="0"/>
    <s v="Band C"/>
    <n v="70100"/>
    <n v="4.4000000000000004"/>
    <n v="2.2999999999999998"/>
    <n v="0.1"/>
    <n v="0"/>
    <n v="3"/>
    <n v="3"/>
    <n v="3.6"/>
    <s v="Yes"/>
    <n v="0"/>
    <n v="0"/>
    <m/>
    <n v="2"/>
    <x v="0"/>
    <m/>
    <n v="1"/>
    <n v="0"/>
    <x v="1"/>
    <s v="3â€“5 years"/>
    <s v="Low"/>
    <s v="3.1999999999999997"/>
    <s v="0.3333333333333333"/>
    <n v="0"/>
  </r>
  <r>
    <s v="EMP0042"/>
    <s v="Customer Support"/>
    <x v="9"/>
    <n v="2.1"/>
    <s v="G1"/>
    <n v="35"/>
    <s v="Bachelor"/>
    <s v="Chennai"/>
    <n v="1"/>
    <n v="13.8"/>
    <n v="14"/>
    <n v="5"/>
    <n v="12"/>
    <n v="0"/>
    <s v="Band A"/>
    <n v="31900"/>
    <n v="8.1"/>
    <n v="3.9"/>
    <n v="3.2"/>
    <n v="0"/>
    <n v="3.6"/>
    <n v="3.7"/>
    <n v="1.7"/>
    <s v="Yes"/>
    <n v="0"/>
    <n v="0"/>
    <m/>
    <n v="0"/>
    <x v="0"/>
    <m/>
    <n v="1"/>
    <n v="0"/>
    <x v="1"/>
    <s v="1â€“3 years"/>
    <s v="Moderate"/>
    <n v="3"/>
    <n v="8.3333333333333301E-2"/>
    <n v="0"/>
  </r>
  <r>
    <s v="EMP0043"/>
    <s v="Operations"/>
    <x v="0"/>
    <n v="0.8"/>
    <s v="G4"/>
    <n v="21"/>
    <s v="Master"/>
    <s v="Bengaluru"/>
    <n v="3"/>
    <n v="14.8"/>
    <n v="15"/>
    <n v="3"/>
    <n v="12"/>
    <n v="0"/>
    <s v="Band C"/>
    <n v="64100"/>
    <n v="7.4"/>
    <n v="4.5999999999999996"/>
    <n v="0.5"/>
    <n v="0"/>
    <n v="2.4"/>
    <n v="2.2999999999999998"/>
    <n v="2.7"/>
    <s v="No"/>
    <n v="0"/>
    <n v="1"/>
    <n v="0.6"/>
    <n v="0"/>
    <x v="0"/>
    <m/>
    <n v="0"/>
    <n v="0"/>
    <x v="0"/>
    <s v="0â€“1 years"/>
    <s v="Moderate"/>
    <s v="2.4666666666666663"/>
    <n v="0.25"/>
    <n v="0"/>
  </r>
  <r>
    <s v="EMP0044"/>
    <s v="Sales"/>
    <x v="14"/>
    <n v="6.9"/>
    <s v="G3"/>
    <n v="33"/>
    <s v="Bachelor"/>
    <s v="Hyderabad"/>
    <n v="1"/>
    <n v="28.8"/>
    <n v="14"/>
    <n v="1"/>
    <n v="12"/>
    <n v="0"/>
    <s v="Band C"/>
    <n v="59400"/>
    <n v="18.5"/>
    <n v="5"/>
    <n v="1.3"/>
    <n v="0"/>
    <n v="2.6"/>
    <n v="4.5"/>
    <n v="3"/>
    <s v="Yes"/>
    <n v="0"/>
    <n v="1"/>
    <n v="0.4"/>
    <n v="0"/>
    <x v="0"/>
    <m/>
    <n v="0"/>
    <n v="0"/>
    <x v="0"/>
    <s v="5+ years"/>
    <s v="High"/>
    <s v="3.3666666666666667"/>
    <n v="8.3333333333333301E-2"/>
    <n v="0"/>
  </r>
  <r>
    <s v="EMP0045"/>
    <s v="Customer Support"/>
    <x v="5"/>
    <n v="2.6"/>
    <s v="G2"/>
    <n v="30"/>
    <s v="Master"/>
    <s v="Coimbatore"/>
    <n v="4"/>
    <n v="14.3"/>
    <n v="10"/>
    <n v="4"/>
    <n v="12"/>
    <n v="0"/>
    <s v="Band B"/>
    <n v="39000"/>
    <n v="3.1"/>
    <n v="3.6"/>
    <n v="0.3"/>
    <n v="0"/>
    <n v="1.3"/>
    <n v="3.7"/>
    <n v="3.2"/>
    <s v="Yes"/>
    <n v="0"/>
    <n v="0"/>
    <m/>
    <n v="0"/>
    <x v="0"/>
    <m/>
    <n v="1"/>
    <n v="0"/>
    <x v="1"/>
    <s v="1â€“3 years"/>
    <s v="Moderate"/>
    <s v="2.733333333333333"/>
    <s v="0.3333333333333333"/>
    <n v="0"/>
  </r>
  <r>
    <s v="EMP0046"/>
    <s v="Operations"/>
    <x v="0"/>
    <n v="1.1000000000000001"/>
    <s v="G1"/>
    <n v="23"/>
    <s v="Bachelor"/>
    <s v="Chennai"/>
    <n v="1"/>
    <n v="32.799999999999997"/>
    <n v="10"/>
    <n v="0"/>
    <n v="12"/>
    <n v="0"/>
    <s v="Band A"/>
    <n v="27600"/>
    <n v="0"/>
    <n v="1.5"/>
    <n v="2.2000000000000002"/>
    <n v="0"/>
    <n v="2.9"/>
    <n v="1"/>
    <n v="4.4000000000000004"/>
    <s v="Yes"/>
    <n v="0"/>
    <n v="2"/>
    <n v="0.3"/>
    <n v="0"/>
    <x v="1"/>
    <d v="2026-09-26T00:00:00"/>
    <n v="0"/>
    <n v="0"/>
    <x v="0"/>
    <s v="1â€“3 years"/>
    <s v="High"/>
    <s v="2.766666666666667"/>
    <n v="8.3333333333333301E-2"/>
    <n v="1"/>
  </r>
  <r>
    <s v="EMP0047"/>
    <s v="Sales"/>
    <x v="8"/>
    <n v="2.1"/>
    <s v="G4"/>
    <n v="29"/>
    <s v="Master"/>
    <s v="Hyderabad"/>
    <n v="2"/>
    <n v="5.7"/>
    <n v="11"/>
    <n v="4"/>
    <n v="12"/>
    <n v="0"/>
    <s v="Band C"/>
    <n v="66900"/>
    <n v="5.4"/>
    <n v="3.6"/>
    <n v="1.3"/>
    <n v="0"/>
    <n v="4.3"/>
    <n v="3.3"/>
    <n v="5"/>
    <s v="Yes"/>
    <n v="0"/>
    <n v="1"/>
    <n v="1"/>
    <n v="0"/>
    <x v="0"/>
    <m/>
    <n v="0"/>
    <n v="0"/>
    <x v="0"/>
    <s v="1â€“3 years"/>
    <s v="Low"/>
    <n v="4.2"/>
    <s v="0.16666666666666666"/>
    <n v="0"/>
  </r>
  <r>
    <s v="EMP0048"/>
    <s v="Sales"/>
    <x v="8"/>
    <n v="5.0999999999999996"/>
    <s v="G1"/>
    <n v="27"/>
    <s v="Bachelor"/>
    <s v="Coimbatore"/>
    <n v="0"/>
    <n v="29.9"/>
    <n v="12"/>
    <n v="2"/>
    <n v="12"/>
    <n v="0"/>
    <s v="Band A"/>
    <n v="28100"/>
    <n v="1.1000000000000001"/>
    <n v="3.9"/>
    <n v="1.7"/>
    <n v="0"/>
    <n v="3.2"/>
    <n v="4.0999999999999996"/>
    <n v="1.4"/>
    <s v="Yes"/>
    <n v="0"/>
    <n v="1"/>
    <n v="5"/>
    <n v="0"/>
    <x v="0"/>
    <m/>
    <n v="0"/>
    <n v="0"/>
    <x v="0"/>
    <s v="5+ years"/>
    <s v="High"/>
    <n v="2.9"/>
    <n v="0"/>
    <n v="0"/>
  </r>
  <r>
    <s v="EMP0049"/>
    <s v="Operations"/>
    <x v="0"/>
    <n v="4.4000000000000004"/>
    <s v="G1"/>
    <n v="33"/>
    <s v="Master"/>
    <s v="Chennai"/>
    <n v="3"/>
    <n v="14.6"/>
    <n v="8"/>
    <n v="2"/>
    <n v="12"/>
    <n v="0"/>
    <s v="Band A"/>
    <n v="29100"/>
    <n v="5.0999999999999996"/>
    <n v="3"/>
    <n v="0.3"/>
    <n v="0"/>
    <n v="3.2"/>
    <n v="3.5"/>
    <n v="3.6"/>
    <s v="Yes"/>
    <n v="0"/>
    <n v="0"/>
    <m/>
    <n v="0"/>
    <x v="0"/>
    <m/>
    <n v="1"/>
    <n v="0"/>
    <x v="1"/>
    <s v="3â€“5 years"/>
    <s v="Moderate"/>
    <s v="3.4333333333333336"/>
    <n v="0.25"/>
    <n v="0"/>
  </r>
  <r>
    <s v="EMP0050"/>
    <s v="Engineering"/>
    <x v="12"/>
    <n v="1.5"/>
    <s v="G3"/>
    <n v="32"/>
    <s v="Bachelor"/>
    <s v="Coimbatore"/>
    <n v="3"/>
    <n v="13.3"/>
    <n v="9"/>
    <n v="1"/>
    <n v="12"/>
    <n v="0"/>
    <s v="Band C"/>
    <n v="50200"/>
    <n v="2.8"/>
    <n v="3.4"/>
    <n v="1.8"/>
    <n v="0"/>
    <n v="3.6"/>
    <n v="2.8"/>
    <n v="3.5"/>
    <s v="Yes"/>
    <n v="0"/>
    <n v="0"/>
    <m/>
    <n v="2"/>
    <x v="0"/>
    <m/>
    <n v="1"/>
    <n v="0"/>
    <x v="1"/>
    <s v="1â€“3 years"/>
    <s v="Moderate"/>
    <s v="3.3000000000000003"/>
    <n v="0.25"/>
    <n v="0"/>
  </r>
  <r>
    <s v="EMP0051"/>
    <s v="Engineering"/>
    <x v="16"/>
    <n v="7.8"/>
    <s v="G2"/>
    <n v="35"/>
    <s v="Bachelor"/>
    <s v="Coimbatore"/>
    <n v="3"/>
    <n v="8.6999999999999993"/>
    <n v="9"/>
    <n v="3"/>
    <n v="12"/>
    <n v="0"/>
    <s v="Band B"/>
    <n v="44900"/>
    <n v="4.4000000000000004"/>
    <n v="2.8"/>
    <n v="0.1"/>
    <n v="0"/>
    <n v="2.4"/>
    <n v="3.1"/>
    <n v="3.3"/>
    <s v="Yes"/>
    <n v="0"/>
    <n v="0"/>
    <m/>
    <n v="0"/>
    <x v="0"/>
    <m/>
    <n v="1"/>
    <n v="0"/>
    <x v="1"/>
    <s v="5+ years"/>
    <s v="Low"/>
    <s v="2.9333333333333336"/>
    <n v="0.25"/>
    <n v="0"/>
  </r>
  <r>
    <s v="EMP0052"/>
    <s v="Engineering"/>
    <x v="10"/>
    <n v="1"/>
    <s v="G2"/>
    <n v="21"/>
    <s v="Bachelor"/>
    <s v="Bengaluru"/>
    <n v="2"/>
    <n v="7.3"/>
    <n v="6"/>
    <n v="2"/>
    <n v="12"/>
    <n v="0"/>
    <s v="Band B"/>
    <n v="35600"/>
    <n v="3.7"/>
    <n v="3.1"/>
    <n v="0.6"/>
    <n v="0"/>
    <n v="3.3"/>
    <n v="3.4"/>
    <n v="3.8"/>
    <s v="Yes"/>
    <n v="0"/>
    <n v="0"/>
    <m/>
    <n v="0"/>
    <x v="0"/>
    <m/>
    <n v="1"/>
    <n v="0"/>
    <x v="1"/>
    <s v="0â€“1 years"/>
    <s v="Low"/>
    <n v="3.5"/>
    <s v="0.16666666666666666"/>
    <n v="0"/>
  </r>
  <r>
    <s v="EMP0053"/>
    <s v="Operations"/>
    <x v="3"/>
    <n v="8.8000000000000007"/>
    <s v="G2"/>
    <n v="31"/>
    <s v="Master"/>
    <s v="Chennai"/>
    <n v="3"/>
    <n v="6.1"/>
    <n v="5"/>
    <n v="0"/>
    <n v="12"/>
    <n v="0"/>
    <s v="Band B"/>
    <n v="49800"/>
    <n v="11.9"/>
    <n v="4.0999999999999996"/>
    <n v="0.3"/>
    <n v="0"/>
    <n v="4.0999999999999996"/>
    <n v="3.9"/>
    <n v="3.5"/>
    <s v="Yes"/>
    <n v="0"/>
    <n v="1"/>
    <n v="4.5999999999999996"/>
    <n v="0"/>
    <x v="0"/>
    <m/>
    <n v="0"/>
    <n v="0"/>
    <x v="0"/>
    <s v="5+ years"/>
    <s v="Low"/>
    <s v="3.8333333333333335"/>
    <n v="0.25"/>
    <n v="0"/>
  </r>
  <r>
    <s v="EMP0054"/>
    <s v="Operations"/>
    <x v="0"/>
    <n v="4.3"/>
    <s v="G4"/>
    <n v="33"/>
    <s v="Bachelor"/>
    <s v="Coimbatore"/>
    <n v="2"/>
    <n v="30.5"/>
    <n v="3"/>
    <n v="0"/>
    <n v="12"/>
    <n v="0"/>
    <s v="Band C"/>
    <n v="67400"/>
    <n v="7.8"/>
    <n v="4.5"/>
    <n v="1.3"/>
    <n v="0"/>
    <n v="3.6"/>
    <n v="1.9"/>
    <n v="3.1"/>
    <s v="Yes"/>
    <n v="0"/>
    <n v="0"/>
    <m/>
    <n v="1"/>
    <x v="0"/>
    <m/>
    <n v="1"/>
    <n v="0"/>
    <x v="1"/>
    <s v="3â€“5 years"/>
    <s v="High"/>
    <s v="2.8666666666666667"/>
    <s v="0.16666666666666666"/>
    <n v="0"/>
  </r>
  <r>
    <s v="EMP0055"/>
    <s v="Operations"/>
    <x v="0"/>
    <n v="2.8"/>
    <s v="G2"/>
    <n v="29"/>
    <s v="Bachelor"/>
    <s v="Hyderabad"/>
    <n v="3"/>
    <n v="8.5"/>
    <n v="12"/>
    <n v="1"/>
    <n v="12"/>
    <n v="0"/>
    <s v="Band B"/>
    <n v="42700"/>
    <n v="12.3"/>
    <n v="2.1"/>
    <n v="3.4"/>
    <n v="0"/>
    <n v="3.3"/>
    <n v="2.7"/>
    <n v="3.4"/>
    <s v="Yes"/>
    <n v="1"/>
    <n v="0"/>
    <m/>
    <n v="0"/>
    <x v="0"/>
    <m/>
    <n v="1"/>
    <n v="0"/>
    <x v="1"/>
    <s v="1â€“3 years"/>
    <s v="Low"/>
    <s v="3.1333333333333333"/>
    <n v="0.25"/>
    <n v="0"/>
  </r>
  <r>
    <s v="EMP0056"/>
    <s v="Operations"/>
    <x v="3"/>
    <n v="3.1"/>
    <s v="G1"/>
    <n v="21"/>
    <s v="Master"/>
    <s v="Chennai"/>
    <n v="7"/>
    <n v="14.8"/>
    <n v="15"/>
    <n v="2"/>
    <n v="12"/>
    <n v="0"/>
    <s v="Band A"/>
    <n v="31800"/>
    <n v="8.1999999999999993"/>
    <n v="2.7"/>
    <n v="2"/>
    <n v="0"/>
    <n v="4.4000000000000004"/>
    <n v="4.7"/>
    <n v="3.8"/>
    <s v="Yes"/>
    <n v="0"/>
    <n v="0"/>
    <m/>
    <n v="1"/>
    <x v="0"/>
    <m/>
    <n v="1"/>
    <n v="0"/>
    <x v="1"/>
    <s v="3â€“5 years"/>
    <s v="Moderate"/>
    <s v="4.300000000000001"/>
    <s v="0.5833333333333334"/>
    <n v="0"/>
  </r>
  <r>
    <s v="EMP0057"/>
    <s v="Hr"/>
    <x v="15"/>
    <n v="4"/>
    <s v="G2"/>
    <n v="35"/>
    <s v="Bachelor"/>
    <s v="Coimbatore"/>
    <n v="3"/>
    <n v="17.2"/>
    <n v="10"/>
    <n v="1"/>
    <n v="12"/>
    <n v="0"/>
    <s v="Band B"/>
    <n v="39900"/>
    <n v="11.7"/>
    <n v="1.8"/>
    <n v="4"/>
    <n v="0"/>
    <n v="3.9"/>
    <n v="3.2"/>
    <n v="3.8"/>
    <s v="Yes"/>
    <n v="0"/>
    <n v="2"/>
    <n v="3.2"/>
    <n v="1"/>
    <x v="0"/>
    <m/>
    <n v="0"/>
    <n v="0"/>
    <x v="0"/>
    <s v="3â€“5 years"/>
    <s v="Moderate"/>
    <s v="3.633333333333333"/>
    <n v="0.25"/>
    <n v="0"/>
  </r>
  <r>
    <s v="EMP0058"/>
    <s v="Finance"/>
    <x v="17"/>
    <n v="5.4"/>
    <s v="G1"/>
    <n v="32"/>
    <s v="Master"/>
    <s v="Bengaluru"/>
    <n v="5"/>
    <n v="17.100000000000001"/>
    <n v="11"/>
    <n v="2"/>
    <n v="12"/>
    <n v="0"/>
    <s v="Band A"/>
    <n v="29700"/>
    <n v="6.8"/>
    <n v="4.9000000000000004"/>
    <n v="1.3"/>
    <n v="0"/>
    <n v="2.7"/>
    <n v="4.5999999999999996"/>
    <n v="3.6"/>
    <s v="Yes"/>
    <n v="0"/>
    <n v="0"/>
    <m/>
    <n v="0"/>
    <x v="0"/>
    <m/>
    <n v="1"/>
    <n v="0"/>
    <x v="1"/>
    <s v="5+ years"/>
    <s v="Moderate"/>
    <s v="3.6333333333333333"/>
    <s v="0.4166666666666667"/>
    <n v="0"/>
  </r>
  <r>
    <s v="EMP0059"/>
    <s v="Engineering"/>
    <x v="10"/>
    <n v="0.7"/>
    <s v="G2"/>
    <n v="23"/>
    <s v="Bachelor"/>
    <s v="Hyderabad"/>
    <n v="3"/>
    <n v="11.7"/>
    <n v="6"/>
    <n v="5"/>
    <n v="12"/>
    <n v="0"/>
    <s v="Band A"/>
    <n v="34700"/>
    <n v="14.4"/>
    <n v="4"/>
    <n v="2.2999999999999998"/>
    <n v="0"/>
    <n v="3"/>
    <n v="5"/>
    <n v="2.9"/>
    <s v="Yes"/>
    <n v="0"/>
    <n v="0"/>
    <m/>
    <n v="1"/>
    <x v="0"/>
    <m/>
    <n v="1"/>
    <n v="0"/>
    <x v="1"/>
    <s v="0â€“1 years"/>
    <s v="Moderate"/>
    <s v="3.6333333333333333"/>
    <n v="0.25"/>
    <n v="0"/>
  </r>
  <r>
    <s v="EMP0060"/>
    <s v="Engineering"/>
    <x v="10"/>
    <n v="2"/>
    <s v="G1"/>
    <n v="32"/>
    <s v="Bachelor"/>
    <s v="Bengaluru"/>
    <n v="3"/>
    <n v="29.5"/>
    <n v="13"/>
    <n v="4"/>
    <n v="12"/>
    <n v="0"/>
    <s v="Band A"/>
    <n v="26300"/>
    <n v="9.9"/>
    <n v="1.4"/>
    <n v="2.9"/>
    <n v="0"/>
    <n v="5"/>
    <n v="2.8"/>
    <n v="5"/>
    <s v="Yes"/>
    <n v="0"/>
    <n v="1"/>
    <n v="2"/>
    <n v="0"/>
    <x v="0"/>
    <m/>
    <n v="0"/>
    <n v="0"/>
    <x v="0"/>
    <s v="1â€“3 years"/>
    <s v="High"/>
    <s v="4.266666666666667"/>
    <n v="0.25"/>
    <n v="0"/>
  </r>
  <r>
    <s v="EMP0061"/>
    <s v="Operations"/>
    <x v="0"/>
    <n v="3.9"/>
    <s v="G1"/>
    <n v="27"/>
    <s v="Bachelor"/>
    <s v="Hyderabad"/>
    <n v="4"/>
    <n v="14"/>
    <n v="4"/>
    <n v="2"/>
    <n v="12"/>
    <n v="0"/>
    <s v="Band A"/>
    <n v="29600"/>
    <n v="4.9000000000000004"/>
    <n v="3.1"/>
    <n v="2.9"/>
    <n v="0"/>
    <n v="3.6"/>
    <n v="2.1"/>
    <n v="3.7"/>
    <s v="Yes"/>
    <n v="0"/>
    <n v="0"/>
    <m/>
    <n v="0"/>
    <x v="0"/>
    <m/>
    <n v="1"/>
    <n v="0"/>
    <x v="1"/>
    <s v="3â€“5 years"/>
    <s v="Moderate"/>
    <s v="3.1333333333333333"/>
    <s v="0.3333333333333333"/>
    <n v="0"/>
  </r>
  <r>
    <s v="EMP0062"/>
    <s v="Hr"/>
    <x v="7"/>
    <n v="8"/>
    <s v="G2"/>
    <n v="31"/>
    <s v="Bachelor"/>
    <s v="Chennai"/>
    <n v="3"/>
    <n v="5.9"/>
    <n v="9"/>
    <n v="1"/>
    <n v="12"/>
    <n v="0"/>
    <s v="Band B"/>
    <n v="41200"/>
    <n v="10.5"/>
    <n v="2.9"/>
    <n v="0.3"/>
    <n v="0"/>
    <n v="3.5"/>
    <n v="3"/>
    <n v="4"/>
    <s v="Yes"/>
    <n v="0"/>
    <n v="0"/>
    <m/>
    <n v="0"/>
    <x v="0"/>
    <m/>
    <n v="1"/>
    <n v="0"/>
    <x v="1"/>
    <s v="5+ years"/>
    <s v="Low"/>
    <n v="3.5"/>
    <n v="0.25"/>
    <n v="0"/>
  </r>
  <r>
    <s v="EMP0063"/>
    <s v="Finance"/>
    <x v="18"/>
    <n v="7.8"/>
    <s v="G4"/>
    <n v="35"/>
    <s v="Diploma"/>
    <s v="Chennai"/>
    <n v="2"/>
    <n v="7.5"/>
    <n v="5"/>
    <n v="2"/>
    <n v="12"/>
    <n v="0"/>
    <s v="Band D"/>
    <n v="86900"/>
    <n v="8.1"/>
    <n v="2.5"/>
    <n v="0.5"/>
    <n v="0"/>
    <n v="2.5"/>
    <n v="4.2"/>
    <n v="3"/>
    <s v="Yes"/>
    <n v="0"/>
    <n v="0"/>
    <m/>
    <n v="0"/>
    <x v="0"/>
    <m/>
    <n v="1"/>
    <n v="0"/>
    <x v="1"/>
    <s v="5+ years"/>
    <s v="Low"/>
    <s v="3.233333333333333"/>
    <s v="0.16666666666666666"/>
    <n v="0"/>
  </r>
  <r>
    <s v="EMP0064"/>
    <s v="Operations"/>
    <x v="0"/>
    <n v="10"/>
    <s v="G1"/>
    <n v="43"/>
    <s v="Diploma"/>
    <s v="Remote"/>
    <n v="4"/>
    <n v="2.2000000000000002"/>
    <n v="9"/>
    <n v="2"/>
    <n v="12"/>
    <n v="0"/>
    <s v="Band A"/>
    <n v="29600"/>
    <n v="7.2"/>
    <n v="4.0999999999999996"/>
    <n v="2.6"/>
    <n v="0"/>
    <n v="3.2"/>
    <n v="4.3"/>
    <n v="3.6"/>
    <s v="Yes"/>
    <n v="0"/>
    <n v="0"/>
    <m/>
    <n v="0"/>
    <x v="0"/>
    <m/>
    <n v="1"/>
    <n v="0"/>
    <x v="1"/>
    <s v="5+ years"/>
    <s v="Low"/>
    <s v="3.6999999999999997"/>
    <s v="0.3333333333333333"/>
    <n v="0"/>
  </r>
  <r>
    <s v="EMP0065"/>
    <s v="Operations"/>
    <x v="3"/>
    <n v="7.5"/>
    <s v="G1"/>
    <n v="40"/>
    <s v="Bachelor"/>
    <s v="Hyderabad"/>
    <n v="3"/>
    <n v="12.7"/>
    <n v="13"/>
    <n v="5"/>
    <n v="12"/>
    <n v="0"/>
    <s v="Band A"/>
    <n v="28900"/>
    <n v="8.4"/>
    <n v="4.0999999999999996"/>
    <n v="4"/>
    <n v="0"/>
    <n v="3.9"/>
    <n v="5"/>
    <n v="3.5"/>
    <s v="No"/>
    <n v="0"/>
    <n v="1"/>
    <n v="5.7"/>
    <n v="0"/>
    <x v="0"/>
    <m/>
    <n v="0"/>
    <n v="0"/>
    <x v="0"/>
    <s v="5+ years"/>
    <s v="Moderate"/>
    <s v="4.133333333333334"/>
    <n v="0.25"/>
    <n v="0"/>
  </r>
  <r>
    <s v="EMP0066"/>
    <s v="Finance"/>
    <x v="11"/>
    <n v="1.9"/>
    <s v="G4"/>
    <n v="29"/>
    <s v="Master"/>
    <s v="Coimbatore"/>
    <n v="4"/>
    <n v="15.7"/>
    <n v="9"/>
    <n v="3"/>
    <n v="12"/>
    <n v="0"/>
    <s v="Band C"/>
    <n v="56000"/>
    <n v="11"/>
    <n v="3.4"/>
    <n v="0.4"/>
    <n v="0"/>
    <n v="3.3"/>
    <n v="3.2"/>
    <n v="1.9"/>
    <s v="Yes"/>
    <n v="0"/>
    <n v="0"/>
    <m/>
    <n v="0"/>
    <x v="0"/>
    <m/>
    <n v="1"/>
    <n v="0"/>
    <x v="1"/>
    <s v="1â€“3 years"/>
    <s v="Moderate"/>
    <s v="2.8000000000000003"/>
    <s v="0.3333333333333333"/>
    <n v="0"/>
  </r>
  <r>
    <s v="EMP0067"/>
    <s v="Finance"/>
    <x v="17"/>
    <n v="3.7"/>
    <s v="G4"/>
    <n v="32"/>
    <s v="Master"/>
    <s v="Coimbatore"/>
    <n v="0"/>
    <n v="16.7"/>
    <n v="10"/>
    <n v="0"/>
    <n v="12"/>
    <n v="0"/>
    <s v="Band D"/>
    <n v="77300"/>
    <n v="0"/>
    <n v="2.6"/>
    <n v="0.5"/>
    <n v="0"/>
    <n v="2.8"/>
    <n v="3.6"/>
    <n v="2.8"/>
    <s v="Yes"/>
    <n v="0"/>
    <n v="0"/>
    <m/>
    <n v="0"/>
    <x v="0"/>
    <m/>
    <n v="1"/>
    <n v="0"/>
    <x v="1"/>
    <s v="3â€“5 years"/>
    <s v="Moderate"/>
    <s v="3.0666666666666664"/>
    <n v="0"/>
    <n v="0"/>
  </r>
  <r>
    <s v="EMP0068"/>
    <s v="Sales"/>
    <x v="14"/>
    <n v="7.6"/>
    <s v="G3"/>
    <n v="37"/>
    <s v="Bachelor"/>
    <s v="Coimbatore"/>
    <n v="4"/>
    <n v="14.6"/>
    <n v="10"/>
    <n v="2"/>
    <n v="12"/>
    <n v="0"/>
    <s v="Band C"/>
    <n v="60100"/>
    <n v="6.6"/>
    <n v="2.6"/>
    <n v="2"/>
    <n v="0"/>
    <n v="3"/>
    <n v="2.6"/>
    <n v="2.8"/>
    <s v="Yes"/>
    <n v="0"/>
    <n v="0"/>
    <m/>
    <n v="0"/>
    <x v="0"/>
    <m/>
    <n v="1"/>
    <n v="0"/>
    <x v="1"/>
    <s v="5+ years"/>
    <s v="Moderate"/>
    <s v="2.7999999999999994"/>
    <s v="0.3333333333333333"/>
    <n v="0"/>
  </r>
  <r>
    <s v="EMP0069"/>
    <s v="Engineering"/>
    <x v="10"/>
    <n v="7.1"/>
    <s v="G2"/>
    <n v="28"/>
    <s v="Diploma"/>
    <s v="Chennai"/>
    <n v="6"/>
    <n v="8.6999999999999993"/>
    <n v="4"/>
    <n v="2"/>
    <n v="12"/>
    <n v="0"/>
    <s v="Band B"/>
    <n v="45700"/>
    <n v="10.7"/>
    <n v="3.2"/>
    <n v="0.8"/>
    <n v="0"/>
    <n v="4.4000000000000004"/>
    <n v="1"/>
    <n v="2.9"/>
    <s v="Yes"/>
    <n v="0"/>
    <n v="4"/>
    <n v="1.5"/>
    <n v="1"/>
    <x v="0"/>
    <m/>
    <n v="0"/>
    <n v="0"/>
    <x v="0"/>
    <s v="5+ years"/>
    <s v="Low"/>
    <s v="2.766666666666667"/>
    <n v="0.5"/>
    <n v="0"/>
  </r>
  <r>
    <s v="EMP0070"/>
    <s v="Hr"/>
    <x v="7"/>
    <n v="3.2"/>
    <s v="G2"/>
    <n v="32"/>
    <s v="Bachelor"/>
    <s v="Hyderabad"/>
    <n v="3"/>
    <n v="92"/>
    <n v="9"/>
    <n v="2"/>
    <n v="12"/>
    <n v="1"/>
    <s v="Band B"/>
    <n v="43500"/>
    <n v="9"/>
    <n v="2.8"/>
    <n v="2.7"/>
    <n v="0"/>
    <n v="3.9"/>
    <n v="3.2"/>
    <n v="2.5"/>
    <s v="Yes"/>
    <n v="0"/>
    <n v="1"/>
    <m/>
    <n v="0"/>
    <x v="0"/>
    <m/>
    <n v="1"/>
    <n v="0"/>
    <x v="0"/>
    <s v="3â€“5 years"/>
    <s v="Extreme"/>
    <s v="3.1999999999999997"/>
    <n v="0.25"/>
    <n v="0"/>
  </r>
  <r>
    <s v="EMP0071"/>
    <s v="Engineering"/>
    <x v="16"/>
    <n v="5.3"/>
    <s v="G1"/>
    <n v="28"/>
    <s v="Master"/>
    <s v="Hyderabad"/>
    <n v="2"/>
    <n v="10.1"/>
    <n v="8"/>
    <n v="2"/>
    <n v="12"/>
    <n v="0"/>
    <s v="Band A"/>
    <n v="32200"/>
    <n v="3.5"/>
    <n v="3.2"/>
    <n v="2.2000000000000002"/>
    <n v="0"/>
    <n v="3.8"/>
    <n v="2.2000000000000002"/>
    <n v="3.4"/>
    <s v="Yes"/>
    <n v="0"/>
    <n v="1"/>
    <n v="2.7"/>
    <n v="0"/>
    <x v="0"/>
    <m/>
    <n v="0"/>
    <n v="0"/>
    <x v="0"/>
    <s v="5+ years"/>
    <s v="Moderate"/>
    <s v="3.1333333333333333"/>
    <s v="0.16666666666666666"/>
    <n v="0"/>
  </r>
  <r>
    <s v="EMP0072"/>
    <s v="Sales"/>
    <x v="8"/>
    <n v="2.6"/>
    <s v="G1"/>
    <n v="30"/>
    <s v="Master"/>
    <s v="Coimbatore"/>
    <n v="0"/>
    <n v="20.5"/>
    <n v="9"/>
    <n v="3"/>
    <n v="12"/>
    <n v="0"/>
    <s v="Band A"/>
    <n v="31100"/>
    <n v="0"/>
    <n v="3.7"/>
    <n v="3.1"/>
    <n v="0"/>
    <n v="3.7"/>
    <n v="3.8"/>
    <n v="4.5"/>
    <s v="Yes"/>
    <n v="0"/>
    <n v="1"/>
    <n v="0.8"/>
    <n v="0"/>
    <x v="0"/>
    <m/>
    <n v="0"/>
    <n v="0"/>
    <x v="0"/>
    <s v="1â€“3 years"/>
    <s v="High"/>
    <n v="4"/>
    <n v="0"/>
    <n v="0"/>
  </r>
  <r>
    <s v="EMP0073"/>
    <s v="Customer Support"/>
    <x v="2"/>
    <n v="1"/>
    <s v="G2"/>
    <n v="26"/>
    <s v="Bachelor"/>
    <s v="Chennai"/>
    <n v="2"/>
    <n v="1.3"/>
    <n v="11"/>
    <n v="0"/>
    <n v="12"/>
    <n v="0"/>
    <s v="Band B"/>
    <n v="40800"/>
    <n v="14.8"/>
    <n v="1.8"/>
    <n v="0.9"/>
    <n v="0"/>
    <n v="2.2000000000000002"/>
    <n v="1.5"/>
    <n v="3.5"/>
    <s v="Yes"/>
    <n v="0"/>
    <n v="1"/>
    <n v="0.7"/>
    <n v="0"/>
    <x v="1"/>
    <d v="2025-01-31T00:00:00"/>
    <n v="0"/>
    <n v="0"/>
    <x v="0"/>
    <s v="0â€“1 years"/>
    <s v="Low"/>
    <n v="2.4"/>
    <s v="0.16666666666666666"/>
    <n v="1"/>
  </r>
  <r>
    <s v="EMP0074"/>
    <s v="Engineering"/>
    <x v="10"/>
    <n v="3.4"/>
    <s v="G3"/>
    <n v="31"/>
    <s v="Bachelor"/>
    <s v="Chennai"/>
    <n v="2"/>
    <n v="6.9"/>
    <n v="10"/>
    <n v="1"/>
    <n v="12"/>
    <n v="0"/>
    <s v="Band C"/>
    <n v="58000"/>
    <n v="7.3"/>
    <n v="2.5"/>
    <n v="0.7"/>
    <n v="0"/>
    <n v="3.5"/>
    <n v="2.5"/>
    <n v="2.5"/>
    <s v="Yes"/>
    <n v="0"/>
    <n v="1"/>
    <n v="2.9"/>
    <n v="1"/>
    <x v="0"/>
    <m/>
    <n v="0"/>
    <n v="0"/>
    <x v="0"/>
    <s v="3â€“5 years"/>
    <s v="Low"/>
    <s v="2.8333333333333335"/>
    <s v="0.16666666666666666"/>
    <n v="0"/>
  </r>
  <r>
    <s v="EMP0075"/>
    <s v="Engineering"/>
    <x v="12"/>
    <n v="3.3"/>
    <s v="G2"/>
    <n v="30"/>
    <s v="Master"/>
    <s v="Chennai"/>
    <n v="3"/>
    <n v="4"/>
    <n v="7"/>
    <n v="1"/>
    <n v="12"/>
    <n v="0"/>
    <s v="Band A"/>
    <n v="30200"/>
    <n v="14.1"/>
    <n v="3.2"/>
    <n v="0.5"/>
    <n v="0"/>
    <n v="3.3"/>
    <n v="3.4"/>
    <n v="2.6"/>
    <s v="Yes"/>
    <n v="1"/>
    <n v="1"/>
    <n v="1.5"/>
    <n v="1"/>
    <x v="0"/>
    <m/>
    <n v="0"/>
    <n v="0"/>
    <x v="0"/>
    <s v="3â€“5 years"/>
    <s v="Low"/>
    <s v="3.0999999999999996"/>
    <n v="0.25"/>
    <n v="0"/>
  </r>
  <r>
    <s v="EMP0076"/>
    <s v="Sales"/>
    <x v="8"/>
    <n v="2.5"/>
    <s v="G3"/>
    <n v="21"/>
    <s v="Master"/>
    <s v="Bengaluru"/>
    <n v="3"/>
    <n v="37.799999999999997"/>
    <n v="6"/>
    <n v="0"/>
    <n v="12"/>
    <n v="0"/>
    <s v="Band B"/>
    <n v="45500"/>
    <n v="11.2"/>
    <n v="4.5999999999999996"/>
    <n v="3.9"/>
    <n v="0"/>
    <n v="3.1"/>
    <n v="3.5"/>
    <n v="3.1"/>
    <s v="No"/>
    <n v="0"/>
    <n v="2"/>
    <n v="0.5"/>
    <n v="2"/>
    <x v="0"/>
    <m/>
    <n v="0"/>
    <n v="0"/>
    <x v="0"/>
    <s v="1â€“3 years"/>
    <s v="High"/>
    <s v="3.233333333333333"/>
    <n v="0.25"/>
    <n v="0"/>
  </r>
  <r>
    <s v="EMP0077"/>
    <s v="Sales"/>
    <x v="8"/>
    <n v="5.4"/>
    <s v="G2"/>
    <n v="32"/>
    <s v="Diploma"/>
    <s v="Coimbatore"/>
    <n v="1"/>
    <n v="23.4"/>
    <n v="10"/>
    <n v="1"/>
    <n v="12"/>
    <n v="0"/>
    <s v="Band A"/>
    <n v="33900"/>
    <n v="4.8"/>
    <n v="4"/>
    <n v="0.3"/>
    <n v="0"/>
    <n v="4.2"/>
    <n v="3.2"/>
    <n v="2.2999999999999998"/>
    <s v="Yes"/>
    <n v="0"/>
    <n v="0"/>
    <m/>
    <n v="0"/>
    <x v="0"/>
    <m/>
    <n v="1"/>
    <n v="0"/>
    <x v="1"/>
    <s v="5+ years"/>
    <s v="High"/>
    <s v="3.233333333333333"/>
    <n v="8.3333333333333301E-2"/>
    <n v="0"/>
  </r>
  <r>
    <s v="EMP0078"/>
    <s v="Operations"/>
    <x v="3"/>
    <n v="3.1"/>
    <s v="G2"/>
    <n v="32"/>
    <s v="Master"/>
    <s v="Chennai"/>
    <n v="7"/>
    <n v="7.1"/>
    <n v="16"/>
    <n v="3"/>
    <n v="12"/>
    <n v="0"/>
    <s v="Band B"/>
    <n v="44500"/>
    <n v="0"/>
    <n v="3.2"/>
    <n v="0.2"/>
    <n v="0"/>
    <n v="3.8"/>
    <n v="4.9000000000000004"/>
    <n v="3.6"/>
    <s v="Yes"/>
    <n v="0"/>
    <n v="0"/>
    <m/>
    <n v="0"/>
    <x v="0"/>
    <m/>
    <n v="1"/>
    <n v="0"/>
    <x v="1"/>
    <s v="3â€“5 years"/>
    <s v="Low"/>
    <n v="4.0999999999999996"/>
    <s v="0.5833333333333334"/>
    <n v="0"/>
  </r>
  <r>
    <s v="EMP0079"/>
    <s v="Finance"/>
    <x v="18"/>
    <n v="4.9000000000000004"/>
    <s v="G4"/>
    <n v="33"/>
    <s v="Diploma"/>
    <s v="Bengaluru"/>
    <n v="2"/>
    <n v="2.7"/>
    <n v="11"/>
    <n v="2"/>
    <n v="12"/>
    <n v="0"/>
    <s v="Band C"/>
    <n v="66200"/>
    <n v="6.2"/>
    <n v="3.6"/>
    <n v="1.4"/>
    <n v="0"/>
    <n v="4"/>
    <n v="3.3"/>
    <n v="4.5"/>
    <s v="Yes"/>
    <n v="1"/>
    <n v="0"/>
    <m/>
    <n v="0"/>
    <x v="0"/>
    <m/>
    <n v="1"/>
    <n v="0"/>
    <x v="1"/>
    <s v="3â€“5 years"/>
    <s v="Low"/>
    <s v="3.9333333333333336"/>
    <s v="0.16666666666666666"/>
    <n v="0"/>
  </r>
  <r>
    <s v="EMP0080"/>
    <s v="Operations"/>
    <x v="6"/>
    <n v="6.2"/>
    <s v="G4"/>
    <n v="32"/>
    <s v="Diploma"/>
    <s v="Remote"/>
    <n v="2"/>
    <n v="3.6"/>
    <n v="11"/>
    <n v="0"/>
    <n v="12"/>
    <n v="0"/>
    <s v="Band C"/>
    <n v="68800"/>
    <n v="7.9"/>
    <n v="3.1"/>
    <n v="0.7"/>
    <n v="0"/>
    <n v="3.3"/>
    <n v="2.6"/>
    <n v="2.9"/>
    <s v="Yes"/>
    <n v="0"/>
    <n v="0"/>
    <m/>
    <n v="0"/>
    <x v="0"/>
    <m/>
    <n v="1"/>
    <n v="0"/>
    <x v="1"/>
    <s v="5+ years"/>
    <s v="Low"/>
    <s v="2.9333333333333336"/>
    <s v="0.16666666666666666"/>
    <n v="0"/>
  </r>
  <r>
    <s v="EMP0081"/>
    <s v="Operations"/>
    <x v="0"/>
    <n v="14.8"/>
    <s v="G2"/>
    <n v="47"/>
    <s v="Master"/>
    <s v="Chennai"/>
    <n v="2"/>
    <n v="20.3"/>
    <n v="13"/>
    <n v="1"/>
    <n v="12"/>
    <n v="0"/>
    <s v="Band B"/>
    <n v="45300"/>
    <n v="9.8000000000000007"/>
    <n v="4.2"/>
    <n v="2.9"/>
    <n v="0"/>
    <n v="4.0999999999999996"/>
    <n v="4.5999999999999996"/>
    <n v="3.5"/>
    <s v="Yes"/>
    <n v="0"/>
    <n v="2"/>
    <n v="1.8"/>
    <n v="0"/>
    <x v="0"/>
    <m/>
    <n v="0"/>
    <n v="0"/>
    <x v="0"/>
    <s v="5+ years"/>
    <s v="High"/>
    <s v="4.066666666666666"/>
    <s v="0.16666666666666666"/>
    <n v="0"/>
  </r>
  <r>
    <s v="EMP0082"/>
    <s v="Sales"/>
    <x v="13"/>
    <n v="3.5"/>
    <s v="G3"/>
    <n v="31"/>
    <s v="Bachelor"/>
    <s v="Coimbatore"/>
    <n v="4"/>
    <n v="2.1"/>
    <n v="4"/>
    <n v="2"/>
    <n v="12"/>
    <n v="0"/>
    <s v="Band B"/>
    <n v="45200"/>
    <n v="3.6"/>
    <n v="3.6"/>
    <n v="0.2"/>
    <n v="0"/>
    <n v="2"/>
    <n v="4.8"/>
    <n v="3.1"/>
    <s v="Yes"/>
    <n v="0"/>
    <n v="1"/>
    <n v="3.3"/>
    <n v="1"/>
    <x v="0"/>
    <m/>
    <n v="0"/>
    <n v="0"/>
    <x v="0"/>
    <s v="3â€“5 years"/>
    <s v="Low"/>
    <s v="3.3000000000000003"/>
    <s v="0.3333333333333333"/>
    <n v="0"/>
  </r>
  <r>
    <s v="EMP0083"/>
    <s v="Operations"/>
    <x v="6"/>
    <n v="8"/>
    <s v="G2"/>
    <n v="36"/>
    <s v="Bachelor"/>
    <s v="Coimbatore"/>
    <n v="1"/>
    <n v="10.199999999999999"/>
    <n v="6"/>
    <n v="2"/>
    <n v="12"/>
    <n v="0"/>
    <s v="Band B"/>
    <n v="43300"/>
    <n v="8.6999999999999993"/>
    <n v="4.4000000000000004"/>
    <n v="1"/>
    <n v="0"/>
    <n v="3.3"/>
    <n v="3.1"/>
    <n v="2.9"/>
    <s v="Yes"/>
    <n v="0"/>
    <n v="1"/>
    <n v="7.6"/>
    <n v="0"/>
    <x v="0"/>
    <m/>
    <n v="0"/>
    <n v="0"/>
    <x v="0"/>
    <s v="5+ years"/>
    <s v="Moderate"/>
    <n v="3.1"/>
    <n v="8.3333333333333301E-2"/>
    <n v="0"/>
  </r>
  <r>
    <s v="EMP0084"/>
    <s v="Engineering"/>
    <x v="12"/>
    <n v="4.4000000000000004"/>
    <s v="G1"/>
    <n v="35"/>
    <s v="Master"/>
    <s v="Chennai"/>
    <n v="3"/>
    <n v="18"/>
    <n v="14"/>
    <n v="1"/>
    <n v="12"/>
    <n v="0"/>
    <s v="Band A"/>
    <n v="21600"/>
    <n v="8.6999999999999993"/>
    <n v="2"/>
    <n v="0.1"/>
    <n v="0"/>
    <n v="3.9"/>
    <n v="3.2"/>
    <n v="3.6"/>
    <s v="Yes"/>
    <n v="0"/>
    <n v="1"/>
    <n v="2.2000000000000002"/>
    <n v="1"/>
    <x v="0"/>
    <m/>
    <n v="0"/>
    <n v="0"/>
    <x v="0"/>
    <s v="3â€“5 years"/>
    <s v="Moderate"/>
    <s v="3.5666666666666664"/>
    <n v="0.25"/>
    <n v="0"/>
  </r>
  <r>
    <s v="EMP0085"/>
    <s v="Engineering"/>
    <x v="16"/>
    <n v="4.5999999999999996"/>
    <s v="G3"/>
    <n v="32"/>
    <s v="Master"/>
    <s v="Coimbatore"/>
    <n v="2"/>
    <n v="3.2"/>
    <n v="6"/>
    <n v="3"/>
    <n v="12"/>
    <n v="0"/>
    <s v="Band B"/>
    <n v="46400"/>
    <n v="11.9"/>
    <n v="2.5"/>
    <n v="0.9"/>
    <n v="0"/>
    <n v="3.6"/>
    <n v="3.2"/>
    <n v="2.9"/>
    <s v="Yes"/>
    <n v="0"/>
    <n v="0"/>
    <m/>
    <n v="1"/>
    <x v="0"/>
    <m/>
    <n v="1"/>
    <n v="0"/>
    <x v="1"/>
    <s v="3â€“5 years"/>
    <s v="Low"/>
    <s v="3.233333333333334"/>
    <s v="0.16666666666666666"/>
    <n v="0"/>
  </r>
  <r>
    <s v="EMP0086"/>
    <s v="Engineering"/>
    <x v="12"/>
    <n v="3.5"/>
    <s v="G1"/>
    <n v="26"/>
    <s v="Diploma"/>
    <s v="Bengaluru"/>
    <n v="2"/>
    <n v="10.1"/>
    <n v="15"/>
    <n v="3"/>
    <n v="12"/>
    <n v="0"/>
    <s v="Band A"/>
    <n v="29300"/>
    <n v="6.8"/>
    <n v="3.4"/>
    <n v="1.4"/>
    <n v="0"/>
    <n v="4.3"/>
    <n v="2.6"/>
    <n v="2.8"/>
    <s v="Yes"/>
    <n v="0"/>
    <n v="0"/>
    <m/>
    <n v="0"/>
    <x v="0"/>
    <m/>
    <n v="1"/>
    <n v="0"/>
    <x v="1"/>
    <s v="3â€“5 years"/>
    <s v="Moderate"/>
    <s v="3.233333333333333"/>
    <s v="0.16666666666666666"/>
    <n v="0"/>
  </r>
  <r>
    <s v="EMP0087"/>
    <s v="Operations"/>
    <x v="0"/>
    <n v="4.0999999999999996"/>
    <s v="G2"/>
    <n v="21"/>
    <s v="Bachelor"/>
    <s v="Chennai"/>
    <n v="4"/>
    <n v="7.2"/>
    <n v="15"/>
    <n v="0"/>
    <n v="12"/>
    <n v="0"/>
    <s v="Band A"/>
    <n v="33400"/>
    <n v="9.8000000000000007"/>
    <n v="3.6"/>
    <n v="1.2"/>
    <n v="0"/>
    <n v="3.2"/>
    <n v="2.7"/>
    <n v="2.1"/>
    <s v="Yes"/>
    <n v="0"/>
    <n v="2"/>
    <m/>
    <n v="0"/>
    <x v="0"/>
    <m/>
    <n v="1"/>
    <n v="0"/>
    <x v="0"/>
    <s v="3â€“5 years"/>
    <s v="Low"/>
    <s v="2.6666666666666665"/>
    <s v="0.3333333333333333"/>
    <n v="0"/>
  </r>
  <r>
    <s v="EMP0088"/>
    <s v="Hr"/>
    <x v="7"/>
    <n v="3.1"/>
    <s v="G2"/>
    <n v="27"/>
    <s v="Master"/>
    <s v="Chennai"/>
    <n v="3"/>
    <n v="6.4"/>
    <n v="8"/>
    <n v="2"/>
    <n v="12"/>
    <n v="0"/>
    <s v="Band B"/>
    <n v="44600"/>
    <n v="9.1999999999999993"/>
    <n v="5"/>
    <n v="1.1000000000000001"/>
    <n v="0"/>
    <n v="2.8"/>
    <n v="4.4000000000000004"/>
    <n v="3.5"/>
    <s v="Yes"/>
    <n v="0"/>
    <n v="1"/>
    <n v="2.1"/>
    <n v="1"/>
    <x v="0"/>
    <m/>
    <n v="0"/>
    <n v="0"/>
    <x v="0"/>
    <s v="3â€“5 years"/>
    <s v="Low"/>
    <s v="3.5666666666666664"/>
    <n v="0.25"/>
    <n v="0"/>
  </r>
  <r>
    <s v="EMP0089"/>
    <s v="Engineering"/>
    <x v="10"/>
    <n v="7.1"/>
    <s v="G1"/>
    <n v="36"/>
    <s v="Bachelor"/>
    <s v="Hyderabad"/>
    <n v="2"/>
    <n v="5.5"/>
    <n v="11"/>
    <n v="1"/>
    <n v="12"/>
    <n v="0"/>
    <s v="Band A"/>
    <n v="30300"/>
    <n v="11.5"/>
    <n v="1.6"/>
    <n v="2.2000000000000002"/>
    <n v="0"/>
    <n v="1.8"/>
    <n v="3.6"/>
    <n v="4.3"/>
    <s v="Yes"/>
    <n v="0"/>
    <n v="2"/>
    <n v="6.9"/>
    <n v="1"/>
    <x v="0"/>
    <m/>
    <n v="0"/>
    <n v="0"/>
    <x v="0"/>
    <s v="5+ years"/>
    <s v="Low"/>
    <s v="3.233333333333333"/>
    <s v="0.16666666666666666"/>
    <n v="0"/>
  </r>
  <r>
    <s v="EMP0090"/>
    <s v="Finance"/>
    <x v="18"/>
    <n v="2.1"/>
    <s v="G1"/>
    <n v="27"/>
    <s v="Doctorate"/>
    <s v="Chennai"/>
    <n v="5"/>
    <n v="19.100000000000001"/>
    <n v="14"/>
    <n v="3"/>
    <n v="12"/>
    <n v="0"/>
    <s v="Band A"/>
    <n v="31900"/>
    <n v="4.7"/>
    <n v="3.2"/>
    <n v="0.4"/>
    <n v="0"/>
    <n v="3.1"/>
    <n v="2.7"/>
    <n v="4"/>
    <s v="No"/>
    <n v="0"/>
    <n v="0"/>
    <m/>
    <n v="0"/>
    <x v="0"/>
    <m/>
    <n v="1"/>
    <n v="0"/>
    <x v="1"/>
    <s v="1â€“3 years"/>
    <s v="Moderate"/>
    <s v="3.266666666666667"/>
    <s v="0.4166666666666667"/>
    <n v="0"/>
  </r>
  <r>
    <s v="EMP0091"/>
    <s v="Engineering"/>
    <x v="4"/>
    <n v="1"/>
    <s v="G2"/>
    <n v="30"/>
    <s v="Master"/>
    <s v="Bengaluru"/>
    <n v="6"/>
    <n v="26.9"/>
    <n v="8"/>
    <n v="1"/>
    <n v="12"/>
    <n v="0"/>
    <s v="Band B"/>
    <n v="39600"/>
    <n v="0"/>
    <n v="3.1"/>
    <n v="1.7"/>
    <n v="0"/>
    <n v="3.8"/>
    <n v="2.4"/>
    <n v="4.5999999999999996"/>
    <s v="Yes"/>
    <n v="0"/>
    <n v="0"/>
    <m/>
    <n v="0"/>
    <x v="1"/>
    <d v="2024-06-05T00:00:00"/>
    <n v="1"/>
    <n v="0"/>
    <x v="1"/>
    <s v="0â€“1 years"/>
    <s v="High"/>
    <s v="3.5999999999999996"/>
    <n v="0.5"/>
    <n v="1"/>
  </r>
  <r>
    <s v="EMP0092"/>
    <s v="Operations"/>
    <x v="6"/>
    <n v="2.4"/>
    <s v="G5"/>
    <n v="29"/>
    <s v="Diploma"/>
    <s v="Bengaluru"/>
    <n v="4"/>
    <n v="8.1999999999999993"/>
    <n v="8"/>
    <n v="3"/>
    <n v="12"/>
    <n v="0"/>
    <s v="Band D"/>
    <n v="95400"/>
    <n v="7.1"/>
    <n v="3.4"/>
    <n v="1"/>
    <n v="0"/>
    <n v="4"/>
    <n v="2.5"/>
    <n v="2.9"/>
    <s v="Yes"/>
    <n v="0"/>
    <n v="0"/>
    <m/>
    <n v="0"/>
    <x v="0"/>
    <m/>
    <n v="1"/>
    <n v="0"/>
    <x v="1"/>
    <s v="1â€“3 years"/>
    <s v="Low"/>
    <s v="3.1333333333333333"/>
    <s v="0.3333333333333333"/>
    <n v="0"/>
  </r>
  <r>
    <s v="EMP0093"/>
    <s v="Hr"/>
    <x v="15"/>
    <n v="2.2000000000000002"/>
    <s v="G3"/>
    <n v="33"/>
    <s v="Bachelor"/>
    <s v="Hyderabad"/>
    <n v="4"/>
    <n v="13.3"/>
    <n v="6"/>
    <n v="1"/>
    <n v="12"/>
    <n v="0"/>
    <s v="Band B"/>
    <n v="45900"/>
    <n v="7.1"/>
    <n v="4.8"/>
    <n v="0.9"/>
    <n v="0"/>
    <n v="2"/>
    <n v="3.1"/>
    <n v="4.0999999999999996"/>
    <s v="Yes"/>
    <n v="0"/>
    <n v="0"/>
    <m/>
    <n v="0"/>
    <x v="0"/>
    <m/>
    <n v="1"/>
    <n v="0"/>
    <x v="1"/>
    <s v="1â€“3 years"/>
    <s v="Moderate"/>
    <s v="3.0666666666666664"/>
    <s v="0.3333333333333333"/>
    <n v="0"/>
  </r>
  <r>
    <s v="EMP0094"/>
    <s v="Sales"/>
    <x v="13"/>
    <n v="2.4"/>
    <s v="G2"/>
    <n v="27"/>
    <s v="Master"/>
    <s v="Bengaluru"/>
    <n v="0"/>
    <n v="10.3"/>
    <n v="13"/>
    <n v="4"/>
    <n v="12"/>
    <n v="0"/>
    <s v="Band B"/>
    <n v="42500"/>
    <n v="3.4"/>
    <n v="4"/>
    <n v="1.9"/>
    <n v="0"/>
    <n v="4.4000000000000004"/>
    <n v="4"/>
    <n v="2.5"/>
    <s v="Yes"/>
    <n v="0"/>
    <n v="2"/>
    <n v="0.4"/>
    <n v="0"/>
    <x v="0"/>
    <m/>
    <n v="0"/>
    <n v="0"/>
    <x v="0"/>
    <s v="1â€“3 years"/>
    <s v="Moderate"/>
    <s v="3.6333333333333333"/>
    <n v="0"/>
    <n v="0"/>
  </r>
  <r>
    <s v="EMP0095"/>
    <s v="Sales"/>
    <x v="13"/>
    <n v="3.4"/>
    <s v="G1"/>
    <n v="31"/>
    <s v="Doctorate"/>
    <s v="Hyderabad"/>
    <n v="3"/>
    <n v="1.6"/>
    <n v="10"/>
    <n v="0"/>
    <n v="12"/>
    <n v="0"/>
    <s v="Band A"/>
    <n v="30100"/>
    <n v="2"/>
    <n v="1.8"/>
    <n v="1.5"/>
    <n v="0"/>
    <n v="2.4"/>
    <n v="2.4"/>
    <n v="4"/>
    <s v="Yes"/>
    <n v="0"/>
    <n v="2"/>
    <n v="1"/>
    <n v="0"/>
    <x v="0"/>
    <m/>
    <n v="0"/>
    <n v="0"/>
    <x v="0"/>
    <s v="3â€“5 years"/>
    <s v="Low"/>
    <s v="2.9333333333333336"/>
    <n v="0.25"/>
    <n v="0"/>
  </r>
  <r>
    <s v="EMP0096"/>
    <s v="Operations"/>
    <x v="0"/>
    <n v="2.5"/>
    <s v="G3"/>
    <n v="31"/>
    <s v="Diploma"/>
    <s v="Bengaluru"/>
    <n v="0"/>
    <n v="7.9"/>
    <n v="8"/>
    <n v="3"/>
    <n v="12"/>
    <n v="0"/>
    <s v="Band C"/>
    <n v="65500"/>
    <n v="5.7"/>
    <n v="4.5999999999999996"/>
    <n v="1.8"/>
    <n v="0"/>
    <n v="3.2"/>
    <n v="4"/>
    <n v="4.7"/>
    <s v="No"/>
    <n v="0"/>
    <n v="2"/>
    <n v="1.7"/>
    <n v="0"/>
    <x v="0"/>
    <m/>
    <n v="0"/>
    <n v="0"/>
    <x v="0"/>
    <s v="1â€“3 years"/>
    <s v="Low"/>
    <s v="3.966666666666667"/>
    <n v="0"/>
    <n v="0"/>
  </r>
  <r>
    <s v="EMP0097"/>
    <s v="Sales"/>
    <x v="14"/>
    <n v="3.3"/>
    <s v="G1"/>
    <n v="35"/>
    <s v="Diploma"/>
    <s v="Coimbatore"/>
    <n v="6"/>
    <n v="1.2"/>
    <n v="9"/>
    <n v="2"/>
    <n v="12"/>
    <n v="0"/>
    <s v="Band A"/>
    <n v="31400"/>
    <n v="7.5"/>
    <n v="4.5999999999999996"/>
    <n v="5.3"/>
    <n v="0"/>
    <n v="2.8"/>
    <n v="3.4"/>
    <n v="3.8"/>
    <s v="Yes"/>
    <n v="0"/>
    <n v="1"/>
    <n v="1.6"/>
    <n v="1"/>
    <x v="0"/>
    <m/>
    <n v="0"/>
    <n v="0"/>
    <x v="0"/>
    <s v="3â€“5 years"/>
    <s v="Low"/>
    <s v="3.3333333333333335"/>
    <n v="0.5"/>
    <n v="0"/>
  </r>
  <r>
    <s v="EMP0098"/>
    <s v="Engineering"/>
    <x v="4"/>
    <n v="2.5"/>
    <s v="G3"/>
    <n v="22"/>
    <s v="Master"/>
    <s v="Coimbatore"/>
    <n v="4"/>
    <n v="6.7"/>
    <n v="8"/>
    <n v="1"/>
    <n v="12"/>
    <n v="0"/>
    <s v="Band B"/>
    <n v="49900"/>
    <n v="8.4"/>
    <n v="3.4"/>
    <n v="1"/>
    <n v="0"/>
    <n v="3.7"/>
    <n v="3.3"/>
    <n v="4.7"/>
    <s v="Yes"/>
    <n v="0"/>
    <n v="0"/>
    <m/>
    <n v="0"/>
    <x v="0"/>
    <m/>
    <n v="1"/>
    <n v="0"/>
    <x v="1"/>
    <s v="1â€“3 years"/>
    <s v="Low"/>
    <n v="3.9"/>
    <s v="0.3333333333333333"/>
    <n v="0"/>
  </r>
  <r>
    <s v="EMP0099"/>
    <s v="Engineering"/>
    <x v="4"/>
    <n v="5"/>
    <s v="G3"/>
    <n v="29"/>
    <s v="Diploma"/>
    <s v="Coimbatore"/>
    <n v="3"/>
    <n v="9.9"/>
    <n v="10"/>
    <n v="0"/>
    <n v="12"/>
    <n v="0"/>
    <s v="Band C"/>
    <n v="56200"/>
    <n v="0"/>
    <n v="1.7"/>
    <n v="0.2"/>
    <n v="0"/>
    <n v="3.4"/>
    <n v="4.0999999999999996"/>
    <n v="2.9"/>
    <s v="Yes"/>
    <n v="0"/>
    <n v="0"/>
    <m/>
    <n v="0"/>
    <x v="0"/>
    <m/>
    <n v="1"/>
    <n v="0"/>
    <x v="1"/>
    <s v="3â€“5 years"/>
    <s v="Low"/>
    <s v="3.466666666666667"/>
    <n v="0.25"/>
    <n v="0"/>
  </r>
  <r>
    <s v="EMP0100"/>
    <s v="Customer Support"/>
    <x v="5"/>
    <n v="14.7"/>
    <s v="G2"/>
    <n v="44"/>
    <s v="Diploma"/>
    <s v="Coimbatore"/>
    <n v="4"/>
    <n v="17"/>
    <n v="15"/>
    <n v="3"/>
    <n v="12"/>
    <n v="0"/>
    <s v="Band B"/>
    <n v="47500"/>
    <n v="1"/>
    <n v="3.1"/>
    <n v="0.4"/>
    <n v="0"/>
    <n v="3.9"/>
    <n v="4"/>
    <n v="3.3"/>
    <s v="Yes"/>
    <n v="0"/>
    <n v="2"/>
    <n v="7.2"/>
    <n v="0"/>
    <x v="0"/>
    <m/>
    <n v="0"/>
    <n v="0"/>
    <x v="0"/>
    <s v="5+ years"/>
    <s v="Moderate"/>
    <s v="3.733333333333333"/>
    <s v="0.3333333333333333"/>
    <n v="0"/>
  </r>
  <r>
    <s v="EMP0101"/>
    <s v="Customer Support"/>
    <x v="9"/>
    <n v="4.3"/>
    <s v="G2"/>
    <n v="36"/>
    <s v="Master"/>
    <s v="Chennai"/>
    <n v="4"/>
    <n v="12.4"/>
    <n v="10"/>
    <n v="3"/>
    <n v="12"/>
    <n v="0"/>
    <s v="Band B"/>
    <n v="44800"/>
    <n v="12.5"/>
    <n v="3.6"/>
    <n v="3.9"/>
    <n v="0"/>
    <n v="5"/>
    <n v="1.9"/>
    <n v="2.7"/>
    <s v="Yes"/>
    <n v="0"/>
    <n v="1"/>
    <n v="2.9"/>
    <n v="0"/>
    <x v="0"/>
    <m/>
    <n v="0"/>
    <n v="0"/>
    <x v="0"/>
    <s v="3â€“5 years"/>
    <s v="Moderate"/>
    <s v="3.2000000000000006"/>
    <s v="0.3333333333333333"/>
    <n v="0"/>
  </r>
  <r>
    <s v="EMP0102"/>
    <s v="Operations"/>
    <x v="0"/>
    <n v="2.5"/>
    <s v="G1"/>
    <n v="29"/>
    <s v="Master"/>
    <s v="Coimbatore"/>
    <n v="5"/>
    <n v="19.399999999999999"/>
    <n v="6"/>
    <n v="1"/>
    <n v="12"/>
    <n v="0"/>
    <s v="Band A"/>
    <n v="32700"/>
    <n v="7.2"/>
    <n v="4.0999999999999996"/>
    <n v="0.8"/>
    <n v="0"/>
    <n v="3.7"/>
    <n v="2.2000000000000002"/>
    <n v="3.4"/>
    <s v="Yes"/>
    <n v="0"/>
    <n v="1"/>
    <n v="1.6"/>
    <n v="1"/>
    <x v="0"/>
    <m/>
    <n v="0"/>
    <n v="0"/>
    <x v="0"/>
    <s v="1â€“3 years"/>
    <s v="Moderate"/>
    <n v="3.1"/>
    <s v="0.4166666666666667"/>
    <n v="0"/>
  </r>
  <r>
    <s v="EMP0103"/>
    <s v="Sales"/>
    <x v="13"/>
    <n v="0.3"/>
    <s v="G1"/>
    <n v="25"/>
    <s v="Master"/>
    <s v="Coimbatore"/>
    <n v="2"/>
    <n v="4.7"/>
    <n v="9"/>
    <n v="2"/>
    <n v="12"/>
    <n v="0"/>
    <s v="Band A"/>
    <n v="27500"/>
    <n v="8"/>
    <n v="1.6"/>
    <n v="2.2000000000000002"/>
    <n v="0"/>
    <n v="2.8"/>
    <n v="3"/>
    <n v="3.6"/>
    <s v="Yes"/>
    <n v="0"/>
    <n v="1"/>
    <n v="0"/>
    <n v="2"/>
    <x v="0"/>
    <m/>
    <n v="0"/>
    <n v="0"/>
    <x v="0"/>
    <s v="0â€“1 years"/>
    <s v="Low"/>
    <s v="3.1333333333333333"/>
    <s v="0.16666666666666666"/>
    <n v="0"/>
  </r>
  <r>
    <s v="EMP0104"/>
    <s v="Customer Support"/>
    <x v="5"/>
    <n v="11.7"/>
    <s v="G2"/>
    <n v="41"/>
    <s v="Bachelor"/>
    <s v="Chennai"/>
    <n v="4"/>
    <n v="24.6"/>
    <n v="16"/>
    <n v="3"/>
    <n v="12"/>
    <n v="0"/>
    <s v="Band B"/>
    <n v="37200"/>
    <n v="2.7"/>
    <n v="2.5"/>
    <n v="1.2"/>
    <n v="0"/>
    <n v="3.7"/>
    <n v="3.5"/>
    <n v="3.4"/>
    <s v="Yes"/>
    <n v="0"/>
    <n v="0"/>
    <m/>
    <n v="0"/>
    <x v="0"/>
    <m/>
    <n v="1"/>
    <n v="0"/>
    <x v="1"/>
    <s v="5+ years"/>
    <s v="High"/>
    <s v="3.533333333333333"/>
    <s v="0.3333333333333333"/>
    <n v="0"/>
  </r>
  <r>
    <s v="EMP0105"/>
    <s v="Operations"/>
    <x v="0"/>
    <n v="4.5"/>
    <s v="G4"/>
    <n v="34"/>
    <s v="Bachelor"/>
    <s v="Chennai"/>
    <n v="2"/>
    <n v="26.9"/>
    <n v="6"/>
    <n v="6"/>
    <n v="12"/>
    <n v="0"/>
    <s v="Band C"/>
    <n v="56500"/>
    <n v="8"/>
    <n v="4.2"/>
    <n v="0.3"/>
    <n v="0"/>
    <n v="5"/>
    <n v="4.4000000000000004"/>
    <n v="3.4"/>
    <s v="Yes"/>
    <n v="1"/>
    <n v="2"/>
    <n v="2"/>
    <n v="0"/>
    <x v="0"/>
    <m/>
    <n v="0"/>
    <n v="0"/>
    <x v="0"/>
    <s v="3â€“5 years"/>
    <s v="High"/>
    <s v="4.266666666666667"/>
    <s v="0.16666666666666666"/>
    <n v="0"/>
  </r>
  <r>
    <s v="EMP0106"/>
    <s v="Operations"/>
    <x v="6"/>
    <n v="3.3"/>
    <s v="G2"/>
    <n v="28"/>
    <s v="Master"/>
    <s v="Bengaluru"/>
    <n v="6"/>
    <n v="1.1000000000000001"/>
    <n v="5"/>
    <n v="0"/>
    <n v="12"/>
    <n v="0"/>
    <s v="Band A"/>
    <n v="33400"/>
    <n v="6.5"/>
    <n v="4.5999999999999996"/>
    <n v="1.4"/>
    <n v="0"/>
    <n v="3.9"/>
    <n v="3.3"/>
    <n v="3"/>
    <s v="Yes"/>
    <n v="0"/>
    <n v="2"/>
    <m/>
    <n v="0"/>
    <x v="0"/>
    <m/>
    <n v="1"/>
    <n v="0"/>
    <x v="0"/>
    <s v="3â€“5 years"/>
    <s v="Low"/>
    <n v="3.4"/>
    <n v="0.5"/>
    <n v="0"/>
  </r>
  <r>
    <s v="EMP0107"/>
    <s v="Hr"/>
    <x v="15"/>
    <n v="0.3"/>
    <s v="G3"/>
    <n v="28"/>
    <s v="Bachelor"/>
    <s v="Bengaluru"/>
    <n v="4"/>
    <n v="2"/>
    <n v="5"/>
    <n v="0"/>
    <n v="12"/>
    <n v="0"/>
    <s v="Band B"/>
    <n v="48300"/>
    <n v="5.5"/>
    <n v="3.6"/>
    <n v="0.6"/>
    <n v="0"/>
    <n v="4.2"/>
    <n v="3.3"/>
    <n v="3.7"/>
    <s v="Yes"/>
    <n v="1"/>
    <n v="0"/>
    <m/>
    <n v="0"/>
    <x v="0"/>
    <m/>
    <n v="1"/>
    <n v="0"/>
    <x v="1"/>
    <s v="0â€“1 years"/>
    <s v="Low"/>
    <s v="3.733333333333333"/>
    <s v="0.3333333333333333"/>
    <n v="0"/>
  </r>
  <r>
    <s v="EMP0108"/>
    <s v="Sales"/>
    <x v="13"/>
    <n v="3.4"/>
    <s v="G3"/>
    <n v="34"/>
    <s v="Bachelor"/>
    <s v="Hyderabad"/>
    <n v="2"/>
    <n v="9.6999999999999993"/>
    <n v="11"/>
    <n v="0"/>
    <n v="12"/>
    <n v="0"/>
    <s v="Band C"/>
    <n v="62700"/>
    <n v="2.2000000000000002"/>
    <n v="4.2"/>
    <n v="0.7"/>
    <n v="0"/>
    <n v="1.9"/>
    <n v="2.6"/>
    <n v="3.3"/>
    <s v="Yes"/>
    <n v="0"/>
    <n v="1"/>
    <n v="0.2"/>
    <n v="0"/>
    <x v="1"/>
    <d v="2024-07-21T00:00:00"/>
    <n v="0"/>
    <n v="0"/>
    <x v="0"/>
    <s v="3â€“5 years"/>
    <s v="Low"/>
    <n v="2.6"/>
    <s v="0.16666666666666666"/>
    <n v="1"/>
  </r>
  <r>
    <s v="EMP0109"/>
    <s v="Engineering"/>
    <x v="10"/>
    <n v="4.0999999999999996"/>
    <s v="G1"/>
    <n v="38"/>
    <s v="Master"/>
    <s v="Coimbatore"/>
    <n v="4"/>
    <n v="6.3"/>
    <n v="11"/>
    <n v="0"/>
    <n v="12"/>
    <n v="0"/>
    <s v="Band A"/>
    <n v="34100"/>
    <n v="4.5"/>
    <n v="3.6"/>
    <n v="1.2"/>
    <n v="0"/>
    <n v="3.6"/>
    <n v="2.7"/>
    <n v="2.5"/>
    <s v="Yes"/>
    <n v="0"/>
    <n v="1"/>
    <n v="3.5"/>
    <n v="0"/>
    <x v="0"/>
    <m/>
    <n v="0"/>
    <n v="0"/>
    <x v="0"/>
    <s v="3â€“5 years"/>
    <s v="Low"/>
    <s v="2.9333333333333336"/>
    <s v="0.3333333333333333"/>
    <n v="0"/>
  </r>
  <r>
    <s v="EMP0110"/>
    <s v="Customer Support"/>
    <x v="5"/>
    <n v="2.5"/>
    <s v="G1"/>
    <n v="31"/>
    <s v="Master"/>
    <s v="Hyderabad"/>
    <n v="1"/>
    <n v="7.1"/>
    <n v="5"/>
    <n v="3"/>
    <n v="12"/>
    <n v="0"/>
    <s v="Band A"/>
    <n v="31500"/>
    <n v="15.9"/>
    <n v="4.0999999999999996"/>
    <n v="0.1"/>
    <n v="0"/>
    <n v="3.1"/>
    <n v="2.9"/>
    <n v="1.9"/>
    <s v="Yes"/>
    <n v="0"/>
    <n v="1"/>
    <n v="1.5"/>
    <n v="0"/>
    <x v="0"/>
    <m/>
    <n v="0"/>
    <n v="0"/>
    <x v="0"/>
    <s v="1â€“3 years"/>
    <s v="Low"/>
    <s v="2.6333333333333333"/>
    <n v="8.3333333333333301E-2"/>
    <n v="0"/>
  </r>
  <r>
    <s v="EMP0111"/>
    <s v="Hr"/>
    <x v="1"/>
    <n v="1.1000000000000001"/>
    <s v="G2"/>
    <n v="27"/>
    <s v="Master"/>
    <s v="Hyderabad"/>
    <n v="1"/>
    <n v="12.3"/>
    <n v="10"/>
    <n v="1"/>
    <n v="12"/>
    <n v="0"/>
    <s v="Band B"/>
    <n v="43600"/>
    <n v="6.6"/>
    <n v="3.3"/>
    <n v="2.1"/>
    <n v="0"/>
    <n v="2.7"/>
    <n v="2.5"/>
    <n v="2.9"/>
    <s v="Yes"/>
    <n v="0"/>
    <n v="0"/>
    <m/>
    <n v="0"/>
    <x v="0"/>
    <m/>
    <n v="1"/>
    <n v="0"/>
    <x v="1"/>
    <s v="1â€“3 years"/>
    <s v="Moderate"/>
    <s v="2.6999999999999997"/>
    <n v="8.3333333333333301E-2"/>
    <n v="0"/>
  </r>
  <r>
    <s v="EMP0112"/>
    <s v="Engineering"/>
    <x v="12"/>
    <n v="1.1000000000000001"/>
    <s v="G3"/>
    <n v="27"/>
    <s v="Bachelor"/>
    <s v="Chennai"/>
    <n v="1"/>
    <n v="20"/>
    <n v="7"/>
    <n v="1"/>
    <n v="12"/>
    <n v="0"/>
    <s v="Band B"/>
    <n v="47600"/>
    <n v="11.2"/>
    <n v="3.6"/>
    <n v="0.7"/>
    <n v="0"/>
    <n v="3.3"/>
    <n v="4.2"/>
    <n v="2.2999999999999998"/>
    <s v="Yes"/>
    <n v="0"/>
    <n v="0"/>
    <m/>
    <n v="0"/>
    <x v="0"/>
    <m/>
    <n v="1"/>
    <n v="0"/>
    <x v="1"/>
    <s v="1â€“3 years"/>
    <s v="Moderate"/>
    <s v="3.266666666666667"/>
    <n v="8.3333333333333301E-2"/>
    <n v="0"/>
  </r>
  <r>
    <s v="EMP0113"/>
    <s v="Sales"/>
    <x v="14"/>
    <n v="11.8"/>
    <s v="G2"/>
    <n v="40"/>
    <s v="Master"/>
    <s v="Remote"/>
    <n v="0"/>
    <n v="4.5"/>
    <n v="3"/>
    <n v="2"/>
    <n v="12"/>
    <n v="0"/>
    <s v="Band B"/>
    <n v="35700"/>
    <n v="7.2"/>
    <n v="2.1"/>
    <n v="2.4"/>
    <n v="0"/>
    <n v="3.4"/>
    <n v="1"/>
    <n v="2.7"/>
    <s v="Yes"/>
    <n v="0"/>
    <n v="0"/>
    <m/>
    <n v="0"/>
    <x v="0"/>
    <m/>
    <n v="1"/>
    <n v="0"/>
    <x v="1"/>
    <s v="5+ years"/>
    <s v="Low"/>
    <s v="2.3666666666666667"/>
    <n v="0"/>
    <n v="0"/>
  </r>
  <r>
    <s v="EMP0114"/>
    <s v="Finance"/>
    <x v="17"/>
    <n v="4"/>
    <s v="G3"/>
    <n v="30"/>
    <s v="Bachelor"/>
    <s v="Chennai"/>
    <n v="2"/>
    <n v="22.3"/>
    <n v="11"/>
    <n v="0"/>
    <n v="12"/>
    <n v="0"/>
    <s v="Band B"/>
    <n v="47100"/>
    <n v="6.8"/>
    <n v="3.8"/>
    <n v="2.2999999999999998"/>
    <n v="0"/>
    <n v="2.7"/>
    <n v="2.7"/>
    <n v="3.1"/>
    <s v="Yes"/>
    <n v="0"/>
    <n v="2"/>
    <n v="1.4"/>
    <n v="0"/>
    <x v="0"/>
    <m/>
    <n v="0"/>
    <n v="0"/>
    <x v="0"/>
    <s v="3â€“5 years"/>
    <s v="High"/>
    <s v="2.8333333333333335"/>
    <s v="0.16666666666666666"/>
    <n v="0"/>
  </r>
  <r>
    <s v="EMP0115"/>
    <s v="Engineering"/>
    <x v="12"/>
    <n v="2.5"/>
    <s v="G4"/>
    <n v="29"/>
    <s v="Bachelor"/>
    <s v="Bengaluru"/>
    <n v="2"/>
    <n v="5.4"/>
    <n v="11"/>
    <n v="3"/>
    <n v="12"/>
    <n v="0"/>
    <s v="Band C"/>
    <n v="53300"/>
    <n v="5.5"/>
    <n v="2.1"/>
    <n v="1"/>
    <n v="0"/>
    <n v="3.5"/>
    <n v="4.2"/>
    <n v="3.3"/>
    <s v="Yes"/>
    <n v="0"/>
    <n v="1"/>
    <n v="1.7"/>
    <n v="0"/>
    <x v="0"/>
    <m/>
    <n v="0"/>
    <n v="0"/>
    <x v="0"/>
    <s v="1â€“3 years"/>
    <s v="Low"/>
    <s v="3.6666666666666665"/>
    <s v="0.16666666666666666"/>
    <n v="0"/>
  </r>
  <r>
    <s v="EMP0116"/>
    <s v="Customer Support"/>
    <x v="5"/>
    <n v="3.8"/>
    <s v="G3"/>
    <n v="26"/>
    <s v="Master"/>
    <s v="Hyderabad"/>
    <n v="4"/>
    <n v="41.3"/>
    <n v="5"/>
    <n v="0"/>
    <n v="12"/>
    <n v="0"/>
    <s v="Band B"/>
    <n v="46300"/>
    <n v="13.4"/>
    <n v="3.8"/>
    <n v="1.4"/>
    <n v="0"/>
    <n v="3.1"/>
    <n v="2.9"/>
    <n v="2.9"/>
    <s v="Yes"/>
    <n v="0"/>
    <n v="0"/>
    <m/>
    <n v="0"/>
    <x v="1"/>
    <d v="2026-08-22T00:00:00"/>
    <n v="1"/>
    <n v="0"/>
    <x v="1"/>
    <s v="3â€“5 years"/>
    <s v="High"/>
    <s v="2.966666666666667"/>
    <s v="0.3333333333333333"/>
    <n v="1"/>
  </r>
  <r>
    <s v="EMP0117"/>
    <s v="Operations"/>
    <x v="0"/>
    <n v="3.6"/>
    <s v="G5"/>
    <n v="35"/>
    <s v="Bachelor"/>
    <s v="Chennai"/>
    <n v="1"/>
    <n v="24.7"/>
    <n v="8"/>
    <n v="2"/>
    <n v="12"/>
    <n v="0"/>
    <s v="Band D"/>
    <n v="91400"/>
    <n v="9.5"/>
    <n v="2.8"/>
    <n v="1.7"/>
    <n v="0"/>
    <n v="3.9"/>
    <n v="4.2"/>
    <n v="5"/>
    <s v="Yes"/>
    <n v="0"/>
    <n v="1"/>
    <n v="2.1"/>
    <n v="0"/>
    <x v="0"/>
    <m/>
    <n v="0"/>
    <n v="0"/>
    <x v="0"/>
    <s v="3â€“5 years"/>
    <s v="High"/>
    <s v="4.366666666666666"/>
    <n v="8.3333333333333301E-2"/>
    <n v="0"/>
  </r>
  <r>
    <s v="EMP0118"/>
    <s v="Operations"/>
    <x v="3"/>
    <n v="1"/>
    <s v="G3"/>
    <n v="22"/>
    <s v="Master"/>
    <s v="Bengaluru"/>
    <n v="0"/>
    <n v="5.9"/>
    <n v="7"/>
    <n v="4"/>
    <n v="12"/>
    <n v="0"/>
    <s v="Band C"/>
    <n v="53000"/>
    <n v="4.8"/>
    <n v="3.5"/>
    <n v="0.8"/>
    <n v="0"/>
    <n v="3.5"/>
    <n v="5"/>
    <n v="2.4"/>
    <s v="Yes"/>
    <n v="0"/>
    <n v="1"/>
    <n v="0.5"/>
    <n v="1"/>
    <x v="0"/>
    <m/>
    <n v="0"/>
    <n v="0"/>
    <x v="0"/>
    <s v="0â€“1 years"/>
    <s v="Low"/>
    <s v="3.6333333333333333"/>
    <n v="0"/>
    <n v="0"/>
  </r>
  <r>
    <s v="EMP0119"/>
    <s v="Hr"/>
    <x v="7"/>
    <n v="6.8"/>
    <s v="G4"/>
    <n v="31"/>
    <s v="Bachelor"/>
    <s v="Coimbatore"/>
    <n v="2"/>
    <n v="2.8"/>
    <n v="10"/>
    <n v="0"/>
    <n v="12"/>
    <n v="0"/>
    <s v="Band D"/>
    <n v="76300"/>
    <n v="6.4"/>
    <n v="2.2999999999999998"/>
    <n v="0.1"/>
    <n v="0"/>
    <n v="3.3"/>
    <n v="3.3"/>
    <n v="4.4000000000000004"/>
    <s v="No"/>
    <n v="1"/>
    <n v="0"/>
    <m/>
    <n v="1"/>
    <x v="0"/>
    <m/>
    <n v="1"/>
    <n v="0"/>
    <x v="1"/>
    <s v="5+ years"/>
    <s v="Low"/>
    <s v="3.6666666666666665"/>
    <s v="0.16666666666666666"/>
    <n v="0"/>
  </r>
  <r>
    <s v="EMP0120"/>
    <s v="Operations"/>
    <x v="0"/>
    <n v="3.2"/>
    <s v="G4"/>
    <n v="30"/>
    <s v="Master"/>
    <s v="Chennai"/>
    <n v="2"/>
    <n v="5.8"/>
    <n v="8"/>
    <n v="1"/>
    <n v="12"/>
    <n v="0"/>
    <s v="Band C"/>
    <n v="65400"/>
    <n v="12.3"/>
    <n v="2.7"/>
    <n v="1.4"/>
    <n v="0"/>
    <n v="4.2"/>
    <n v="4.3"/>
    <n v="3.3"/>
    <s v="Yes"/>
    <n v="0"/>
    <n v="2"/>
    <n v="2.9"/>
    <n v="0"/>
    <x v="0"/>
    <m/>
    <n v="0"/>
    <n v="0"/>
    <x v="0"/>
    <s v="3â€“5 years"/>
    <s v="Low"/>
    <s v="3.9333333333333336"/>
    <s v="0.16666666666666666"/>
    <n v="0"/>
  </r>
  <r>
    <s v="EMP0121"/>
    <s v="Finance"/>
    <x v="17"/>
    <n v="4"/>
    <s v="G3"/>
    <n v="38"/>
    <s v="Master"/>
    <s v="Chennai"/>
    <n v="1"/>
    <n v="5.0999999999999996"/>
    <n v="9"/>
    <n v="5"/>
    <n v="12"/>
    <n v="0"/>
    <s v="Band C"/>
    <n v="57200"/>
    <n v="0"/>
    <n v="3.5"/>
    <n v="2.9"/>
    <n v="0"/>
    <n v="3.8"/>
    <n v="5"/>
    <n v="2.9"/>
    <s v="Yes"/>
    <n v="0"/>
    <n v="2"/>
    <n v="1.7"/>
    <n v="0"/>
    <x v="0"/>
    <m/>
    <n v="0"/>
    <n v="0"/>
    <x v="0"/>
    <s v="3â€“5 years"/>
    <s v="Low"/>
    <s v="3.9000000000000004"/>
    <n v="8.3333333333333301E-2"/>
    <n v="0"/>
  </r>
  <r>
    <s v="EMP0122"/>
    <s v="Operations"/>
    <x v="0"/>
    <n v="9.4"/>
    <s v="G4"/>
    <n v="34"/>
    <s v="Master"/>
    <s v="Chennai"/>
    <n v="3"/>
    <n v="15.5"/>
    <n v="9"/>
    <n v="1"/>
    <n v="12"/>
    <n v="0"/>
    <s v="Band C"/>
    <n v="71500"/>
    <n v="9.1999999999999993"/>
    <n v="3.9"/>
    <n v="0.5"/>
    <n v="0"/>
    <n v="3.3"/>
    <n v="3.6"/>
    <n v="3.9"/>
    <s v="Yes"/>
    <n v="0"/>
    <n v="0"/>
    <m/>
    <n v="1"/>
    <x v="0"/>
    <m/>
    <n v="1"/>
    <n v="0"/>
    <x v="1"/>
    <s v="5+ years"/>
    <s v="Moderate"/>
    <n v="3.6"/>
    <n v="0.25"/>
    <n v="0"/>
  </r>
  <r>
    <s v="EMP0123"/>
    <s v="Engineering"/>
    <x v="12"/>
    <n v="1.2"/>
    <s v="G5"/>
    <n v="25"/>
    <s v="Diploma"/>
    <s v="Chennai"/>
    <n v="2"/>
    <n v="1.2"/>
    <n v="6"/>
    <n v="2"/>
    <n v="12"/>
    <n v="0"/>
    <s v="Band D"/>
    <n v="95100"/>
    <n v="10.199999999999999"/>
    <n v="4.2"/>
    <n v="2.5"/>
    <n v="0"/>
    <n v="1.4"/>
    <n v="3.2"/>
    <n v="3"/>
    <s v="Yes"/>
    <n v="0"/>
    <n v="0"/>
    <m/>
    <n v="0"/>
    <x v="0"/>
    <m/>
    <n v="1"/>
    <n v="0"/>
    <x v="1"/>
    <s v="1â€“3 years"/>
    <s v="Low"/>
    <s v="2.533333333333333"/>
    <s v="0.16666666666666666"/>
    <n v="0"/>
  </r>
  <r>
    <s v="EMP0124"/>
    <s v="Sales"/>
    <x v="8"/>
    <n v="2"/>
    <s v="G2"/>
    <n v="26"/>
    <s v="Bachelor"/>
    <s v="Bengaluru"/>
    <n v="4"/>
    <n v="2"/>
    <n v="16"/>
    <n v="1"/>
    <n v="12"/>
    <n v="0"/>
    <s v="Band A"/>
    <n v="32900"/>
    <n v="5"/>
    <n v="2.2000000000000002"/>
    <n v="0.3"/>
    <n v="0"/>
    <n v="3.8"/>
    <n v="4"/>
    <n v="2.8"/>
    <s v="Yes"/>
    <n v="0"/>
    <n v="1"/>
    <m/>
    <n v="0"/>
    <x v="0"/>
    <m/>
    <n v="1"/>
    <n v="0"/>
    <x v="0"/>
    <s v="1â€“3 years"/>
    <s v="Low"/>
    <s v="3.533333333333333"/>
    <s v="0.3333333333333333"/>
    <n v="0"/>
  </r>
  <r>
    <s v="EMP0125"/>
    <s v="Engineering"/>
    <x v="12"/>
    <n v="4.7"/>
    <s v="G3"/>
    <n v="37"/>
    <s v="Master"/>
    <s v="Coimbatore"/>
    <n v="3"/>
    <n v="15.2"/>
    <n v="12"/>
    <n v="1"/>
    <n v="12"/>
    <n v="0"/>
    <s v="Band C"/>
    <n v="61200"/>
    <n v="8.6"/>
    <n v="1.8"/>
    <n v="0.9"/>
    <n v="0"/>
    <n v="2.5"/>
    <n v="4.3"/>
    <n v="4.8"/>
    <s v="Yes"/>
    <n v="0"/>
    <n v="0"/>
    <m/>
    <n v="1"/>
    <x v="0"/>
    <m/>
    <n v="1"/>
    <n v="0"/>
    <x v="1"/>
    <s v="3â€“5 years"/>
    <s v="Moderate"/>
    <s v="3.8666666666666667"/>
    <n v="0.25"/>
    <n v="0"/>
  </r>
  <r>
    <s v="EMP0126"/>
    <s v="Hr"/>
    <x v="1"/>
    <n v="6.7"/>
    <s v="G2"/>
    <n v="21"/>
    <s v="Doctorate"/>
    <s v="Coimbatore"/>
    <n v="5"/>
    <n v="4.9000000000000004"/>
    <n v="9"/>
    <n v="2"/>
    <n v="12"/>
    <n v="0"/>
    <s v="Band B"/>
    <n v="40800"/>
    <n v="10"/>
    <n v="2.2999999999999998"/>
    <n v="1.1000000000000001"/>
    <n v="0"/>
    <n v="3.2"/>
    <n v="3.2"/>
    <n v="1.6"/>
    <s v="Yes"/>
    <n v="0"/>
    <n v="0"/>
    <m/>
    <n v="0"/>
    <x v="0"/>
    <m/>
    <n v="1"/>
    <n v="0"/>
    <x v="1"/>
    <s v="5+ years"/>
    <s v="Low"/>
    <s v="2.6666666666666665"/>
    <s v="0.4166666666666667"/>
    <n v="0"/>
  </r>
  <r>
    <s v="EMP0127"/>
    <s v="Sales"/>
    <x v="13"/>
    <n v="2.2999999999999998"/>
    <s v="G4"/>
    <n v="24"/>
    <s v="Doctorate"/>
    <s v="Bengaluru"/>
    <n v="3"/>
    <n v="6.8"/>
    <n v="10"/>
    <n v="0"/>
    <n v="12"/>
    <n v="0"/>
    <s v="Band D"/>
    <n v="76000"/>
    <n v="3.1"/>
    <n v="2.2000000000000002"/>
    <n v="1.2"/>
    <n v="0"/>
    <n v="3.6"/>
    <n v="2.8"/>
    <n v="3.2"/>
    <s v="Yes"/>
    <n v="0"/>
    <n v="0"/>
    <m/>
    <n v="1"/>
    <x v="0"/>
    <m/>
    <n v="1"/>
    <n v="0"/>
    <x v="1"/>
    <s v="1â€“3 years"/>
    <s v="Low"/>
    <s v="3.2000000000000006"/>
    <n v="0.25"/>
    <n v="0"/>
  </r>
  <r>
    <s v="EMP0128"/>
    <s v="Engineering"/>
    <x v="12"/>
    <n v="2.4"/>
    <s v="G2"/>
    <n v="39"/>
    <s v="Diploma"/>
    <s v="Chennai"/>
    <n v="2"/>
    <n v="17.899999999999999"/>
    <n v="12"/>
    <n v="2"/>
    <n v="12"/>
    <n v="0"/>
    <s v="Band A"/>
    <n v="32600"/>
    <n v="11.4"/>
    <n v="4.5999999999999996"/>
    <n v="0.5"/>
    <n v="0"/>
    <n v="4.5"/>
    <n v="4.7"/>
    <n v="3.6"/>
    <s v="Yes"/>
    <n v="0"/>
    <n v="0"/>
    <m/>
    <n v="1"/>
    <x v="0"/>
    <m/>
    <n v="1"/>
    <n v="0"/>
    <x v="1"/>
    <s v="1â€“3 years"/>
    <s v="Moderate"/>
    <s v="4.266666666666667"/>
    <s v="0.16666666666666666"/>
    <n v="0"/>
  </r>
  <r>
    <s v="EMP0129"/>
    <s v="Engineering"/>
    <x v="16"/>
    <n v="5.7"/>
    <s v="G4"/>
    <n v="34"/>
    <s v="Bachelor"/>
    <s v="Chennai"/>
    <n v="4"/>
    <n v="20.6"/>
    <n v="8"/>
    <n v="1"/>
    <n v="12"/>
    <n v="0"/>
    <s v="Band D"/>
    <n v="75400"/>
    <n v="9.1999999999999993"/>
    <n v="4.4000000000000004"/>
    <n v="0.3"/>
    <n v="0"/>
    <n v="5"/>
    <n v="3"/>
    <n v="4.5"/>
    <s v="Yes"/>
    <n v="0"/>
    <n v="0"/>
    <m/>
    <n v="1"/>
    <x v="0"/>
    <m/>
    <n v="1"/>
    <n v="0"/>
    <x v="1"/>
    <s v="5+ years"/>
    <s v="High"/>
    <s v="4.166666666666667"/>
    <s v="0.3333333333333333"/>
    <n v="0"/>
  </r>
  <r>
    <s v="EMP0130"/>
    <s v="Finance"/>
    <x v="18"/>
    <n v="14"/>
    <s v="G4"/>
    <n v="36"/>
    <s v="Master"/>
    <s v="Hyderabad"/>
    <n v="0"/>
    <n v="23.9"/>
    <n v="10"/>
    <n v="2"/>
    <n v="12"/>
    <n v="0"/>
    <s v="Band D"/>
    <n v="88300"/>
    <n v="7.4"/>
    <n v="2.2999999999999998"/>
    <n v="1"/>
    <n v="0"/>
    <n v="2.5"/>
    <n v="4.3"/>
    <n v="3.1"/>
    <s v="Yes"/>
    <n v="0"/>
    <n v="3"/>
    <n v="7.4"/>
    <n v="0"/>
    <x v="0"/>
    <m/>
    <n v="0"/>
    <n v="0"/>
    <x v="0"/>
    <s v="5+ years"/>
    <s v="High"/>
    <s v="3.3000000000000003"/>
    <n v="0"/>
    <n v="0"/>
  </r>
  <r>
    <s v="EMP0131"/>
    <s v="Engineering"/>
    <x v="12"/>
    <n v="3.9"/>
    <s v="G5"/>
    <n v="30"/>
    <s v="Master"/>
    <s v="Remote"/>
    <n v="0"/>
    <n v="16.899999999999999"/>
    <n v="16"/>
    <n v="3"/>
    <n v="12"/>
    <n v="0"/>
    <s v="Band C"/>
    <n v="73700"/>
    <n v="8.4"/>
    <n v="4.7"/>
    <n v="1.9"/>
    <n v="0"/>
    <n v="2.1"/>
    <n v="3.4"/>
    <n v="5"/>
    <s v="Yes"/>
    <n v="0"/>
    <n v="0"/>
    <m/>
    <n v="0"/>
    <x v="1"/>
    <d v="2026-06-14T00:00:00"/>
    <n v="1"/>
    <n v="0"/>
    <x v="1"/>
    <s v="3â€“5 years"/>
    <s v="Moderate"/>
    <n v="3.5"/>
    <n v="0"/>
    <n v="1"/>
  </r>
  <r>
    <s v="EMP0132"/>
    <s v="Customer Support"/>
    <x v="9"/>
    <n v="2"/>
    <s v="G2"/>
    <n v="28"/>
    <s v="Diploma"/>
    <s v="Coimbatore"/>
    <n v="2"/>
    <n v="8.5"/>
    <n v="6"/>
    <n v="2"/>
    <n v="12"/>
    <n v="0"/>
    <s v="Band B"/>
    <n v="43300"/>
    <n v="10.8"/>
    <n v="4.4000000000000004"/>
    <n v="0.5"/>
    <n v="0"/>
    <n v="3.3"/>
    <n v="4.8"/>
    <n v="4"/>
    <s v="Yes"/>
    <n v="1"/>
    <n v="2"/>
    <n v="1.4"/>
    <n v="0"/>
    <x v="0"/>
    <m/>
    <n v="0"/>
    <n v="0"/>
    <x v="0"/>
    <s v="1â€“3 years"/>
    <s v="Low"/>
    <s v="4.033333333333333"/>
    <s v="0.16666666666666666"/>
    <n v="0"/>
  </r>
  <r>
    <s v="EMP0133"/>
    <s v="Finance"/>
    <x v="11"/>
    <n v="1.5"/>
    <s v="G3"/>
    <n v="31"/>
    <s v="Bachelor"/>
    <s v="Chennai"/>
    <n v="3"/>
    <n v="7.9"/>
    <n v="11"/>
    <n v="0"/>
    <n v="12"/>
    <n v="0"/>
    <s v="Band B"/>
    <n v="44200"/>
    <n v="17.3"/>
    <n v="1.7"/>
    <n v="1"/>
    <n v="0"/>
    <n v="3.5"/>
    <n v="2.4"/>
    <n v="1.5"/>
    <s v="Yes"/>
    <n v="0"/>
    <n v="0"/>
    <m/>
    <n v="0"/>
    <x v="0"/>
    <m/>
    <n v="1"/>
    <n v="0"/>
    <x v="1"/>
    <s v="1â€“3 years"/>
    <s v="Low"/>
    <s v="2.466666666666667"/>
    <n v="0.25"/>
    <n v="0"/>
  </r>
  <r>
    <s v="EMP0134"/>
    <s v="Sales"/>
    <x v="8"/>
    <n v="3.4"/>
    <s v="G3"/>
    <n v="37"/>
    <s v="Bachelor"/>
    <s v="Hyderabad"/>
    <n v="2"/>
    <n v="7.2"/>
    <n v="9"/>
    <n v="2"/>
    <n v="12"/>
    <n v="0"/>
    <s v="Band C"/>
    <n v="54400"/>
    <n v="10.4"/>
    <n v="2.2999999999999998"/>
    <n v="5.3"/>
    <n v="0"/>
    <n v="2.2000000000000002"/>
    <n v="2.4"/>
    <n v="2.2000000000000002"/>
    <s v="Yes"/>
    <n v="0"/>
    <n v="1"/>
    <n v="1.2"/>
    <n v="0"/>
    <x v="0"/>
    <m/>
    <n v="0"/>
    <n v="0"/>
    <x v="0"/>
    <s v="3â€“5 years"/>
    <s v="Low"/>
    <s v="2.2666666666666666"/>
    <s v="0.16666666666666666"/>
    <n v="0"/>
  </r>
  <r>
    <s v="EMP0135"/>
    <s v="Finance"/>
    <x v="11"/>
    <n v="6.5"/>
    <s v="G5"/>
    <n v="34"/>
    <s v="Bachelor"/>
    <s v="Hyderabad"/>
    <n v="3"/>
    <n v="3.2"/>
    <n v="11"/>
    <n v="2"/>
    <n v="12"/>
    <n v="0"/>
    <s v="Band E"/>
    <n v="123200"/>
    <n v="11.2"/>
    <n v="1.7"/>
    <n v="1.5"/>
    <n v="0"/>
    <n v="3.3"/>
    <n v="4"/>
    <n v="3.6"/>
    <s v="No"/>
    <n v="0"/>
    <n v="0"/>
    <m/>
    <n v="1"/>
    <x v="0"/>
    <m/>
    <n v="1"/>
    <n v="0"/>
    <x v="1"/>
    <s v="5+ years"/>
    <s v="Low"/>
    <s v="3.6333333333333333"/>
    <n v="0.25"/>
    <n v="0"/>
  </r>
  <r>
    <s v="EMP0136"/>
    <s v="Engineering"/>
    <x v="12"/>
    <n v="17.899999999999999"/>
    <s v="G4"/>
    <n v="42"/>
    <s v="Bachelor"/>
    <s v="Coimbatore"/>
    <n v="6"/>
    <n v="4.3"/>
    <n v="9"/>
    <n v="1"/>
    <n v="12"/>
    <n v="0"/>
    <s v="Band D"/>
    <n v="96600"/>
    <n v="8.8000000000000007"/>
    <n v="3.1"/>
    <n v="1"/>
    <n v="0"/>
    <n v="3.3"/>
    <n v="2.2000000000000002"/>
    <n v="2.5"/>
    <s v="Yes"/>
    <n v="1"/>
    <n v="0"/>
    <m/>
    <n v="0"/>
    <x v="0"/>
    <m/>
    <n v="1"/>
    <n v="0"/>
    <x v="1"/>
    <s v="5+ years"/>
    <s v="Low"/>
    <s v="2.6666666666666665"/>
    <n v="0.5"/>
    <n v="0"/>
  </r>
  <r>
    <s v="EMP0137"/>
    <s v="Customer Support"/>
    <x v="2"/>
    <n v="2.9"/>
    <s v="G3"/>
    <n v="32"/>
    <s v="Diploma"/>
    <s v="Chennai"/>
    <n v="2"/>
    <n v="21.7"/>
    <n v="8"/>
    <n v="2"/>
    <n v="12"/>
    <n v="0"/>
    <s v="Band B"/>
    <n v="43300"/>
    <n v="15.6"/>
    <n v="3.2"/>
    <n v="1.1000000000000001"/>
    <n v="0"/>
    <n v="2.2000000000000002"/>
    <n v="3.3"/>
    <n v="3.8"/>
    <s v="Yes"/>
    <n v="0"/>
    <n v="0"/>
    <m/>
    <n v="1"/>
    <x v="0"/>
    <m/>
    <n v="1"/>
    <n v="0"/>
    <x v="1"/>
    <s v="1â€“3 years"/>
    <s v="High"/>
    <n v="3.1"/>
    <s v="0.16666666666666666"/>
    <n v="0"/>
  </r>
  <r>
    <s v="EMP0138"/>
    <s v="Hr"/>
    <x v="1"/>
    <n v="3.9"/>
    <s v="G3"/>
    <n v="27"/>
    <s v="Diploma"/>
    <s v="Chennai"/>
    <n v="1"/>
    <n v="5.4"/>
    <n v="8"/>
    <n v="3"/>
    <n v="12"/>
    <n v="0"/>
    <s v="Band C"/>
    <n v="52300"/>
    <n v="2.1"/>
    <n v="3.2"/>
    <n v="4.5"/>
    <n v="0"/>
    <n v="2.4"/>
    <n v="4.5999999999999996"/>
    <n v="3"/>
    <s v="Yes"/>
    <n v="0"/>
    <n v="1"/>
    <n v="1.9"/>
    <n v="0"/>
    <x v="0"/>
    <m/>
    <n v="0"/>
    <n v="0"/>
    <x v="0"/>
    <s v="3â€“5 years"/>
    <s v="Low"/>
    <s v="3.3333333333333335"/>
    <n v="8.3333333333333301E-2"/>
    <n v="0"/>
  </r>
  <r>
    <s v="EMP0139"/>
    <s v="Operations"/>
    <x v="3"/>
    <n v="10.6"/>
    <s v="G1"/>
    <n v="32"/>
    <s v="Master"/>
    <s v="Bengaluru"/>
    <n v="1"/>
    <n v="3.2"/>
    <n v="9"/>
    <n v="0"/>
    <n v="12"/>
    <n v="0"/>
    <s v="Band B"/>
    <n v="36300"/>
    <n v="1.1000000000000001"/>
    <n v="1.4"/>
    <n v="2"/>
    <n v="0"/>
    <n v="3.3"/>
    <n v="1.6"/>
    <n v="2.4"/>
    <s v="Yes"/>
    <n v="1"/>
    <n v="0"/>
    <m/>
    <n v="1"/>
    <x v="0"/>
    <m/>
    <n v="1"/>
    <n v="0"/>
    <x v="1"/>
    <s v="5+ years"/>
    <s v="Low"/>
    <s v="2.4333333333333336"/>
    <n v="8.3333333333333301E-2"/>
    <n v="0"/>
  </r>
  <r>
    <s v="EMP0140"/>
    <s v="Engineering"/>
    <x v="10"/>
    <n v="4.5999999999999996"/>
    <s v="G5"/>
    <n v="24"/>
    <s v="Master"/>
    <s v="Remote"/>
    <n v="4"/>
    <n v="23"/>
    <n v="10"/>
    <n v="2"/>
    <n v="12"/>
    <n v="0"/>
    <s v="Band D"/>
    <n v="89000"/>
    <n v="8.6"/>
    <n v="1.9"/>
    <n v="0.6"/>
    <n v="0"/>
    <n v="3.1"/>
    <n v="3.3"/>
    <n v="2.6"/>
    <s v="Yes"/>
    <n v="1"/>
    <n v="2"/>
    <n v="0.1"/>
    <n v="0"/>
    <x v="0"/>
    <m/>
    <n v="0"/>
    <n v="0"/>
    <x v="0"/>
    <s v="3â€“5 years"/>
    <s v="High"/>
    <n v="3"/>
    <s v="0.3333333333333333"/>
    <n v="0"/>
  </r>
  <r>
    <s v="EMP0141"/>
    <s v="Hr"/>
    <x v="15"/>
    <n v="4.3"/>
    <s v="G2"/>
    <n v="24"/>
    <s v="Master"/>
    <s v="Bengaluru"/>
    <n v="1"/>
    <n v="11.8"/>
    <n v="8"/>
    <n v="5"/>
    <n v="12"/>
    <n v="0"/>
    <s v="Band B"/>
    <n v="37600"/>
    <n v="10.6"/>
    <n v="3.4"/>
    <n v="2.2000000000000002"/>
    <n v="0"/>
    <n v="3.9"/>
    <n v="4.3"/>
    <n v="4.0999999999999996"/>
    <s v="Yes"/>
    <n v="0"/>
    <n v="0"/>
    <m/>
    <n v="1"/>
    <x v="0"/>
    <m/>
    <n v="1"/>
    <n v="0"/>
    <x v="1"/>
    <s v="3â€“5 years"/>
    <s v="Moderate"/>
    <n v="4.0999999999999996"/>
    <n v="8.3333333333333301E-2"/>
    <n v="0"/>
  </r>
  <r>
    <s v="EMP0142"/>
    <s v="Hr"/>
    <x v="15"/>
    <n v="9.3000000000000007"/>
    <s v="G3"/>
    <n v="32"/>
    <s v="Bachelor"/>
    <s v="Chennai"/>
    <n v="7"/>
    <n v="31"/>
    <n v="8"/>
    <n v="5"/>
    <n v="12"/>
    <n v="0"/>
    <s v="Band C"/>
    <n v="55000"/>
    <n v="0"/>
    <n v="3.8"/>
    <n v="0.4"/>
    <n v="0"/>
    <n v="3"/>
    <n v="3.2"/>
    <n v="1.8"/>
    <s v="Yes"/>
    <n v="0"/>
    <n v="0"/>
    <m/>
    <n v="2"/>
    <x v="0"/>
    <m/>
    <n v="1"/>
    <n v="0"/>
    <x v="1"/>
    <s v="5+ years"/>
    <s v="High"/>
    <s v="2.6666666666666665"/>
    <s v="0.5833333333333334"/>
    <n v="0"/>
  </r>
  <r>
    <s v="EMP0143"/>
    <s v="Customer Support"/>
    <x v="9"/>
    <n v="4"/>
    <s v="G4"/>
    <n v="25"/>
    <s v="Bachelor"/>
    <s v="Bengaluru"/>
    <n v="1"/>
    <n v="28.8"/>
    <n v="6"/>
    <n v="1"/>
    <n v="12"/>
    <n v="0"/>
    <s v="Band D"/>
    <n v="77000"/>
    <n v="8"/>
    <n v="1.4"/>
    <n v="1.3"/>
    <n v="0"/>
    <n v="3.3"/>
    <n v="2.4"/>
    <n v="4.2"/>
    <s v="Yes"/>
    <n v="0"/>
    <n v="2"/>
    <n v="0.6"/>
    <n v="1"/>
    <x v="0"/>
    <m/>
    <n v="0"/>
    <n v="0"/>
    <x v="0"/>
    <s v="3â€“5 years"/>
    <s v="High"/>
    <s v="3.2999999999999994"/>
    <n v="8.3333333333333301E-2"/>
    <n v="0"/>
  </r>
  <r>
    <s v="EMP0144"/>
    <s v="Finance"/>
    <x v="11"/>
    <n v="1.6"/>
    <s v="G2"/>
    <n v="29"/>
    <s v="Bachelor"/>
    <s v="Hyderabad"/>
    <n v="3"/>
    <n v="3.5"/>
    <n v="10"/>
    <n v="0"/>
    <n v="12"/>
    <n v="0"/>
    <s v="Band A"/>
    <n v="31000"/>
    <n v="7.3"/>
    <n v="2"/>
    <n v="3.3"/>
    <n v="0"/>
    <n v="5"/>
    <n v="3"/>
    <n v="4.3"/>
    <s v="Yes"/>
    <n v="0"/>
    <n v="2"/>
    <n v="0.4"/>
    <n v="0"/>
    <x v="0"/>
    <m/>
    <n v="0"/>
    <n v="0"/>
    <x v="0"/>
    <s v="1â€“3 years"/>
    <s v="Low"/>
    <s v="4.1000000000000005"/>
    <n v="0.25"/>
    <n v="0"/>
  </r>
  <r>
    <s v="EMP0145"/>
    <s v="Hr"/>
    <x v="7"/>
    <n v="8.1"/>
    <s v="G1"/>
    <n v="29"/>
    <s v="Bachelor"/>
    <s v="Coimbatore"/>
    <n v="3"/>
    <n v="9.1999999999999993"/>
    <n v="7"/>
    <n v="1"/>
    <n v="12"/>
    <n v="0"/>
    <s v="Band A"/>
    <n v="32900"/>
    <n v="11"/>
    <n v="4.0999999999999996"/>
    <n v="1.3"/>
    <n v="0"/>
    <n v="2.4"/>
    <n v="2.4"/>
    <n v="3.1"/>
    <s v="Yes"/>
    <n v="0"/>
    <n v="0"/>
    <m/>
    <n v="0"/>
    <x v="0"/>
    <m/>
    <n v="1"/>
    <n v="0"/>
    <x v="1"/>
    <s v="5+ years"/>
    <s v="Low"/>
    <s v="2.6333333333333333"/>
    <n v="0.25"/>
    <n v="0"/>
  </r>
  <r>
    <s v="EMP0146"/>
    <s v="Sales"/>
    <x v="8"/>
    <n v="0.9"/>
    <s v="G1"/>
    <n v="21"/>
    <s v="Bachelor"/>
    <s v="Hyderabad"/>
    <n v="2"/>
    <n v="4"/>
    <n v="10"/>
    <n v="1"/>
    <n v="12"/>
    <n v="0"/>
    <s v="Band A"/>
    <n v="25900"/>
    <n v="9.6999999999999993"/>
    <n v="2.1"/>
    <n v="0.3"/>
    <n v="0"/>
    <n v="2.7"/>
    <n v="3.3"/>
    <n v="2.2999999999999998"/>
    <s v="Yes"/>
    <n v="0"/>
    <n v="1"/>
    <n v="0.5"/>
    <n v="0"/>
    <x v="0"/>
    <m/>
    <n v="0"/>
    <n v="0"/>
    <x v="0"/>
    <s v="0â€“1 years"/>
    <s v="Low"/>
    <s v="2.766666666666667"/>
    <s v="0.16666666666666666"/>
    <n v="0"/>
  </r>
  <r>
    <s v="EMP0147"/>
    <s v="Sales"/>
    <x v="13"/>
    <n v="7.3"/>
    <s v="G4"/>
    <n v="29"/>
    <s v="Master"/>
    <s v="Coimbatore"/>
    <n v="0"/>
    <n v="4"/>
    <n v="9"/>
    <n v="3"/>
    <n v="12"/>
    <n v="0"/>
    <s v="Band D"/>
    <n v="75500"/>
    <n v="0.8"/>
    <n v="3.2"/>
    <n v="1.2"/>
    <n v="0"/>
    <n v="3.3"/>
    <n v="3"/>
    <n v="3.8"/>
    <s v="Yes"/>
    <n v="1"/>
    <n v="0"/>
    <m/>
    <n v="0"/>
    <x v="0"/>
    <m/>
    <n v="1"/>
    <n v="0"/>
    <x v="1"/>
    <s v="5+ years"/>
    <s v="Low"/>
    <s v="3.3666666666666667"/>
    <n v="0"/>
    <n v="0"/>
  </r>
  <r>
    <s v="EMP0148"/>
    <s v="Finance"/>
    <x v="17"/>
    <n v="3.7"/>
    <s v="G2"/>
    <n v="28"/>
    <s v="Master"/>
    <s v="Chennai"/>
    <n v="2"/>
    <n v="7"/>
    <n v="9"/>
    <n v="2"/>
    <n v="12"/>
    <n v="0"/>
    <s v="Band B"/>
    <n v="37900"/>
    <n v="3.7"/>
    <n v="2"/>
    <n v="3.3"/>
    <n v="0"/>
    <n v="4.2"/>
    <n v="2.7"/>
    <n v="3"/>
    <s v="Yes"/>
    <n v="0"/>
    <n v="0"/>
    <m/>
    <n v="0"/>
    <x v="0"/>
    <m/>
    <n v="1"/>
    <n v="0"/>
    <x v="1"/>
    <s v="3â€“5 years"/>
    <s v="Low"/>
    <s v="3.3000000000000003"/>
    <s v="0.16666666666666666"/>
    <n v="0"/>
  </r>
  <r>
    <s v="EMP0149"/>
    <s v="Hr"/>
    <x v="15"/>
    <n v="3"/>
    <s v="G1"/>
    <n v="27"/>
    <s v="Master"/>
    <s v="Bengaluru"/>
    <n v="1"/>
    <n v="15.8"/>
    <n v="11"/>
    <n v="3"/>
    <n v="12"/>
    <n v="0"/>
    <s v="Band A"/>
    <n v="30500"/>
    <n v="4.8"/>
    <n v="3.9"/>
    <n v="0.5"/>
    <n v="0"/>
    <n v="3.7"/>
    <n v="3.6"/>
    <n v="2.2000000000000002"/>
    <s v="Yes"/>
    <n v="0"/>
    <n v="0"/>
    <m/>
    <n v="0"/>
    <x v="0"/>
    <m/>
    <n v="1"/>
    <n v="0"/>
    <x v="1"/>
    <s v="1â€“3 years"/>
    <s v="Moderate"/>
    <s v="3.1666666666666665"/>
    <n v="8.3333333333333301E-2"/>
    <n v="0"/>
  </r>
  <r>
    <s v="EMP0150"/>
    <s v="Engineering"/>
    <x v="4"/>
    <n v="2.9"/>
    <s v="G3"/>
    <n v="35"/>
    <s v="Bachelor"/>
    <s v="Coimbatore"/>
    <n v="1"/>
    <n v="15.9"/>
    <n v="10"/>
    <n v="4"/>
    <n v="12"/>
    <n v="0"/>
    <s v="Band C"/>
    <n v="52600"/>
    <n v="11"/>
    <n v="1.4"/>
    <n v="2.1"/>
    <n v="0"/>
    <n v="4.9000000000000004"/>
    <n v="4.5999999999999996"/>
    <n v="4.9000000000000004"/>
    <s v="Yes"/>
    <n v="0"/>
    <n v="0"/>
    <m/>
    <n v="0"/>
    <x v="0"/>
    <m/>
    <n v="1"/>
    <n v="0"/>
    <x v="1"/>
    <s v="1â€“3 years"/>
    <s v="Moderate"/>
    <n v="4.8"/>
    <n v="8.3333333333333301E-2"/>
    <n v="0"/>
  </r>
  <r>
    <s v="EMP0151"/>
    <s v="Customer Support"/>
    <x v="5"/>
    <n v="3.3"/>
    <s v="G2"/>
    <n v="27"/>
    <s v="Bachelor"/>
    <s v="Remote"/>
    <n v="6"/>
    <n v="14.5"/>
    <n v="6"/>
    <n v="2"/>
    <n v="12"/>
    <n v="0"/>
    <s v="Band B"/>
    <n v="45400"/>
    <n v="9.5"/>
    <n v="2.9"/>
    <n v="3.4"/>
    <n v="0"/>
    <n v="3.6"/>
    <n v="3.5"/>
    <n v="2.7"/>
    <s v="Yes"/>
    <n v="0"/>
    <n v="0"/>
    <m/>
    <n v="0"/>
    <x v="0"/>
    <m/>
    <n v="1"/>
    <n v="0"/>
    <x v="1"/>
    <s v="3â€“5 years"/>
    <s v="Moderate"/>
    <s v="3.266666666666667"/>
    <n v="0.5"/>
    <n v="0"/>
  </r>
  <r>
    <s v="EMP0152"/>
    <s v="Customer Support"/>
    <x v="5"/>
    <n v="2.6"/>
    <s v="G4"/>
    <n v="32"/>
    <s v="Bachelor"/>
    <s v="Coimbatore"/>
    <n v="6"/>
    <n v="8.5"/>
    <n v="6"/>
    <n v="1"/>
    <n v="12"/>
    <n v="0"/>
    <s v="Band D"/>
    <n v="79000"/>
    <n v="5.5"/>
    <n v="4"/>
    <n v="1.7"/>
    <n v="0"/>
    <n v="1.5"/>
    <n v="4.4000000000000004"/>
    <n v="2.2000000000000002"/>
    <s v="Yes"/>
    <n v="0"/>
    <n v="0"/>
    <m/>
    <n v="2"/>
    <x v="0"/>
    <m/>
    <n v="1"/>
    <n v="0"/>
    <x v="1"/>
    <s v="1â€“3 years"/>
    <s v="Low"/>
    <s v="2.7000000000000006"/>
    <n v="0.5"/>
    <n v="0"/>
  </r>
  <r>
    <s v="EMP0153"/>
    <s v="Engineering"/>
    <x v="4"/>
    <n v="5.0999999999999996"/>
    <s v="G2"/>
    <n v="31"/>
    <s v="Diploma"/>
    <s v="Coimbatore"/>
    <n v="2"/>
    <n v="16.5"/>
    <n v="3"/>
    <n v="2"/>
    <n v="12"/>
    <n v="0"/>
    <s v="Band B"/>
    <n v="36000"/>
    <n v="8.6"/>
    <n v="3.7"/>
    <n v="1.3"/>
    <n v="0"/>
    <n v="3.3"/>
    <n v="4.5999999999999996"/>
    <n v="3.6"/>
    <s v="Yes"/>
    <n v="1"/>
    <n v="1"/>
    <n v="1.6"/>
    <n v="0"/>
    <x v="0"/>
    <m/>
    <n v="0"/>
    <n v="0"/>
    <x v="0"/>
    <s v="5+ years"/>
    <s v="Moderate"/>
    <s v="3.8333333333333335"/>
    <s v="0.16666666666666666"/>
    <n v="0"/>
  </r>
  <r>
    <s v="EMP0154"/>
    <s v="Finance"/>
    <x v="11"/>
    <n v="2.7"/>
    <s v="G1"/>
    <n v="29"/>
    <s v="Master"/>
    <s v="Coimbatore"/>
    <n v="3"/>
    <n v="3.2"/>
    <n v="11"/>
    <n v="4"/>
    <n v="12"/>
    <n v="0"/>
    <s v="Band A"/>
    <n v="32900"/>
    <n v="3.8"/>
    <n v="2.8"/>
    <n v="0.6"/>
    <n v="0"/>
    <n v="2.8"/>
    <n v="2.7"/>
    <n v="3.3"/>
    <s v="Yes"/>
    <n v="0"/>
    <n v="1"/>
    <n v="2.5"/>
    <n v="0"/>
    <x v="0"/>
    <m/>
    <n v="0"/>
    <n v="0"/>
    <x v="0"/>
    <s v="1â€“3 years"/>
    <s v="Low"/>
    <s v="2.9333333333333336"/>
    <n v="0.25"/>
    <n v="0"/>
  </r>
  <r>
    <s v="EMP0155"/>
    <s v="Engineering"/>
    <x v="12"/>
    <n v="3.7"/>
    <s v="G1"/>
    <n v="26"/>
    <s v="Bachelor"/>
    <s v="Coimbatore"/>
    <n v="4"/>
    <n v="11.9"/>
    <n v="9"/>
    <n v="1"/>
    <n v="12"/>
    <n v="0"/>
    <s v="Band A"/>
    <n v="29800"/>
    <n v="16.2"/>
    <n v="2.6"/>
    <n v="0.7"/>
    <n v="0"/>
    <n v="4.5"/>
    <n v="3.4"/>
    <n v="4.5999999999999996"/>
    <s v="Yes"/>
    <n v="0"/>
    <n v="0"/>
    <m/>
    <n v="0"/>
    <x v="0"/>
    <m/>
    <n v="1"/>
    <n v="0"/>
    <x v="1"/>
    <s v="3â€“5 years"/>
    <s v="Moderate"/>
    <s v="4.166666666666667"/>
    <s v="0.3333333333333333"/>
    <n v="0"/>
  </r>
  <r>
    <s v="EMP0156"/>
    <s v="Operations"/>
    <x v="3"/>
    <n v="0.5"/>
    <s v="G2"/>
    <n v="26"/>
    <s v="Master"/>
    <s v="Chennai"/>
    <n v="2"/>
    <n v="10.199999999999999"/>
    <n v="6"/>
    <n v="1"/>
    <n v="12"/>
    <n v="0"/>
    <s v="Band B"/>
    <n v="38800"/>
    <n v="10.3"/>
    <n v="3"/>
    <n v="1"/>
    <n v="0"/>
    <n v="4.2"/>
    <n v="2.8"/>
    <n v="3.1"/>
    <s v="Yes"/>
    <n v="0"/>
    <n v="0"/>
    <m/>
    <n v="0"/>
    <x v="0"/>
    <m/>
    <n v="1"/>
    <n v="0"/>
    <x v="1"/>
    <s v="0â€“1 years"/>
    <s v="Moderate"/>
    <s v="3.3666666666666667"/>
    <s v="0.16666666666666666"/>
    <n v="0"/>
  </r>
  <r>
    <s v="EMP0157"/>
    <s v="Sales"/>
    <x v="8"/>
    <n v="3.7"/>
    <s v="G2"/>
    <n v="27"/>
    <s v="Diploma"/>
    <s v="Bengaluru"/>
    <n v="0"/>
    <n v="8"/>
    <n v="10"/>
    <n v="5"/>
    <n v="12"/>
    <n v="0"/>
    <s v="Band B"/>
    <n v="42900"/>
    <n v="11.1"/>
    <n v="2"/>
    <n v="2.2000000000000002"/>
    <n v="0"/>
    <n v="1.9"/>
    <n v="1.9"/>
    <n v="3.1"/>
    <s v="Yes"/>
    <n v="0"/>
    <n v="1"/>
    <n v="0.2"/>
    <n v="1"/>
    <x v="0"/>
    <m/>
    <n v="0"/>
    <n v="0"/>
    <x v="0"/>
    <s v="3â€“5 years"/>
    <s v="Low"/>
    <s v="2.3000000000000003"/>
    <n v="0"/>
    <n v="0"/>
  </r>
  <r>
    <s v="EMP0158"/>
    <s v="Operations"/>
    <x v="3"/>
    <n v="2.6"/>
    <s v="G3"/>
    <n v="29"/>
    <s v="Doctorate"/>
    <s v="Coimbatore"/>
    <n v="5"/>
    <n v="12.3"/>
    <n v="9"/>
    <n v="0"/>
    <n v="12"/>
    <n v="0"/>
    <s v="Band B"/>
    <n v="45900"/>
    <n v="13.5"/>
    <n v="3.1"/>
    <n v="6.3"/>
    <n v="0"/>
    <n v="4.5"/>
    <n v="3.5"/>
    <n v="3.7"/>
    <s v="Yes"/>
    <n v="0"/>
    <n v="0"/>
    <m/>
    <n v="2"/>
    <x v="0"/>
    <m/>
    <n v="1"/>
    <n v="0"/>
    <x v="1"/>
    <s v="1â€“3 years"/>
    <s v="Moderate"/>
    <n v="3.9"/>
    <s v="0.4166666666666667"/>
    <n v="0"/>
  </r>
  <r>
    <s v="EMP0159"/>
    <s v="Operations"/>
    <x v="0"/>
    <n v="6.9"/>
    <s v="G2"/>
    <n v="32"/>
    <s v="Doctorate"/>
    <s v="Coimbatore"/>
    <n v="4"/>
    <n v="4.0999999999999996"/>
    <n v="7"/>
    <n v="2"/>
    <n v="12"/>
    <n v="0"/>
    <s v="Band A"/>
    <n v="34000"/>
    <n v="12.1"/>
    <n v="3.1"/>
    <n v="0.5"/>
    <n v="0"/>
    <n v="4.0999999999999996"/>
    <n v="2.2999999999999998"/>
    <n v="3.6"/>
    <s v="Yes"/>
    <n v="0"/>
    <n v="3"/>
    <n v="1.2"/>
    <n v="1"/>
    <x v="0"/>
    <m/>
    <n v="0"/>
    <n v="0"/>
    <x v="0"/>
    <s v="5+ years"/>
    <s v="Low"/>
    <s v="3.3333333333333335"/>
    <s v="0.3333333333333333"/>
    <n v="0"/>
  </r>
  <r>
    <s v="EMP0160"/>
    <s v="Operations"/>
    <x v="3"/>
    <n v="3.1"/>
    <s v="G2"/>
    <n v="25"/>
    <s v="Bachelor"/>
    <s v="Bengaluru"/>
    <n v="4"/>
    <n v="14.9"/>
    <n v="6"/>
    <n v="3"/>
    <n v="12"/>
    <n v="0"/>
    <s v="Band B"/>
    <n v="38700"/>
    <n v="8.1"/>
    <n v="2.8"/>
    <n v="1.9"/>
    <n v="0"/>
    <n v="3"/>
    <n v="3.6"/>
    <n v="3.6"/>
    <s v="Yes"/>
    <n v="0"/>
    <n v="0"/>
    <m/>
    <n v="1"/>
    <x v="0"/>
    <m/>
    <n v="1"/>
    <n v="0"/>
    <x v="1"/>
    <s v="3â€“5 years"/>
    <s v="Moderate"/>
    <n v="3.4"/>
    <s v="0.3333333333333333"/>
    <n v="0"/>
  </r>
  <r>
    <s v="EMP0161"/>
    <s v="Engineering"/>
    <x v="4"/>
    <n v="6.3"/>
    <s v="G2"/>
    <n v="36"/>
    <s v="Master"/>
    <s v="Chennai"/>
    <n v="5"/>
    <n v="9.9"/>
    <n v="7"/>
    <n v="1"/>
    <n v="12"/>
    <n v="0"/>
    <s v="Band B"/>
    <n v="37500"/>
    <n v="7.3"/>
    <n v="4.0999999999999996"/>
    <n v="2.8"/>
    <n v="0"/>
    <n v="3.2"/>
    <n v="1.8"/>
    <n v="3.6"/>
    <s v="Yes"/>
    <n v="0"/>
    <n v="5"/>
    <n v="1.7"/>
    <n v="0"/>
    <x v="0"/>
    <m/>
    <n v="0"/>
    <n v="0"/>
    <x v="0"/>
    <s v="5+ years"/>
    <s v="Low"/>
    <s v="2.8666666666666667"/>
    <s v="0.4166666666666667"/>
    <n v="0"/>
  </r>
  <r>
    <s v="EMP0162"/>
    <s v="Customer Support"/>
    <x v="5"/>
    <n v="5.8"/>
    <s v="G2"/>
    <n v="34"/>
    <s v="Bachelor"/>
    <s v="Bengaluru"/>
    <n v="6"/>
    <n v="2.2000000000000002"/>
    <n v="10"/>
    <n v="1"/>
    <n v="12"/>
    <n v="0"/>
    <s v="Band C"/>
    <n v="50200"/>
    <n v="13.2"/>
    <n v="2.2000000000000002"/>
    <n v="1.2"/>
    <n v="0"/>
    <n v="4.5999999999999996"/>
    <n v="3.4"/>
    <n v="3.5"/>
    <s v="Yes"/>
    <n v="0"/>
    <n v="0"/>
    <m/>
    <n v="0"/>
    <x v="0"/>
    <m/>
    <n v="1"/>
    <n v="0"/>
    <x v="1"/>
    <s v="5+ years"/>
    <s v="Low"/>
    <s v="3.8333333333333335"/>
    <n v="0.5"/>
    <n v="0"/>
  </r>
  <r>
    <s v="EMP0163"/>
    <s v="Engineering"/>
    <x v="10"/>
    <n v="5.9"/>
    <s v="G5"/>
    <n v="30"/>
    <s v="Master"/>
    <s v="Coimbatore"/>
    <n v="2"/>
    <n v="9.8000000000000007"/>
    <n v="3"/>
    <n v="2"/>
    <n v="12"/>
    <n v="0"/>
    <s v="Band D"/>
    <n v="91300"/>
    <n v="8.1"/>
    <n v="1.7"/>
    <n v="1.2"/>
    <n v="0"/>
    <n v="1.5"/>
    <n v="1.8"/>
    <n v="3.1"/>
    <s v="Yes"/>
    <n v="0"/>
    <n v="1"/>
    <n v="0.3"/>
    <n v="0"/>
    <x v="0"/>
    <m/>
    <n v="0"/>
    <n v="0"/>
    <x v="0"/>
    <s v="5+ years"/>
    <s v="Low"/>
    <s v="2.1333333333333333"/>
    <s v="0.16666666666666666"/>
    <n v="0"/>
  </r>
  <r>
    <s v="EMP0164"/>
    <s v="Engineering"/>
    <x v="4"/>
    <n v="3.1"/>
    <s v="G1"/>
    <n v="30"/>
    <s v="Master"/>
    <s v="Coimbatore"/>
    <n v="6"/>
    <n v="6.3"/>
    <n v="13"/>
    <n v="2"/>
    <n v="12"/>
    <n v="0"/>
    <s v="Band A"/>
    <n v="28600"/>
    <n v="5"/>
    <n v="2.7"/>
    <n v="0.2"/>
    <n v="0"/>
    <n v="3.7"/>
    <n v="3.8"/>
    <n v="4.0999999999999996"/>
    <s v="No"/>
    <n v="0"/>
    <n v="1"/>
    <n v="1.7"/>
    <n v="2"/>
    <x v="0"/>
    <m/>
    <n v="0"/>
    <n v="0"/>
    <x v="0"/>
    <s v="3â€“5 years"/>
    <s v="Low"/>
    <s v="3.8666666666666667"/>
    <n v="0.5"/>
    <n v="0"/>
  </r>
  <r>
    <s v="EMP0165"/>
    <s v="Finance"/>
    <x v="17"/>
    <n v="3.9"/>
    <s v="G5"/>
    <n v="30"/>
    <s v="Master"/>
    <s v="Bengaluru"/>
    <n v="4"/>
    <n v="22.1"/>
    <n v="9"/>
    <n v="2"/>
    <n v="12"/>
    <n v="0"/>
    <s v="Band D"/>
    <n v="100000"/>
    <n v="15.9"/>
    <n v="3.3"/>
    <n v="1.4"/>
    <n v="0"/>
    <n v="3.3"/>
    <n v="2.8"/>
    <n v="3.1"/>
    <s v="No"/>
    <n v="1"/>
    <n v="2"/>
    <m/>
    <n v="1"/>
    <x v="0"/>
    <m/>
    <n v="1"/>
    <n v="0"/>
    <x v="0"/>
    <s v="3â€“5 years"/>
    <s v="High"/>
    <s v="3.0666666666666664"/>
    <s v="0.3333333333333333"/>
    <n v="0"/>
  </r>
  <r>
    <s v="EMP0166"/>
    <s v="Sales"/>
    <x v="14"/>
    <n v="5"/>
    <s v="G2"/>
    <n v="28"/>
    <s v="Master"/>
    <s v="Bengaluru"/>
    <n v="2"/>
    <n v="3.4"/>
    <n v="8"/>
    <n v="2"/>
    <n v="12"/>
    <n v="0"/>
    <s v="Band B"/>
    <n v="45600"/>
    <n v="4.3"/>
    <n v="3.1"/>
    <n v="1.1000000000000001"/>
    <n v="0"/>
    <n v="3.2"/>
    <n v="2.8"/>
    <n v="4"/>
    <s v="Yes"/>
    <n v="0"/>
    <n v="0"/>
    <m/>
    <n v="0"/>
    <x v="0"/>
    <m/>
    <n v="1"/>
    <n v="0"/>
    <x v="1"/>
    <s v="3â€“5 years"/>
    <s v="Low"/>
    <s v="3.3333333333333335"/>
    <s v="0.16666666666666666"/>
    <n v="0"/>
  </r>
  <r>
    <s v="EMP0167"/>
    <s v="Customer Support"/>
    <x v="5"/>
    <n v="4"/>
    <s v="G1"/>
    <n v="30"/>
    <s v="Bachelor"/>
    <s v="Hyderabad"/>
    <n v="1"/>
    <n v="3.6"/>
    <n v="11"/>
    <n v="2"/>
    <n v="12"/>
    <n v="0"/>
    <s v="Band A"/>
    <n v="25400"/>
    <n v="1.1000000000000001"/>
    <n v="3.1"/>
    <n v="0.9"/>
    <n v="0"/>
    <n v="3.9"/>
    <n v="4.2"/>
    <n v="4.5"/>
    <s v="Yes"/>
    <n v="0"/>
    <n v="1"/>
    <n v="3.7"/>
    <n v="0"/>
    <x v="0"/>
    <m/>
    <n v="0"/>
    <n v="0"/>
    <x v="0"/>
    <s v="3â€“5 years"/>
    <s v="Low"/>
    <n v="4.2"/>
    <n v="8.3333333333333301E-2"/>
    <n v="0"/>
  </r>
  <r>
    <s v="EMP0168"/>
    <s v="Operations"/>
    <x v="0"/>
    <n v="3.1"/>
    <s v="G2"/>
    <n v="27"/>
    <s v="Master"/>
    <s v="Coimbatore"/>
    <n v="5"/>
    <n v="13.5"/>
    <n v="11"/>
    <n v="3"/>
    <n v="12"/>
    <n v="0"/>
    <s v="Band A"/>
    <n v="31200"/>
    <n v="12"/>
    <n v="2.2000000000000002"/>
    <n v="1.6"/>
    <n v="0"/>
    <n v="3.4"/>
    <n v="2.9"/>
    <n v="2.9"/>
    <s v="Yes"/>
    <n v="0"/>
    <n v="0"/>
    <m/>
    <n v="1"/>
    <x v="0"/>
    <m/>
    <n v="1"/>
    <n v="0"/>
    <x v="1"/>
    <s v="3â€“5 years"/>
    <s v="Moderate"/>
    <s v="3.0666666666666664"/>
    <s v="0.4166666666666667"/>
    <n v="0"/>
  </r>
  <r>
    <s v="EMP0169"/>
    <s v="Sales"/>
    <x v="14"/>
    <n v="1.8"/>
    <s v="G1"/>
    <n v="24"/>
    <s v="Master"/>
    <s v="Chennai"/>
    <n v="4"/>
    <n v="8.6999999999999993"/>
    <n v="5"/>
    <n v="0"/>
    <n v="12"/>
    <n v="0"/>
    <s v="Band A"/>
    <n v="32700"/>
    <n v="5.0999999999999996"/>
    <n v="2.2999999999999998"/>
    <n v="0.4"/>
    <n v="0"/>
    <n v="2.6"/>
    <n v="3.3"/>
    <n v="5"/>
    <s v="Yes"/>
    <n v="0"/>
    <n v="2"/>
    <n v="1.1000000000000001"/>
    <n v="0"/>
    <x v="1"/>
    <d v="2025-12-03T00:00:00"/>
    <n v="0"/>
    <n v="0"/>
    <x v="0"/>
    <s v="1â€“3 years"/>
    <s v="Low"/>
    <s v="3.6333333333333333"/>
    <s v="0.3333333333333333"/>
    <n v="1"/>
  </r>
  <r>
    <s v="EMP0170"/>
    <s v="Customer Support"/>
    <x v="9"/>
    <n v="3.8"/>
    <s v="G4"/>
    <n v="23"/>
    <s v="Bachelor"/>
    <s v="Bengaluru"/>
    <n v="3"/>
    <n v="8.4"/>
    <n v="7"/>
    <n v="1"/>
    <n v="12"/>
    <n v="0"/>
    <s v="Band C"/>
    <n v="72600"/>
    <n v="9.6999999999999993"/>
    <n v="2.8"/>
    <n v="0.5"/>
    <n v="0"/>
    <n v="2.6"/>
    <n v="3"/>
    <n v="2.8"/>
    <s v="Yes"/>
    <n v="0"/>
    <n v="0"/>
    <m/>
    <n v="0"/>
    <x v="0"/>
    <m/>
    <n v="1"/>
    <n v="0"/>
    <x v="1"/>
    <s v="3â€“5 years"/>
    <s v="Low"/>
    <s v="2.7999999999999994"/>
    <n v="0.25"/>
    <n v="0"/>
  </r>
  <r>
    <s v="EMP0171"/>
    <s v="Sales"/>
    <x v="13"/>
    <n v="1"/>
    <s v="G2"/>
    <n v="26"/>
    <s v="Diploma"/>
    <s v="Bengaluru"/>
    <n v="5"/>
    <n v="41.4"/>
    <n v="16"/>
    <n v="4"/>
    <n v="12"/>
    <n v="0"/>
    <s v="Band B"/>
    <n v="41700"/>
    <n v="15.3"/>
    <n v="2.7"/>
    <n v="1.5"/>
    <n v="0"/>
    <n v="3.9"/>
    <n v="3.7"/>
    <n v="2.8"/>
    <s v="Yes"/>
    <n v="0"/>
    <n v="0"/>
    <m/>
    <n v="1"/>
    <x v="0"/>
    <m/>
    <n v="1"/>
    <n v="0"/>
    <x v="1"/>
    <s v="0â€“1 years"/>
    <s v="High"/>
    <s v="3.4666666666666663"/>
    <s v="0.4166666666666667"/>
    <n v="0"/>
  </r>
  <r>
    <s v="EMP0172"/>
    <s v="Finance"/>
    <x v="17"/>
    <n v="0.5"/>
    <s v="G2"/>
    <n v="29"/>
    <s v="Master"/>
    <s v="Bengaluru"/>
    <n v="4"/>
    <n v="16.2"/>
    <n v="11"/>
    <n v="1"/>
    <n v="12"/>
    <n v="0"/>
    <s v="Band B"/>
    <n v="41900"/>
    <n v="2.5"/>
    <n v="4.2"/>
    <n v="3.9"/>
    <n v="0"/>
    <n v="3.3"/>
    <n v="4.0999999999999996"/>
    <n v="3.8"/>
    <s v="No"/>
    <n v="1"/>
    <n v="1"/>
    <n v="0.1"/>
    <n v="0"/>
    <x v="0"/>
    <m/>
    <n v="0"/>
    <n v="0"/>
    <x v="0"/>
    <s v="0â€“1 years"/>
    <s v="Moderate"/>
    <s v="3.733333333333333"/>
    <s v="0.3333333333333333"/>
    <n v="0"/>
  </r>
  <r>
    <s v="EMP0173"/>
    <s v="Sales"/>
    <x v="14"/>
    <n v="1.4"/>
    <s v="G3"/>
    <n v="25"/>
    <s v="Bachelor"/>
    <s v="Coimbatore"/>
    <n v="5"/>
    <n v="7.5"/>
    <n v="8"/>
    <n v="1"/>
    <n v="12"/>
    <n v="0"/>
    <s v="Band C"/>
    <n v="58400"/>
    <n v="7.8"/>
    <n v="3.4"/>
    <n v="1"/>
    <n v="0"/>
    <n v="1.9"/>
    <n v="4"/>
    <n v="3.8"/>
    <s v="Yes"/>
    <n v="0"/>
    <n v="0"/>
    <m/>
    <n v="0"/>
    <x v="0"/>
    <m/>
    <n v="1"/>
    <n v="0"/>
    <x v="1"/>
    <s v="1â€“3 years"/>
    <s v="Low"/>
    <s v="3.233333333333333"/>
    <s v="0.4166666666666667"/>
    <n v="0"/>
  </r>
  <r>
    <s v="EMP0174"/>
    <s v="Customer Support"/>
    <x v="9"/>
    <n v="5.8"/>
    <s v="G3"/>
    <n v="42"/>
    <s v="Bachelor"/>
    <s v="Hyderabad"/>
    <n v="4"/>
    <n v="1.9"/>
    <n v="4"/>
    <n v="0"/>
    <n v="12"/>
    <n v="0"/>
    <s v="Band C"/>
    <n v="52500"/>
    <n v="13.9"/>
    <n v="2.7"/>
    <n v="1.2"/>
    <n v="0"/>
    <n v="3.4"/>
    <n v="2.8"/>
    <n v="3.5"/>
    <s v="Yes"/>
    <n v="0"/>
    <n v="2"/>
    <n v="4.5"/>
    <n v="0"/>
    <x v="0"/>
    <m/>
    <n v="0"/>
    <n v="0"/>
    <x v="0"/>
    <s v="5+ years"/>
    <s v="Low"/>
    <s v="3.233333333333333"/>
    <s v="0.3333333333333333"/>
    <n v="0"/>
  </r>
  <r>
    <s v="EMP0175"/>
    <s v="Engineering"/>
    <x v="16"/>
    <n v="4.4000000000000004"/>
    <s v="G5"/>
    <n v="34"/>
    <s v="Master"/>
    <s v="Chennai"/>
    <n v="3"/>
    <n v="7.2"/>
    <n v="9"/>
    <n v="5"/>
    <n v="12"/>
    <n v="0"/>
    <s v="Band D"/>
    <n v="90800"/>
    <n v="10.7"/>
    <n v="4.2"/>
    <n v="1.2"/>
    <n v="0"/>
    <n v="2.8"/>
    <n v="4.3"/>
    <n v="4.0999999999999996"/>
    <s v="Yes"/>
    <n v="0"/>
    <n v="1"/>
    <n v="3.9"/>
    <n v="0"/>
    <x v="0"/>
    <m/>
    <n v="0"/>
    <n v="0"/>
    <x v="0"/>
    <s v="3â€“5 years"/>
    <s v="Low"/>
    <s v="3.733333333333333"/>
    <n v="0.25"/>
    <n v="0"/>
  </r>
  <r>
    <s v="EMP0176"/>
    <s v="Engineering"/>
    <x v="4"/>
    <n v="5.9"/>
    <s v="G5"/>
    <n v="37"/>
    <s v="Bachelor"/>
    <s v="Coimbatore"/>
    <n v="2"/>
    <n v="3.1"/>
    <n v="8"/>
    <n v="0"/>
    <n v="12"/>
    <n v="0"/>
    <s v="Band D"/>
    <n v="76500"/>
    <n v="7.3"/>
    <n v="3.6"/>
    <n v="0.4"/>
    <n v="0"/>
    <n v="2.2000000000000002"/>
    <n v="2.4"/>
    <n v="3.6"/>
    <s v="Yes"/>
    <n v="0"/>
    <n v="0"/>
    <m/>
    <n v="1"/>
    <x v="0"/>
    <m/>
    <n v="1"/>
    <n v="0"/>
    <x v="1"/>
    <s v="5+ years"/>
    <s v="Low"/>
    <s v="2.733333333333333"/>
    <s v="0.16666666666666666"/>
    <n v="0"/>
  </r>
  <r>
    <s v="EMP0177"/>
    <s v="Hr"/>
    <x v="1"/>
    <n v="2.1"/>
    <s v="G3"/>
    <n v="31"/>
    <s v="Bachelor"/>
    <s v="Chennai"/>
    <n v="1"/>
    <n v="4.4000000000000004"/>
    <n v="8"/>
    <n v="2"/>
    <n v="12"/>
    <n v="0"/>
    <s v="Band B"/>
    <n v="45900"/>
    <n v="17.600000000000001"/>
    <n v="2"/>
    <n v="0.9"/>
    <n v="0"/>
    <n v="3.4"/>
    <n v="2.5"/>
    <n v="5"/>
    <s v="Yes"/>
    <n v="0"/>
    <n v="1"/>
    <m/>
    <n v="2"/>
    <x v="0"/>
    <m/>
    <n v="1"/>
    <n v="0"/>
    <x v="0"/>
    <s v="1â€“3 years"/>
    <s v="Low"/>
    <s v="3.6333333333333333"/>
    <n v="8.3333333333333301E-2"/>
    <n v="0"/>
  </r>
  <r>
    <s v="EMP0178"/>
    <s v="Customer Support"/>
    <x v="2"/>
    <n v="7.4"/>
    <s v="G4"/>
    <n v="41"/>
    <s v="Bachelor"/>
    <s v="Coimbatore"/>
    <n v="4"/>
    <n v="4.5"/>
    <n v="10"/>
    <n v="3"/>
    <n v="12"/>
    <n v="0"/>
    <s v="Band D"/>
    <n v="76200"/>
    <n v="7.6"/>
    <n v="1"/>
    <n v="1.4"/>
    <n v="0"/>
    <n v="4"/>
    <n v="3.1"/>
    <n v="3.4"/>
    <s v="Yes"/>
    <n v="0"/>
    <n v="0"/>
    <m/>
    <n v="0"/>
    <x v="0"/>
    <m/>
    <n v="1"/>
    <n v="0"/>
    <x v="1"/>
    <s v="5+ years"/>
    <s v="Low"/>
    <n v="3.5"/>
    <s v="0.3333333333333333"/>
    <n v="0"/>
  </r>
  <r>
    <s v="EMP0179"/>
    <s v="Customer Support"/>
    <x v="2"/>
    <n v="1.1000000000000001"/>
    <s v="G4"/>
    <n v="24"/>
    <s v="Bachelor"/>
    <s v="Bengaluru"/>
    <n v="0"/>
    <n v="20.9"/>
    <n v="9"/>
    <n v="5"/>
    <n v="12"/>
    <n v="0"/>
    <s v="Band C"/>
    <n v="64100"/>
    <n v="9.6"/>
    <n v="2"/>
    <n v="1.4"/>
    <n v="0"/>
    <n v="3.3"/>
    <n v="4.0999999999999996"/>
    <n v="2.7"/>
    <s v="Yes"/>
    <n v="0"/>
    <n v="0"/>
    <m/>
    <n v="0"/>
    <x v="0"/>
    <m/>
    <n v="1"/>
    <n v="0"/>
    <x v="1"/>
    <s v="1â€“3 years"/>
    <s v="High"/>
    <s v="3.3666666666666667"/>
    <n v="0"/>
    <n v="0"/>
  </r>
  <r>
    <s v="EMP0180"/>
    <s v="Operations"/>
    <x v="3"/>
    <n v="1.5"/>
    <s v="G2"/>
    <n v="21"/>
    <s v="Master"/>
    <s v="Coimbatore"/>
    <n v="2"/>
    <n v="2.5"/>
    <n v="11"/>
    <n v="2"/>
    <n v="12"/>
    <n v="0"/>
    <s v="Band A"/>
    <n v="32800"/>
    <n v="14.6"/>
    <n v="3.7"/>
    <n v="1.8"/>
    <n v="0"/>
    <n v="2.2999999999999998"/>
    <n v="2.1"/>
    <n v="3"/>
    <s v="Yes"/>
    <n v="0"/>
    <n v="0"/>
    <m/>
    <n v="0"/>
    <x v="0"/>
    <m/>
    <n v="1"/>
    <n v="0"/>
    <x v="1"/>
    <s v="1â€“3 years"/>
    <s v="Low"/>
    <s v="2.466666666666667"/>
    <s v="0.16666666666666666"/>
    <n v="0"/>
  </r>
  <r>
    <s v="EMP0181"/>
    <s v="Customer Support"/>
    <x v="9"/>
    <n v="7.3"/>
    <s v="G3"/>
    <n v="32"/>
    <s v="Bachelor"/>
    <s v="Coimbatore"/>
    <n v="5"/>
    <n v="19.399999999999999"/>
    <n v="9"/>
    <n v="1"/>
    <n v="12"/>
    <n v="0"/>
    <s v="Band C"/>
    <n v="56500"/>
    <n v="11.9"/>
    <n v="4"/>
    <n v="0.4"/>
    <n v="0"/>
    <n v="3.7"/>
    <n v="4"/>
    <n v="3.4"/>
    <s v="Yes"/>
    <n v="1"/>
    <n v="2"/>
    <n v="1.4"/>
    <n v="0"/>
    <x v="0"/>
    <m/>
    <n v="0"/>
    <n v="0"/>
    <x v="0"/>
    <s v="5+ years"/>
    <s v="Moderate"/>
    <s v="3.6999999999999997"/>
    <s v="0.4166666666666667"/>
    <n v="0"/>
  </r>
  <r>
    <s v="EMP0182"/>
    <s v="Customer Support"/>
    <x v="5"/>
    <n v="4.2"/>
    <s v="G1"/>
    <n v="32"/>
    <s v="Bachelor"/>
    <s v="Hyderabad"/>
    <n v="4"/>
    <n v="14"/>
    <n v="14"/>
    <n v="4"/>
    <n v="12"/>
    <n v="0"/>
    <s v="Band A"/>
    <n v="33600"/>
    <n v="13.3"/>
    <n v="1.7"/>
    <n v="0.6"/>
    <n v="0"/>
    <n v="4.2"/>
    <n v="3.2"/>
    <n v="3.8"/>
    <s v="Yes"/>
    <n v="0"/>
    <n v="1"/>
    <n v="3.4"/>
    <n v="0"/>
    <x v="0"/>
    <m/>
    <n v="0"/>
    <n v="0"/>
    <x v="0"/>
    <s v="3â€“5 years"/>
    <s v="Moderate"/>
    <s v="3.733333333333333"/>
    <s v="0.3333333333333333"/>
    <n v="0"/>
  </r>
  <r>
    <s v="EMP0183"/>
    <s v="Finance"/>
    <x v="11"/>
    <n v="5.9"/>
    <s v="G3"/>
    <n v="33"/>
    <s v="Master"/>
    <s v="Hyderabad"/>
    <n v="2"/>
    <n v="13.8"/>
    <n v="10"/>
    <n v="1"/>
    <n v="12"/>
    <n v="0"/>
    <s v="Band C"/>
    <n v="54700"/>
    <n v="4.4000000000000004"/>
    <n v="3.8"/>
    <n v="0.1"/>
    <n v="0"/>
    <n v="5"/>
    <n v="2.8"/>
    <n v="3.6"/>
    <s v="Yes"/>
    <n v="0"/>
    <n v="2"/>
    <n v="5.7"/>
    <n v="1"/>
    <x v="0"/>
    <m/>
    <n v="0"/>
    <n v="0"/>
    <x v="0"/>
    <s v="5+ years"/>
    <s v="Moderate"/>
    <s v="3.8000000000000003"/>
    <s v="0.16666666666666666"/>
    <n v="0"/>
  </r>
  <r>
    <s v="EMP0184"/>
    <s v="Sales"/>
    <x v="8"/>
    <n v="4.4000000000000004"/>
    <s v="G5"/>
    <n v="32"/>
    <s v="Master"/>
    <s v="Coimbatore"/>
    <n v="4"/>
    <n v="4.2"/>
    <n v="5"/>
    <n v="3"/>
    <n v="12"/>
    <n v="0"/>
    <s v="Band D"/>
    <n v="85000"/>
    <n v="12.9"/>
    <n v="3.8"/>
    <n v="3.5"/>
    <n v="0"/>
    <n v="3.3"/>
    <n v="4.2"/>
    <n v="2.7"/>
    <s v="Yes"/>
    <n v="1"/>
    <n v="2"/>
    <n v="0.7"/>
    <n v="0"/>
    <x v="0"/>
    <m/>
    <n v="0"/>
    <n v="0"/>
    <x v="0"/>
    <s v="3â€“5 years"/>
    <s v="Low"/>
    <n v="3.4"/>
    <s v="0.3333333333333333"/>
    <n v="0"/>
  </r>
  <r>
    <s v="EMP0185"/>
    <s v="Operations"/>
    <x v="3"/>
    <n v="2.4"/>
    <s v="G1"/>
    <n v="34"/>
    <s v="Master"/>
    <s v="Remote"/>
    <n v="3"/>
    <n v="17.600000000000001"/>
    <n v="6"/>
    <n v="0"/>
    <n v="12"/>
    <n v="0"/>
    <s v="Band A"/>
    <n v="32500"/>
    <n v="8.6999999999999993"/>
    <n v="4.5"/>
    <n v="0.8"/>
    <n v="0"/>
    <n v="2.4"/>
    <n v="2.5"/>
    <n v="4.3"/>
    <s v="Yes"/>
    <n v="0"/>
    <n v="0"/>
    <m/>
    <n v="2"/>
    <x v="0"/>
    <m/>
    <n v="1"/>
    <n v="0"/>
    <x v="1"/>
    <s v="1â€“3 years"/>
    <s v="Moderate"/>
    <s v="3.0666666666666664"/>
    <n v="0.25"/>
    <n v="0"/>
  </r>
  <r>
    <s v="EMP0186"/>
    <s v="Operations"/>
    <x v="6"/>
    <n v="1.3"/>
    <s v="G4"/>
    <n v="29"/>
    <s v="Diploma"/>
    <s v="Coimbatore"/>
    <n v="4"/>
    <n v="3.7"/>
    <n v="7"/>
    <n v="2"/>
    <n v="12"/>
    <n v="0"/>
    <s v="Band C"/>
    <n v="63500"/>
    <n v="5"/>
    <n v="4.0999999999999996"/>
    <n v="1.5"/>
    <n v="0"/>
    <n v="4.0999999999999996"/>
    <n v="5"/>
    <n v="4.9000000000000004"/>
    <s v="No"/>
    <n v="0"/>
    <n v="0"/>
    <m/>
    <n v="0"/>
    <x v="0"/>
    <m/>
    <n v="1"/>
    <n v="0"/>
    <x v="1"/>
    <s v="1â€“3 years"/>
    <s v="Low"/>
    <s v="4.666666666666667"/>
    <s v="0.3333333333333333"/>
    <n v="0"/>
  </r>
  <r>
    <s v="EMP0187"/>
    <s v="Sales"/>
    <x v="13"/>
    <n v="0.6"/>
    <s v="G5"/>
    <n v="30"/>
    <s v="Master"/>
    <s v="Hyderabad"/>
    <n v="0"/>
    <n v="27.2"/>
    <n v="5"/>
    <n v="1"/>
    <n v="12"/>
    <n v="0"/>
    <s v="Band E"/>
    <n v="111900"/>
    <n v="8.9"/>
    <n v="4.4000000000000004"/>
    <n v="1.2"/>
    <n v="0"/>
    <n v="3.5"/>
    <n v="3"/>
    <n v="3.4"/>
    <s v="Yes"/>
    <n v="0"/>
    <n v="4"/>
    <n v="0.3"/>
    <n v="1"/>
    <x v="0"/>
    <m/>
    <n v="0"/>
    <n v="0"/>
    <x v="0"/>
    <s v="0â€“1 years"/>
    <s v="High"/>
    <s v="3.3000000000000003"/>
    <n v="0"/>
    <n v="0"/>
  </r>
  <r>
    <s v="EMP0188"/>
    <s v="Engineering"/>
    <x v="10"/>
    <n v="11.2"/>
    <s v="G2"/>
    <n v="33"/>
    <s v="Bachelor"/>
    <s v="Chennai"/>
    <n v="2"/>
    <n v="21.2"/>
    <n v="7"/>
    <n v="3"/>
    <n v="12"/>
    <n v="0"/>
    <s v="Band B"/>
    <n v="41900"/>
    <n v="8.8000000000000007"/>
    <n v="3.6"/>
    <n v="0"/>
    <n v="0"/>
    <n v="2.2999999999999998"/>
    <n v="3.3"/>
    <n v="4.8"/>
    <s v="Yes"/>
    <n v="0"/>
    <n v="2"/>
    <n v="4.8"/>
    <n v="0"/>
    <x v="0"/>
    <m/>
    <n v="0"/>
    <n v="0"/>
    <x v="0"/>
    <s v="5+ years"/>
    <s v="High"/>
    <s v="3.4666666666666663"/>
    <s v="0.16666666666666666"/>
    <n v="0"/>
  </r>
  <r>
    <s v="EMP0189"/>
    <s v="Operations"/>
    <x v="3"/>
    <n v="0.8"/>
    <s v="G3"/>
    <n v="22"/>
    <s v="Diploma"/>
    <s v="Chennai"/>
    <n v="2"/>
    <n v="30.5"/>
    <n v="8"/>
    <n v="3"/>
    <n v="12"/>
    <n v="0"/>
    <s v="Band C"/>
    <n v="52600"/>
    <n v="15.5"/>
    <n v="3.6"/>
    <n v="0.3"/>
    <n v="0"/>
    <n v="3.6"/>
    <n v="4.5999999999999996"/>
    <n v="4.0999999999999996"/>
    <s v="Yes"/>
    <n v="0"/>
    <n v="0"/>
    <m/>
    <n v="0"/>
    <x v="0"/>
    <m/>
    <n v="1"/>
    <n v="0"/>
    <x v="1"/>
    <s v="0â€“1 years"/>
    <s v="High"/>
    <n v="4.0999999999999996"/>
    <s v="0.16666666666666666"/>
    <n v="0"/>
  </r>
  <r>
    <s v="EMP0190"/>
    <s v="Sales"/>
    <x v="8"/>
    <n v="9.1"/>
    <s v="G5"/>
    <n v="42"/>
    <s v="Master"/>
    <s v="Chennai"/>
    <n v="0"/>
    <n v="10.199999999999999"/>
    <n v="8"/>
    <n v="3"/>
    <n v="12"/>
    <n v="0"/>
    <s v="Band E"/>
    <n v="124800"/>
    <n v="9.5"/>
    <n v="2.9"/>
    <n v="1.1000000000000001"/>
    <n v="0"/>
    <n v="5"/>
    <n v="3.4"/>
    <n v="5"/>
    <s v="No"/>
    <n v="0"/>
    <n v="0"/>
    <m/>
    <n v="0"/>
    <x v="0"/>
    <m/>
    <n v="1"/>
    <n v="0"/>
    <x v="1"/>
    <s v="5+ years"/>
    <s v="Moderate"/>
    <s v="4.466666666666667"/>
    <n v="0"/>
    <n v="0"/>
  </r>
  <r>
    <s v="EMP0191"/>
    <s v="Customer Support"/>
    <x v="2"/>
    <n v="4"/>
    <s v="G5"/>
    <n v="30"/>
    <s v="Master"/>
    <s v="Chennai"/>
    <n v="2"/>
    <n v="8.6999999999999993"/>
    <n v="9"/>
    <n v="2"/>
    <n v="12"/>
    <n v="0"/>
    <s v="Band D"/>
    <n v="82000"/>
    <n v="4.9000000000000004"/>
    <n v="3.9"/>
    <n v="1.9"/>
    <n v="0"/>
    <n v="4.4000000000000004"/>
    <n v="4.3"/>
    <n v="3.8"/>
    <s v="Yes"/>
    <n v="0"/>
    <n v="0"/>
    <m/>
    <n v="0"/>
    <x v="0"/>
    <m/>
    <n v="1"/>
    <n v="0"/>
    <x v="1"/>
    <s v="3â€“5 years"/>
    <s v="Low"/>
    <s v="4.166666666666667"/>
    <s v="0.16666666666666666"/>
    <n v="0"/>
  </r>
  <r>
    <s v="EMP0192"/>
    <s v="Sales"/>
    <x v="8"/>
    <n v="4.5"/>
    <s v="G1"/>
    <n v="28"/>
    <s v="Bachelor"/>
    <s v="Coimbatore"/>
    <n v="3"/>
    <n v="7"/>
    <n v="8"/>
    <n v="4"/>
    <n v="12"/>
    <n v="0"/>
    <s v="Band A"/>
    <n v="25400"/>
    <n v="4"/>
    <n v="2"/>
    <n v="1.8"/>
    <n v="0"/>
    <n v="2.4"/>
    <n v="1.4"/>
    <n v="3.5"/>
    <s v="Yes"/>
    <n v="0"/>
    <n v="0"/>
    <m/>
    <n v="1"/>
    <x v="0"/>
    <m/>
    <n v="1"/>
    <n v="0"/>
    <x v="1"/>
    <s v="3â€“5 years"/>
    <s v="Low"/>
    <s v="2.433333333333333"/>
    <n v="0.25"/>
    <n v="0"/>
  </r>
  <r>
    <s v="EMP0193"/>
    <s v="Engineering"/>
    <x v="10"/>
    <n v="4.3"/>
    <s v="G2"/>
    <n v="28"/>
    <s v="Master"/>
    <s v="Chennai"/>
    <n v="2"/>
    <n v="40.799999999999997"/>
    <n v="4"/>
    <n v="2"/>
    <n v="12"/>
    <n v="0"/>
    <s v="Band B"/>
    <n v="37800"/>
    <n v="7.8"/>
    <n v="3.1"/>
    <n v="0.2"/>
    <n v="0"/>
    <n v="3.3"/>
    <n v="2.8"/>
    <n v="4.0999999999999996"/>
    <s v="Yes"/>
    <n v="0"/>
    <n v="0"/>
    <m/>
    <n v="0"/>
    <x v="0"/>
    <m/>
    <n v="1"/>
    <n v="0"/>
    <x v="1"/>
    <s v="3â€“5 years"/>
    <s v="High"/>
    <n v="3.4"/>
    <s v="0.16666666666666666"/>
    <n v="0"/>
  </r>
  <r>
    <s v="EMP0194"/>
    <s v="Customer Support"/>
    <x v="5"/>
    <n v="5.4"/>
    <s v="G3"/>
    <n v="29"/>
    <s v="Bachelor"/>
    <s v="Bengaluru"/>
    <n v="1"/>
    <n v="15.7"/>
    <n v="9"/>
    <n v="1"/>
    <n v="12"/>
    <n v="0"/>
    <s v="Band C"/>
    <n v="53700"/>
    <n v="2.6"/>
    <n v="3.7"/>
    <n v="0.4"/>
    <n v="0"/>
    <n v="3.7"/>
    <n v="3.6"/>
    <n v="3.1"/>
    <s v="Yes"/>
    <n v="0"/>
    <n v="0"/>
    <m/>
    <n v="0"/>
    <x v="1"/>
    <d v="2025-11-12T00:00:00"/>
    <n v="1"/>
    <n v="0"/>
    <x v="1"/>
    <s v="5+ years"/>
    <s v="Moderate"/>
    <s v="3.466666666666667"/>
    <n v="8.3333333333333301E-2"/>
    <n v="1"/>
  </r>
  <r>
    <s v="EMP0195"/>
    <s v="Engineering"/>
    <x v="12"/>
    <n v="2"/>
    <s v="G2"/>
    <n v="25"/>
    <s v="Bachelor"/>
    <s v="Chennai"/>
    <n v="3"/>
    <n v="3.1"/>
    <n v="15"/>
    <n v="2"/>
    <n v="12"/>
    <n v="0"/>
    <s v="Band B"/>
    <n v="50000"/>
    <n v="5.0999999999999996"/>
    <n v="4.5"/>
    <n v="1.7"/>
    <n v="0"/>
    <n v="1.7"/>
    <n v="4.2"/>
    <n v="3.7"/>
    <s v="Yes"/>
    <n v="0"/>
    <n v="2"/>
    <n v="0"/>
    <n v="0"/>
    <x v="0"/>
    <m/>
    <n v="0"/>
    <n v="0"/>
    <x v="0"/>
    <s v="1â€“3 years"/>
    <s v="Low"/>
    <s v="3.2000000000000006"/>
    <n v="0.25"/>
    <n v="0"/>
  </r>
  <r>
    <s v="EMP0196"/>
    <s v="Engineering"/>
    <x v="4"/>
    <n v="0.4"/>
    <s v="G2"/>
    <n v="21"/>
    <s v="Bachelor"/>
    <s v="Chennai"/>
    <n v="5"/>
    <n v="25"/>
    <n v="5"/>
    <n v="0"/>
    <n v="12"/>
    <n v="0"/>
    <s v="Band A"/>
    <n v="34000"/>
    <n v="7"/>
    <n v="2.8"/>
    <n v="1.8"/>
    <n v="0"/>
    <n v="1.8"/>
    <n v="3.9"/>
    <n v="4.5"/>
    <s v="Yes"/>
    <n v="0"/>
    <n v="0"/>
    <m/>
    <n v="0"/>
    <x v="1"/>
    <d v="2024-11-03T00:00:00"/>
    <n v="1"/>
    <n v="0"/>
    <x v="1"/>
    <s v="0â€“1 years"/>
    <s v="High"/>
    <n v="3.4"/>
    <s v="0.4166666666666667"/>
    <n v="1"/>
  </r>
  <r>
    <s v="EMP0197"/>
    <s v="Finance"/>
    <x v="18"/>
    <n v="2.4"/>
    <s v="G1"/>
    <n v="22"/>
    <s v="Bachelor"/>
    <s v="Remote"/>
    <n v="4"/>
    <n v="8.5"/>
    <n v="7"/>
    <n v="2"/>
    <n v="12"/>
    <n v="0"/>
    <s v="Band A"/>
    <n v="23800"/>
    <n v="6.3"/>
    <n v="4.0999999999999996"/>
    <n v="0.2"/>
    <n v="0"/>
    <n v="3.4"/>
    <n v="3.8"/>
    <n v="4.0999999999999996"/>
    <s v="Yes"/>
    <n v="0"/>
    <n v="1"/>
    <n v="1.3"/>
    <n v="1"/>
    <x v="0"/>
    <m/>
    <n v="0"/>
    <n v="0"/>
    <x v="0"/>
    <s v="1â€“3 years"/>
    <s v="Low"/>
    <s v="3.766666666666666"/>
    <s v="0.3333333333333333"/>
    <n v="0"/>
  </r>
  <r>
    <s v="EMP0198"/>
    <s v="Customer Support"/>
    <x v="9"/>
    <n v="5.0999999999999996"/>
    <s v="G1"/>
    <n v="30"/>
    <s v="Master"/>
    <s v="Bengaluru"/>
    <n v="2"/>
    <n v="0.4"/>
    <n v="11"/>
    <n v="2"/>
    <n v="12"/>
    <n v="0"/>
    <s v="Band A"/>
    <n v="26000"/>
    <n v="10.9"/>
    <n v="3"/>
    <n v="1.7"/>
    <n v="0"/>
    <n v="3.5"/>
    <n v="4.2"/>
    <n v="3.4"/>
    <s v="Yes"/>
    <n v="0"/>
    <n v="2"/>
    <n v="4.7"/>
    <n v="1"/>
    <x v="0"/>
    <m/>
    <n v="0"/>
    <n v="0"/>
    <x v="0"/>
    <s v="5+ years"/>
    <s v="Low"/>
    <s v="3.6999999999999997"/>
    <s v="0.16666666666666666"/>
    <n v="0"/>
  </r>
  <r>
    <s v="EMP0199"/>
    <s v="Engineering"/>
    <x v="12"/>
    <n v="1.5"/>
    <s v="G3"/>
    <n v="25"/>
    <s v="Master"/>
    <s v="Remote"/>
    <n v="4"/>
    <n v="5.0999999999999996"/>
    <n v="11"/>
    <n v="3"/>
    <n v="12"/>
    <n v="0"/>
    <s v="Band C"/>
    <n v="53400"/>
    <n v="5"/>
    <n v="4.0999999999999996"/>
    <n v="1.1000000000000001"/>
    <n v="0"/>
    <n v="1.6"/>
    <n v="3.6"/>
    <n v="3.6"/>
    <s v="Yes"/>
    <n v="0"/>
    <n v="0"/>
    <m/>
    <n v="0"/>
    <x v="0"/>
    <m/>
    <n v="1"/>
    <n v="0"/>
    <x v="1"/>
    <s v="1â€“3 years"/>
    <s v="Low"/>
    <s v="2.9333333333333336"/>
    <s v="0.3333333333333333"/>
    <n v="0"/>
  </r>
  <r>
    <s v="EMP0200"/>
    <s v="Sales"/>
    <x v="13"/>
    <n v="7.5"/>
    <s v="G3"/>
    <n v="38"/>
    <s v="Master"/>
    <s v="Coimbatore"/>
    <n v="3"/>
    <n v="21.2"/>
    <n v="11"/>
    <n v="2"/>
    <n v="12"/>
    <n v="0"/>
    <s v="Band C"/>
    <n v="59600"/>
    <n v="0"/>
    <n v="2.5"/>
    <n v="0.9"/>
    <n v="0"/>
    <n v="3.6"/>
    <n v="1.3"/>
    <n v="4"/>
    <s v="Yes"/>
    <n v="0"/>
    <n v="2"/>
    <n v="6.7"/>
    <n v="0"/>
    <x v="0"/>
    <m/>
    <n v="0"/>
    <n v="0"/>
    <x v="0"/>
    <s v="5+ years"/>
    <s v="High"/>
    <s v="2.966666666666667"/>
    <n v="0.25"/>
    <n v="0"/>
  </r>
  <r>
    <s v="EMP0201"/>
    <s v="Operations"/>
    <x v="3"/>
    <n v="3.4"/>
    <s v="G3"/>
    <n v="31"/>
    <s v="Bachelor"/>
    <s v="Chennai"/>
    <n v="4"/>
    <n v="14"/>
    <n v="16"/>
    <n v="0"/>
    <n v="12"/>
    <n v="0"/>
    <s v="Band B"/>
    <n v="48600"/>
    <n v="1.3"/>
    <n v="3.9"/>
    <n v="4"/>
    <n v="0"/>
    <n v="4.3"/>
    <n v="4.5"/>
    <n v="4"/>
    <s v="Yes"/>
    <n v="0"/>
    <n v="1"/>
    <n v="2.5"/>
    <n v="1"/>
    <x v="0"/>
    <m/>
    <n v="0"/>
    <n v="0"/>
    <x v="0"/>
    <s v="3â€“5 years"/>
    <s v="Moderate"/>
    <s v="4.266666666666667"/>
    <s v="0.3333333333333333"/>
    <n v="0"/>
  </r>
  <r>
    <s v="EMP0202"/>
    <s v="Customer Support"/>
    <x v="5"/>
    <n v="1.4"/>
    <s v="G4"/>
    <n v="28"/>
    <s v="Bachelor"/>
    <s v="Bengaluru"/>
    <n v="4"/>
    <n v="16.100000000000001"/>
    <n v="10"/>
    <n v="2"/>
    <n v="12"/>
    <n v="0"/>
    <s v="Band C"/>
    <n v="70200"/>
    <n v="7.9"/>
    <n v="3.1"/>
    <n v="1"/>
    <n v="0"/>
    <n v="3.1"/>
    <n v="2.4"/>
    <n v="4"/>
    <s v="Yes"/>
    <n v="0"/>
    <n v="0"/>
    <m/>
    <n v="0"/>
    <x v="0"/>
    <m/>
    <n v="1"/>
    <n v="0"/>
    <x v="1"/>
    <s v="1â€“3 years"/>
    <s v="Moderate"/>
    <s v="3.1666666666666665"/>
    <s v="0.3333333333333333"/>
    <n v="0"/>
  </r>
  <r>
    <s v="EMP0203"/>
    <s v="Finance"/>
    <x v="18"/>
    <n v="4.2"/>
    <s v="G2"/>
    <n v="27"/>
    <s v="Bachelor"/>
    <s v="Coimbatore"/>
    <n v="2"/>
    <n v="24.9"/>
    <n v="7"/>
    <n v="5"/>
    <n v="12"/>
    <n v="0"/>
    <s v="Band B"/>
    <n v="48400"/>
    <n v="5.7"/>
    <n v="2.1"/>
    <n v="0.7"/>
    <n v="0"/>
    <n v="3.4"/>
    <n v="3.5"/>
    <n v="3.7"/>
    <s v="Yes"/>
    <n v="0"/>
    <n v="0"/>
    <m/>
    <n v="0"/>
    <x v="0"/>
    <m/>
    <n v="1"/>
    <n v="0"/>
    <x v="1"/>
    <s v="3â€“5 years"/>
    <s v="High"/>
    <s v="3.5333333333333337"/>
    <s v="0.16666666666666666"/>
    <n v="0"/>
  </r>
  <r>
    <s v="EMP0204"/>
    <s v="Engineering"/>
    <x v="10"/>
    <n v="5.0999999999999996"/>
    <s v="G2"/>
    <n v="31"/>
    <s v="Master"/>
    <s v="Chennai"/>
    <n v="4"/>
    <n v="1.6"/>
    <n v="8"/>
    <n v="2"/>
    <n v="12"/>
    <n v="0"/>
    <s v="Band B"/>
    <n v="39900"/>
    <n v="3.1"/>
    <n v="3.1"/>
    <n v="2.2999999999999998"/>
    <n v="0"/>
    <n v="3.8"/>
    <n v="3.4"/>
    <n v="2.7"/>
    <s v="Yes"/>
    <n v="0"/>
    <n v="2"/>
    <n v="3.7"/>
    <n v="0"/>
    <x v="0"/>
    <m/>
    <n v="0"/>
    <n v="0"/>
    <x v="0"/>
    <s v="5+ years"/>
    <s v="Low"/>
    <s v="3.2999999999999994"/>
    <s v="0.3333333333333333"/>
    <n v="0"/>
  </r>
  <r>
    <s v="EMP0205"/>
    <s v="Engineering"/>
    <x v="10"/>
    <n v="5.3"/>
    <s v="G1"/>
    <n v="33"/>
    <s v="Bachelor"/>
    <s v="Hyderabad"/>
    <n v="2"/>
    <n v="5.2"/>
    <n v="6"/>
    <n v="2"/>
    <n v="12"/>
    <n v="0"/>
    <s v="Band A"/>
    <n v="30500"/>
    <n v="15.8"/>
    <n v="4.4000000000000004"/>
    <n v="2.2000000000000002"/>
    <n v="0"/>
    <n v="3.7"/>
    <n v="3.2"/>
    <n v="2.9"/>
    <s v="Yes"/>
    <n v="0"/>
    <n v="0"/>
    <m/>
    <n v="0"/>
    <x v="0"/>
    <m/>
    <n v="1"/>
    <n v="0"/>
    <x v="1"/>
    <s v="5+ years"/>
    <s v="Low"/>
    <s v="3.266666666666667"/>
    <s v="0.16666666666666666"/>
    <n v="0"/>
  </r>
  <r>
    <s v="EMP0206"/>
    <s v="Engineering"/>
    <x v="4"/>
    <n v="7.3"/>
    <s v="G1"/>
    <n v="36"/>
    <s v="Bachelor"/>
    <s v="Bengaluru"/>
    <n v="2"/>
    <n v="10.4"/>
    <n v="6"/>
    <n v="2"/>
    <n v="12"/>
    <n v="0"/>
    <s v="Band B"/>
    <n v="37100"/>
    <n v="11.3"/>
    <n v="2.2999999999999998"/>
    <n v="3.3"/>
    <n v="0"/>
    <n v="1.8"/>
    <n v="2.2000000000000002"/>
    <n v="3.8"/>
    <s v="Yes"/>
    <n v="0"/>
    <n v="1"/>
    <m/>
    <n v="1"/>
    <x v="0"/>
    <m/>
    <n v="1"/>
    <n v="0"/>
    <x v="0"/>
    <s v="5+ years"/>
    <s v="Moderate"/>
    <n v="2.6"/>
    <s v="0.16666666666666666"/>
    <n v="0"/>
  </r>
  <r>
    <s v="EMP0207"/>
    <s v="Engineering"/>
    <x v="16"/>
    <n v="1"/>
    <s v="G2"/>
    <n v="27"/>
    <s v="Master"/>
    <s v="Bengaluru"/>
    <n v="4"/>
    <n v="21.7"/>
    <n v="7"/>
    <n v="1"/>
    <n v="12"/>
    <n v="0"/>
    <s v="Band A"/>
    <n v="34800"/>
    <n v="7.8"/>
    <n v="1.9"/>
    <n v="2.1"/>
    <n v="0"/>
    <n v="2.5"/>
    <n v="1.5"/>
    <n v="4.0999999999999996"/>
    <s v="Yes"/>
    <n v="0"/>
    <n v="1"/>
    <n v="0.6"/>
    <n v="0"/>
    <x v="0"/>
    <m/>
    <n v="0"/>
    <n v="0"/>
    <x v="0"/>
    <s v="0â€“1 years"/>
    <s v="High"/>
    <s v="2.6999999999999997"/>
    <s v="0.3333333333333333"/>
    <n v="0"/>
  </r>
  <r>
    <s v="EMP0208"/>
    <s v="Operations"/>
    <x v="0"/>
    <n v="7.3"/>
    <s v="G1"/>
    <n v="38"/>
    <s v="Master"/>
    <s v="Coimbatore"/>
    <n v="2"/>
    <n v="3.7"/>
    <n v="9"/>
    <n v="5"/>
    <n v="12"/>
    <n v="0"/>
    <s v="Band A"/>
    <n v="27500"/>
    <n v="8.9"/>
    <n v="3.6"/>
    <n v="2"/>
    <n v="0"/>
    <n v="2.9"/>
    <n v="2.2999999999999998"/>
    <n v="4"/>
    <s v="Yes"/>
    <n v="0"/>
    <n v="2"/>
    <n v="1.7"/>
    <n v="1"/>
    <x v="0"/>
    <m/>
    <n v="0"/>
    <n v="0"/>
    <x v="0"/>
    <s v="5+ years"/>
    <s v="Low"/>
    <s v="3.0666666666666664"/>
    <s v="0.16666666666666666"/>
    <n v="0"/>
  </r>
  <r>
    <s v="EMP0209"/>
    <s v="Engineering"/>
    <x v="16"/>
    <n v="7.7"/>
    <s v="G1"/>
    <n v="34"/>
    <s v="Bachelor"/>
    <s v="Bengaluru"/>
    <n v="3"/>
    <n v="7.5"/>
    <n v="9"/>
    <n v="2"/>
    <n v="12"/>
    <n v="0"/>
    <s v="Band A"/>
    <n v="28700"/>
    <n v="6.9"/>
    <n v="1.7"/>
    <n v="1.2"/>
    <n v="0"/>
    <n v="2.5"/>
    <n v="3.9"/>
    <n v="2.9"/>
    <s v="Yes"/>
    <n v="0"/>
    <n v="2"/>
    <n v="3.1"/>
    <n v="0"/>
    <x v="0"/>
    <m/>
    <n v="0"/>
    <n v="0"/>
    <x v="0"/>
    <s v="5+ years"/>
    <s v="Low"/>
    <n v="3.1"/>
    <n v="0.25"/>
    <n v="0"/>
  </r>
  <r>
    <s v="EMP0210"/>
    <s v="Finance"/>
    <x v="18"/>
    <n v="1.3"/>
    <s v="G1"/>
    <n v="30"/>
    <s v="Bachelor"/>
    <s v="Chennai"/>
    <n v="6"/>
    <n v="9.9"/>
    <n v="9"/>
    <n v="1"/>
    <n v="12"/>
    <n v="0"/>
    <s v="Band A"/>
    <n v="26200"/>
    <n v="3"/>
    <n v="4.5999999999999996"/>
    <n v="0.4"/>
    <n v="0"/>
    <n v="4.5999999999999996"/>
    <n v="1.9"/>
    <n v="3.3"/>
    <s v="Yes"/>
    <n v="0"/>
    <n v="0"/>
    <m/>
    <n v="0"/>
    <x v="0"/>
    <m/>
    <n v="1"/>
    <n v="0"/>
    <x v="1"/>
    <s v="1â€“3 years"/>
    <s v="Low"/>
    <s v="3.266666666666667"/>
    <n v="0.5"/>
    <n v="0"/>
  </r>
  <r>
    <s v="EMP0211"/>
    <s v="Operations"/>
    <x v="0"/>
    <n v="1.6"/>
    <s v="G3"/>
    <n v="26"/>
    <s v="Bachelor"/>
    <s v="Remote"/>
    <n v="1"/>
    <n v="4.9000000000000004"/>
    <n v="12"/>
    <n v="3"/>
    <n v="12"/>
    <n v="0"/>
    <s v="Band B"/>
    <n v="40600"/>
    <n v="12.1"/>
    <n v="4.5999999999999996"/>
    <n v="1.8"/>
    <n v="0"/>
    <n v="3.9"/>
    <n v="2.4"/>
    <n v="2.5"/>
    <s v="Yes"/>
    <n v="0"/>
    <n v="2"/>
    <n v="0.7"/>
    <n v="0"/>
    <x v="0"/>
    <m/>
    <n v="0"/>
    <n v="0"/>
    <x v="0"/>
    <s v="1â€“3 years"/>
    <s v="Low"/>
    <s v="2.9333333333333336"/>
    <n v="8.3333333333333301E-2"/>
    <n v="0"/>
  </r>
  <r>
    <s v="EMP0212"/>
    <s v="Finance"/>
    <x v="17"/>
    <n v="6.1"/>
    <s v="G3"/>
    <n v="25"/>
    <s v="Bachelor"/>
    <s v="Coimbatore"/>
    <n v="4"/>
    <n v="9.8000000000000007"/>
    <n v="10"/>
    <n v="0"/>
    <n v="12"/>
    <n v="0"/>
    <s v="Band C"/>
    <n v="56100"/>
    <n v="11.4"/>
    <n v="4.0999999999999996"/>
    <n v="0.4"/>
    <n v="0"/>
    <n v="2.2999999999999998"/>
    <n v="3.6"/>
    <n v="2.2999999999999998"/>
    <s v="Yes"/>
    <n v="0"/>
    <n v="0"/>
    <m/>
    <n v="0"/>
    <x v="0"/>
    <m/>
    <n v="1"/>
    <n v="0"/>
    <x v="1"/>
    <s v="5+ years"/>
    <s v="Low"/>
    <s v="2.733333333333333"/>
    <s v="0.3333333333333333"/>
    <n v="0"/>
  </r>
  <r>
    <s v="EMP0213"/>
    <s v="Engineering"/>
    <x v="12"/>
    <n v="2.7"/>
    <s v="G5"/>
    <n v="30"/>
    <s v="Diploma"/>
    <s v="Chennai"/>
    <n v="0"/>
    <n v="8.6999999999999993"/>
    <n v="9"/>
    <n v="3"/>
    <n v="12"/>
    <n v="0"/>
    <s v="Band D"/>
    <n v="98500"/>
    <n v="0.1"/>
    <n v="3.2"/>
    <n v="1.2"/>
    <n v="0"/>
    <n v="3.1"/>
    <n v="2.2999999999999998"/>
    <n v="3.5"/>
    <s v="Yes"/>
    <n v="0"/>
    <n v="2"/>
    <n v="2.2999999999999998"/>
    <n v="0"/>
    <x v="0"/>
    <m/>
    <n v="0"/>
    <n v="0"/>
    <x v="0"/>
    <s v="1â€“3 years"/>
    <s v="Low"/>
    <s v="2.966666666666667"/>
    <n v="0"/>
    <n v="0"/>
  </r>
  <r>
    <s v="EMP0214"/>
    <s v="Operations"/>
    <x v="6"/>
    <n v="8.5"/>
    <s v="G4"/>
    <n v="37"/>
    <s v="Master"/>
    <s v="Chennai"/>
    <n v="4"/>
    <n v="6.2"/>
    <n v="13"/>
    <n v="0"/>
    <n v="12"/>
    <n v="0"/>
    <s v="Band D"/>
    <n v="75100"/>
    <n v="8.9"/>
    <n v="4.7"/>
    <n v="1.2"/>
    <n v="0"/>
    <n v="4.3"/>
    <n v="2.7"/>
    <n v="4.5"/>
    <s v="Yes"/>
    <n v="0"/>
    <n v="0"/>
    <m/>
    <n v="0"/>
    <x v="0"/>
    <m/>
    <n v="1"/>
    <n v="0"/>
    <x v="1"/>
    <s v="5+ years"/>
    <s v="Low"/>
    <s v="3.8333333333333335"/>
    <s v="0.3333333333333333"/>
    <n v="0"/>
  </r>
  <r>
    <s v="EMP0215"/>
    <s v="Operations"/>
    <x v="6"/>
    <n v="10.1"/>
    <s v="G3"/>
    <n v="38"/>
    <s v="Bachelor"/>
    <s v="Bengaluru"/>
    <n v="2"/>
    <n v="17.600000000000001"/>
    <n v="11"/>
    <n v="1"/>
    <n v="12"/>
    <n v="0"/>
    <s v="Band C"/>
    <n v="60000"/>
    <n v="9.3000000000000007"/>
    <n v="4.4000000000000004"/>
    <n v="1.2"/>
    <n v="0"/>
    <n v="2.7"/>
    <n v="3.3"/>
    <n v="3.5"/>
    <s v="Yes"/>
    <n v="1"/>
    <n v="0"/>
    <m/>
    <n v="0"/>
    <x v="0"/>
    <m/>
    <n v="1"/>
    <n v="0"/>
    <x v="1"/>
    <s v="5+ years"/>
    <s v="Moderate"/>
    <s v="3.1666666666666665"/>
    <s v="0.16666666666666666"/>
    <n v="0"/>
  </r>
  <r>
    <s v="EMP0216"/>
    <s v="Operations"/>
    <x v="3"/>
    <n v="1.4"/>
    <s v="G1"/>
    <n v="29"/>
    <s v="Bachelor"/>
    <s v="Remote"/>
    <n v="5"/>
    <n v="15.3"/>
    <n v="8"/>
    <n v="3"/>
    <n v="12"/>
    <n v="0"/>
    <s v="Band A"/>
    <n v="28900"/>
    <n v="6.7"/>
    <n v="2.7"/>
    <n v="0.1"/>
    <n v="0"/>
    <n v="4.0999999999999996"/>
    <n v="3.5"/>
    <n v="4.9000000000000004"/>
    <s v="Yes"/>
    <n v="0"/>
    <n v="1"/>
    <n v="1.4"/>
    <n v="0"/>
    <x v="0"/>
    <m/>
    <n v="0"/>
    <n v="0"/>
    <x v="0"/>
    <s v="1â€“3 years"/>
    <s v="Moderate"/>
    <s v="4.166666666666667"/>
    <s v="0.4166666666666667"/>
    <n v="0"/>
  </r>
  <r>
    <s v="EMP0217"/>
    <s v="Engineering"/>
    <x v="10"/>
    <n v="1.9"/>
    <s v="G3"/>
    <n v="27"/>
    <s v="Bachelor"/>
    <s v="Hyderabad"/>
    <n v="5"/>
    <n v="18.100000000000001"/>
    <n v="9"/>
    <n v="3"/>
    <n v="12"/>
    <n v="0"/>
    <s v="Band B"/>
    <n v="43800"/>
    <n v="16.399999999999999"/>
    <n v="4.5"/>
    <n v="0.8"/>
    <n v="0"/>
    <n v="4.5"/>
    <n v="2.2999999999999998"/>
    <n v="3.3"/>
    <s v="No"/>
    <n v="0"/>
    <n v="1"/>
    <n v="0.1"/>
    <n v="0"/>
    <x v="0"/>
    <m/>
    <n v="0"/>
    <n v="0"/>
    <x v="0"/>
    <s v="1â€“3 years"/>
    <s v="Moderate"/>
    <s v="3.3666666666666667"/>
    <s v="0.4166666666666667"/>
    <n v="0"/>
  </r>
  <r>
    <s v="EMP0218"/>
    <s v="Engineering"/>
    <x v="4"/>
    <n v="4"/>
    <s v="G1"/>
    <n v="27"/>
    <s v="Bachelor"/>
    <s v="Bengaluru"/>
    <n v="2"/>
    <n v="19.3"/>
    <n v="7"/>
    <n v="6"/>
    <n v="12"/>
    <n v="0"/>
    <s v="Band A"/>
    <n v="29800"/>
    <n v="16"/>
    <n v="2.4"/>
    <n v="6.7"/>
    <n v="0"/>
    <n v="4.4000000000000004"/>
    <n v="3.3"/>
    <n v="3.4"/>
    <s v="Yes"/>
    <n v="0"/>
    <n v="1"/>
    <m/>
    <n v="0"/>
    <x v="0"/>
    <m/>
    <n v="1"/>
    <n v="0"/>
    <x v="0"/>
    <s v="3â€“5 years"/>
    <s v="Moderate"/>
    <s v="3.6999999999999997"/>
    <s v="0.16666666666666666"/>
    <n v="0"/>
  </r>
  <r>
    <s v="EMP0219"/>
    <s v="Customer Support"/>
    <x v="5"/>
    <n v="0.4"/>
    <s v="G2"/>
    <n v="29"/>
    <s v="Bachelor"/>
    <s v="Remote"/>
    <n v="2"/>
    <n v="2.1"/>
    <n v="9"/>
    <n v="0"/>
    <n v="12"/>
    <n v="0"/>
    <s v="Band B"/>
    <n v="40500"/>
    <n v="6.5"/>
    <n v="3"/>
    <n v="1.3"/>
    <n v="0"/>
    <n v="3.5"/>
    <n v="3.6"/>
    <n v="2.6"/>
    <s v="Yes"/>
    <n v="0"/>
    <n v="1"/>
    <n v="0.1"/>
    <n v="0"/>
    <x v="0"/>
    <m/>
    <n v="0"/>
    <n v="0"/>
    <x v="0"/>
    <s v="0â€“1 years"/>
    <s v="Low"/>
    <s v="3.233333333333333"/>
    <s v="0.16666666666666666"/>
    <n v="0"/>
  </r>
  <r>
    <s v="EMP0220"/>
    <s v="Sales"/>
    <x v="13"/>
    <n v="0.7"/>
    <s v="G2"/>
    <n v="28"/>
    <s v="Bachelor"/>
    <s v="Bengaluru"/>
    <n v="6"/>
    <n v="2.4"/>
    <n v="4"/>
    <n v="3"/>
    <n v="12"/>
    <n v="0"/>
    <s v="Band A"/>
    <n v="30700"/>
    <n v="7.1"/>
    <n v="1.6"/>
    <n v="2.7"/>
    <n v="0"/>
    <n v="4.4000000000000004"/>
    <n v="2.1"/>
    <n v="3.1"/>
    <s v="No"/>
    <n v="0"/>
    <n v="2"/>
    <n v="0.6"/>
    <n v="0"/>
    <x v="0"/>
    <m/>
    <n v="0"/>
    <n v="0"/>
    <x v="0"/>
    <s v="0â€“1 years"/>
    <s v="Low"/>
    <s v="3.1999999999999997"/>
    <n v="0.5"/>
    <n v="0"/>
  </r>
  <r>
    <s v="EMP0221"/>
    <s v="Sales"/>
    <x v="14"/>
    <n v="1.8"/>
    <s v="G2"/>
    <n v="26"/>
    <s v="Bachelor"/>
    <s v="Chennai"/>
    <n v="2"/>
    <n v="16.5"/>
    <n v="11"/>
    <n v="4"/>
    <n v="12"/>
    <n v="0"/>
    <s v="Band B"/>
    <n v="44700"/>
    <n v="6.6"/>
    <n v="3.3"/>
    <n v="1.6"/>
    <n v="0"/>
    <n v="2.8"/>
    <n v="3.4"/>
    <n v="2.4"/>
    <s v="Yes"/>
    <n v="0"/>
    <n v="0"/>
    <m/>
    <n v="0"/>
    <x v="1"/>
    <d v="2025-06-09T00:00:00"/>
    <n v="1"/>
    <n v="0"/>
    <x v="1"/>
    <s v="1â€“3 years"/>
    <s v="Moderate"/>
    <s v="2.8666666666666667"/>
    <s v="0.16666666666666666"/>
    <n v="1"/>
  </r>
  <r>
    <s v="EMP0222"/>
    <s v="Hr"/>
    <x v="1"/>
    <n v="12.3"/>
    <s v="G2"/>
    <n v="43"/>
    <s v="Bachelor"/>
    <s v="Bengaluru"/>
    <n v="6"/>
    <n v="6.7"/>
    <n v="6"/>
    <n v="4"/>
    <n v="12"/>
    <n v="0"/>
    <s v="Band B"/>
    <n v="37400"/>
    <n v="5.6"/>
    <n v="2.9"/>
    <n v="5.4"/>
    <n v="0"/>
    <n v="5"/>
    <n v="3.3"/>
    <n v="2.2000000000000002"/>
    <s v="Yes"/>
    <n v="1"/>
    <n v="0"/>
    <m/>
    <n v="0"/>
    <x v="0"/>
    <m/>
    <n v="1"/>
    <n v="0"/>
    <x v="1"/>
    <s v="5+ years"/>
    <s v="Low"/>
    <n v="3.5"/>
    <n v="0.5"/>
    <n v="0"/>
  </r>
  <r>
    <s v="EMP0223"/>
    <s v="Operations"/>
    <x v="6"/>
    <n v="4.4000000000000004"/>
    <s v="G3"/>
    <n v="27"/>
    <s v="Master"/>
    <s v="Chennai"/>
    <n v="1"/>
    <n v="6"/>
    <n v="6"/>
    <n v="3"/>
    <n v="12"/>
    <n v="0"/>
    <s v="Band B"/>
    <n v="46500"/>
    <n v="4.3"/>
    <n v="2.8"/>
    <n v="1.7"/>
    <n v="0"/>
    <n v="3.5"/>
    <n v="3.3"/>
    <n v="2.5"/>
    <s v="Yes"/>
    <n v="0"/>
    <n v="1"/>
    <n v="0.9"/>
    <n v="1"/>
    <x v="0"/>
    <m/>
    <n v="0"/>
    <n v="0"/>
    <x v="0"/>
    <s v="3â€“5 years"/>
    <s v="Low"/>
    <n v="3.1"/>
    <n v="8.3333333333333301E-2"/>
    <n v="0"/>
  </r>
  <r>
    <s v="EMP0224"/>
    <s v="Customer Support"/>
    <x v="2"/>
    <n v="2.2000000000000002"/>
    <s v="G4"/>
    <n v="26"/>
    <s v="Master"/>
    <s v="Chennai"/>
    <n v="3"/>
    <n v="5.2"/>
    <n v="10"/>
    <n v="4"/>
    <n v="12"/>
    <n v="0"/>
    <s v="Band C"/>
    <n v="71900"/>
    <n v="10"/>
    <n v="3.1"/>
    <n v="1.3"/>
    <n v="0"/>
    <n v="4.3"/>
    <n v="3.9"/>
    <n v="3.5"/>
    <s v="Yes"/>
    <n v="0"/>
    <n v="0"/>
    <m/>
    <n v="0"/>
    <x v="0"/>
    <m/>
    <n v="1"/>
    <n v="0"/>
    <x v="1"/>
    <s v="1â€“3 years"/>
    <s v="Low"/>
    <n v="3.9"/>
    <n v="0.25"/>
    <n v="0"/>
  </r>
  <r>
    <s v="EMP0225"/>
    <s v="Sales"/>
    <x v="8"/>
    <n v="1.6"/>
    <s v="G3"/>
    <n v="34"/>
    <s v="Bachelor"/>
    <s v="Coimbatore"/>
    <n v="5"/>
    <n v="18.600000000000001"/>
    <n v="10"/>
    <n v="4"/>
    <n v="12"/>
    <n v="0"/>
    <s v="Band C"/>
    <n v="55300"/>
    <n v="15.8"/>
    <n v="2.7"/>
    <n v="0.3"/>
    <n v="0"/>
    <n v="3"/>
    <n v="3"/>
    <n v="2.8"/>
    <s v="Yes"/>
    <n v="0"/>
    <n v="1"/>
    <n v="0.1"/>
    <n v="0"/>
    <x v="0"/>
    <m/>
    <n v="0"/>
    <n v="0"/>
    <x v="0"/>
    <s v="1â€“3 years"/>
    <s v="Moderate"/>
    <s v="2.9333333333333336"/>
    <s v="0.4166666666666667"/>
    <n v="0"/>
  </r>
  <r>
    <s v="EMP0226"/>
    <s v="Customer Support"/>
    <x v="2"/>
    <n v="1.3"/>
    <s v="G3"/>
    <n v="31"/>
    <s v="Diploma"/>
    <s v="Chennai"/>
    <n v="2"/>
    <n v="39.1"/>
    <n v="11"/>
    <n v="1"/>
    <n v="12"/>
    <n v="0"/>
    <s v="Band C"/>
    <n v="56900"/>
    <n v="14.2"/>
    <n v="3.2"/>
    <n v="0.3"/>
    <n v="0"/>
    <n v="3.7"/>
    <n v="4"/>
    <n v="3"/>
    <s v="Yes"/>
    <n v="0"/>
    <n v="1"/>
    <n v="0.5"/>
    <n v="0"/>
    <x v="0"/>
    <m/>
    <n v="0"/>
    <n v="0"/>
    <x v="0"/>
    <s v="1â€“3 years"/>
    <s v="High"/>
    <s v="3.5666666666666664"/>
    <s v="0.16666666666666666"/>
    <n v="0"/>
  </r>
  <r>
    <s v="EMP0227"/>
    <s v="Engineering"/>
    <x v="4"/>
    <n v="2.2999999999999998"/>
    <s v="G3"/>
    <n v="27"/>
    <s v="Master"/>
    <s v="Remote"/>
    <n v="5"/>
    <n v="19.2"/>
    <n v="7"/>
    <n v="7"/>
    <n v="12"/>
    <n v="0"/>
    <s v="Band C"/>
    <n v="55800"/>
    <n v="11.2"/>
    <n v="4.4000000000000004"/>
    <n v="0.7"/>
    <n v="0"/>
    <n v="3.8"/>
    <n v="3.9"/>
    <n v="3.7"/>
    <s v="Yes"/>
    <n v="0"/>
    <n v="3"/>
    <n v="2"/>
    <n v="0"/>
    <x v="0"/>
    <m/>
    <n v="0"/>
    <n v="0"/>
    <x v="0"/>
    <s v="1â€“3 years"/>
    <s v="Moderate"/>
    <s v="3.7999999999999994"/>
    <s v="0.4166666666666667"/>
    <n v="0"/>
  </r>
  <r>
    <s v="EMP0228"/>
    <s v="Finance"/>
    <x v="17"/>
    <n v="2.2000000000000002"/>
    <s v="G1"/>
    <n v="29"/>
    <s v="Doctorate"/>
    <s v="Remote"/>
    <n v="5"/>
    <n v="6.5"/>
    <n v="11"/>
    <n v="1"/>
    <n v="12"/>
    <n v="0"/>
    <s v="Band A"/>
    <n v="26300"/>
    <n v="0"/>
    <n v="2.2000000000000002"/>
    <n v="1"/>
    <n v="0"/>
    <n v="2.5"/>
    <n v="4"/>
    <n v="2.2000000000000002"/>
    <s v="Yes"/>
    <n v="0"/>
    <n v="0"/>
    <m/>
    <n v="1"/>
    <x v="0"/>
    <m/>
    <n v="1"/>
    <n v="0"/>
    <x v="1"/>
    <s v="1â€“3 years"/>
    <s v="Low"/>
    <n v="2.9"/>
    <s v="0.4166666666666667"/>
    <n v="0"/>
  </r>
  <r>
    <s v="EMP0229"/>
    <s v="Operations"/>
    <x v="6"/>
    <n v="3.1"/>
    <s v="G3"/>
    <n v="30"/>
    <s v="Master"/>
    <s v="Coimbatore"/>
    <n v="2"/>
    <n v="17.899999999999999"/>
    <n v="7"/>
    <n v="0"/>
    <n v="12"/>
    <n v="0"/>
    <s v="Band C"/>
    <n v="53500"/>
    <n v="0.5"/>
    <n v="4"/>
    <n v="0.3"/>
    <n v="0"/>
    <n v="2.4"/>
    <n v="3.6"/>
    <n v="3.5"/>
    <s v="No"/>
    <n v="0"/>
    <n v="1"/>
    <n v="2.2000000000000002"/>
    <n v="0"/>
    <x v="0"/>
    <m/>
    <n v="0"/>
    <n v="0"/>
    <x v="0"/>
    <s v="3â€“5 years"/>
    <s v="Moderate"/>
    <s v="3.1666666666666665"/>
    <s v="0.16666666666666666"/>
    <n v="0"/>
  </r>
  <r>
    <s v="EMP0230"/>
    <s v="Engineering"/>
    <x v="4"/>
    <n v="5.2"/>
    <s v="G3"/>
    <n v="21"/>
    <s v="Diploma"/>
    <s v="Bengaluru"/>
    <n v="4"/>
    <n v="2.4"/>
    <n v="7"/>
    <n v="1"/>
    <n v="12"/>
    <n v="0"/>
    <s v="Band C"/>
    <n v="52400"/>
    <n v="12.3"/>
    <n v="3.4"/>
    <n v="1.3"/>
    <n v="0"/>
    <n v="3.1"/>
    <n v="4.2"/>
    <n v="4.0999999999999996"/>
    <s v="Yes"/>
    <n v="0"/>
    <n v="0"/>
    <m/>
    <n v="0"/>
    <x v="0"/>
    <m/>
    <n v="1"/>
    <n v="0"/>
    <x v="1"/>
    <s v="5+ years"/>
    <s v="Low"/>
    <s v="3.8000000000000003"/>
    <s v="0.3333333333333333"/>
    <n v="0"/>
  </r>
  <r>
    <s v="EMP0231"/>
    <s v="Engineering"/>
    <x v="12"/>
    <n v="3.5"/>
    <s v="G2"/>
    <n v="26"/>
    <s v="Bachelor"/>
    <s v="Coimbatore"/>
    <n v="3"/>
    <n v="8.1999999999999993"/>
    <n v="17"/>
    <n v="5"/>
    <n v="12"/>
    <n v="0"/>
    <s v="Band B"/>
    <n v="39700"/>
    <n v="14.5"/>
    <n v="3.5"/>
    <n v="1.3"/>
    <n v="0"/>
    <n v="4.3"/>
    <n v="3.5"/>
    <n v="4.0999999999999996"/>
    <s v="No"/>
    <n v="0"/>
    <n v="0"/>
    <m/>
    <n v="1"/>
    <x v="0"/>
    <m/>
    <n v="1"/>
    <n v="0"/>
    <x v="1"/>
    <s v="3â€“5 years"/>
    <s v="Low"/>
    <s v="3.9666666666666663"/>
    <n v="0.25"/>
    <n v="0"/>
  </r>
  <r>
    <s v="EMP0232"/>
    <s v="Sales"/>
    <x v="13"/>
    <n v="6.4"/>
    <s v="G2"/>
    <n v="32"/>
    <s v="Diploma"/>
    <s v="Chennai"/>
    <n v="5"/>
    <n v="1.6"/>
    <n v="8"/>
    <n v="1"/>
    <n v="12"/>
    <n v="0"/>
    <s v="Band B"/>
    <n v="40800"/>
    <n v="10.199999999999999"/>
    <n v="3.2"/>
    <n v="4.4000000000000004"/>
    <n v="0"/>
    <n v="1.7"/>
    <n v="1.7"/>
    <n v="3.8"/>
    <s v="Yes"/>
    <n v="0"/>
    <n v="2"/>
    <n v="0.7"/>
    <n v="0"/>
    <x v="0"/>
    <m/>
    <n v="0"/>
    <n v="0"/>
    <x v="0"/>
    <s v="5+ years"/>
    <s v="Low"/>
    <n v="2.4"/>
    <s v="0.4166666666666667"/>
    <n v="0"/>
  </r>
  <r>
    <s v="EMP0233"/>
    <s v="Customer Support"/>
    <x v="9"/>
    <n v="3"/>
    <s v="G5"/>
    <n v="28"/>
    <s v="Master"/>
    <s v="Chennai"/>
    <n v="1"/>
    <n v="6.7"/>
    <n v="17"/>
    <n v="4"/>
    <n v="12"/>
    <n v="0"/>
    <s v="Band D"/>
    <n v="90600"/>
    <n v="6.8"/>
    <n v="2.6"/>
    <n v="4.9000000000000004"/>
    <n v="0"/>
    <n v="3"/>
    <n v="2.5"/>
    <n v="3.4"/>
    <s v="Yes"/>
    <n v="0"/>
    <n v="1"/>
    <m/>
    <n v="0"/>
    <x v="0"/>
    <m/>
    <n v="1"/>
    <n v="0"/>
    <x v="0"/>
    <s v="1â€“3 years"/>
    <s v="Low"/>
    <s v="2.966666666666667"/>
    <n v="8.3333333333333301E-2"/>
    <n v="0"/>
  </r>
  <r>
    <s v="EMP0234"/>
    <s v="Finance"/>
    <x v="18"/>
    <n v="10.6"/>
    <s v="G3"/>
    <n v="38"/>
    <s v="Bachelor"/>
    <s v="Chennai"/>
    <n v="6"/>
    <n v="11.3"/>
    <n v="7"/>
    <n v="1"/>
    <n v="12"/>
    <n v="0"/>
    <s v="Band C"/>
    <n v="56300"/>
    <n v="13.4"/>
    <n v="3.6"/>
    <n v="2.2999999999999998"/>
    <n v="0"/>
    <n v="3.3"/>
    <n v="3"/>
    <n v="3.4"/>
    <s v="Yes"/>
    <n v="1"/>
    <n v="0"/>
    <m/>
    <n v="1"/>
    <x v="0"/>
    <m/>
    <n v="1"/>
    <n v="0"/>
    <x v="1"/>
    <s v="5+ years"/>
    <s v="Moderate"/>
    <s v="3.233333333333333"/>
    <n v="0.5"/>
    <n v="0"/>
  </r>
  <r>
    <s v="EMP0235"/>
    <s v="Customer Support"/>
    <x v="2"/>
    <n v="6.3"/>
    <s v="G2"/>
    <n v="37"/>
    <s v="Bachelor"/>
    <s v="Chennai"/>
    <n v="5"/>
    <n v="44"/>
    <n v="6"/>
    <n v="1"/>
    <n v="12"/>
    <n v="0"/>
    <s v="Band A"/>
    <n v="31500"/>
    <n v="11"/>
    <n v="3.7"/>
    <n v="2.2999999999999998"/>
    <n v="0"/>
    <n v="2.2000000000000002"/>
    <n v="3.1"/>
    <n v="3.3"/>
    <s v="Yes"/>
    <n v="0"/>
    <n v="0"/>
    <m/>
    <n v="1"/>
    <x v="0"/>
    <m/>
    <n v="1"/>
    <n v="0"/>
    <x v="1"/>
    <s v="5+ years"/>
    <s v="High"/>
    <s v="2.866666666666667"/>
    <s v="0.4166666666666667"/>
    <n v="0"/>
  </r>
  <r>
    <s v="EMP0236"/>
    <s v="Operations"/>
    <x v="0"/>
    <n v="4.4000000000000004"/>
    <s v="G3"/>
    <n v="29"/>
    <s v="Bachelor"/>
    <s v="Chennai"/>
    <n v="3"/>
    <n v="22.9"/>
    <n v="8"/>
    <n v="5"/>
    <n v="12"/>
    <n v="0"/>
    <s v="Band C"/>
    <n v="59200"/>
    <n v="12.5"/>
    <n v="2.5"/>
    <n v="3"/>
    <n v="0"/>
    <n v="4.4000000000000004"/>
    <n v="3.5"/>
    <n v="4.7"/>
    <s v="No"/>
    <n v="0"/>
    <n v="0"/>
    <m/>
    <n v="0"/>
    <x v="0"/>
    <m/>
    <n v="1"/>
    <n v="0"/>
    <x v="1"/>
    <s v="3â€“5 years"/>
    <s v="High"/>
    <n v="4.2"/>
    <n v="0.25"/>
    <n v="0"/>
  </r>
  <r>
    <s v="EMP0237"/>
    <s v="Hr"/>
    <x v="1"/>
    <n v="5.2"/>
    <s v="G2"/>
    <n v="27"/>
    <s v="Bachelor"/>
    <s v="Chennai"/>
    <n v="5"/>
    <n v="1.6"/>
    <n v="4"/>
    <n v="2"/>
    <n v="12"/>
    <n v="0"/>
    <s v="Band B"/>
    <n v="41200"/>
    <n v="0.6"/>
    <n v="2"/>
    <n v="1.7"/>
    <n v="0"/>
    <n v="2.2999999999999998"/>
    <n v="2.5"/>
    <n v="3.6"/>
    <s v="Yes"/>
    <n v="0"/>
    <n v="1"/>
    <n v="4.3"/>
    <n v="0"/>
    <x v="0"/>
    <m/>
    <n v="0"/>
    <n v="0"/>
    <x v="0"/>
    <s v="5+ years"/>
    <s v="Low"/>
    <s v="2.8000000000000003"/>
    <s v="0.4166666666666667"/>
    <n v="0"/>
  </r>
  <r>
    <s v="EMP0238"/>
    <s v="Operations"/>
    <x v="6"/>
    <n v="2.4"/>
    <s v="G2"/>
    <n v="30"/>
    <s v="Bachelor"/>
    <s v="Chennai"/>
    <n v="4"/>
    <n v="1.8"/>
    <n v="6"/>
    <n v="2"/>
    <n v="12"/>
    <n v="0"/>
    <s v="Band A"/>
    <n v="27600"/>
    <n v="9.4"/>
    <n v="3.3"/>
    <n v="3.2"/>
    <n v="0"/>
    <n v="2.5"/>
    <n v="5"/>
    <n v="3.3"/>
    <s v="Yes"/>
    <n v="0"/>
    <n v="0"/>
    <m/>
    <n v="1"/>
    <x v="0"/>
    <m/>
    <n v="1"/>
    <n v="0"/>
    <x v="1"/>
    <s v="1â€“3 years"/>
    <s v="Low"/>
    <n v="3.6"/>
    <s v="0.3333333333333333"/>
    <n v="0"/>
  </r>
  <r>
    <s v="EMP0239"/>
    <s v="Engineering"/>
    <x v="10"/>
    <n v="3.1"/>
    <s v="G2"/>
    <n v="28"/>
    <s v="Diploma"/>
    <s v="Remote"/>
    <n v="2"/>
    <n v="5"/>
    <n v="13"/>
    <n v="0"/>
    <n v="12"/>
    <n v="0"/>
    <s v="Band B"/>
    <n v="42300"/>
    <n v="15.1"/>
    <n v="3.9"/>
    <n v="0.2"/>
    <n v="0"/>
    <n v="3.2"/>
    <n v="3.1"/>
    <n v="3.9"/>
    <s v="No"/>
    <n v="0"/>
    <n v="0"/>
    <m/>
    <n v="0"/>
    <x v="0"/>
    <m/>
    <n v="1"/>
    <n v="0"/>
    <x v="1"/>
    <s v="3â€“5 years"/>
    <s v="Low"/>
    <s v="3.4000000000000004"/>
    <s v="0.16666666666666666"/>
    <n v="0"/>
  </r>
  <r>
    <s v="EMP0240"/>
    <s v="Engineering"/>
    <x v="4"/>
    <n v="3"/>
    <s v="G2"/>
    <n v="28"/>
    <s v="Bachelor"/>
    <s v="Chennai"/>
    <n v="1"/>
    <n v="33.1"/>
    <n v="10"/>
    <n v="2"/>
    <n v="12"/>
    <n v="0"/>
    <s v="Band B"/>
    <n v="38300"/>
    <n v="10.1"/>
    <n v="4.0999999999999996"/>
    <n v="2.6"/>
    <n v="0"/>
    <n v="5"/>
    <n v="3.2"/>
    <n v="3.4"/>
    <s v="Yes"/>
    <n v="0"/>
    <n v="2"/>
    <m/>
    <n v="0"/>
    <x v="0"/>
    <m/>
    <n v="1"/>
    <n v="0"/>
    <x v="0"/>
    <s v="1â€“3 years"/>
    <s v="High"/>
    <s v="3.8666666666666667"/>
    <n v="8.3333333333333301E-2"/>
    <n v="0"/>
  </r>
  <r>
    <s v="EMP0241"/>
    <s v="Customer Support"/>
    <x v="5"/>
    <n v="2"/>
    <s v="G3"/>
    <n v="27"/>
    <s v="Master"/>
    <s v="Chennai"/>
    <n v="3"/>
    <n v="1.7"/>
    <n v="7"/>
    <n v="3"/>
    <n v="12"/>
    <n v="0"/>
    <s v="Band B"/>
    <n v="46200"/>
    <n v="11.8"/>
    <n v="4.3"/>
    <n v="0.4"/>
    <n v="0"/>
    <n v="2.7"/>
    <n v="2.6"/>
    <n v="3.6"/>
    <s v="No"/>
    <n v="0"/>
    <n v="1"/>
    <n v="1.5"/>
    <n v="0"/>
    <x v="0"/>
    <m/>
    <n v="0"/>
    <n v="0"/>
    <x v="0"/>
    <s v="1â€“3 years"/>
    <s v="Low"/>
    <s v="2.966666666666667"/>
    <n v="0.25"/>
    <n v="0"/>
  </r>
  <r>
    <s v="EMP0242"/>
    <s v="Operations"/>
    <x v="3"/>
    <n v="1.1000000000000001"/>
    <s v="G1"/>
    <n v="36"/>
    <s v="Master"/>
    <s v="Coimbatore"/>
    <n v="8"/>
    <n v="5.2"/>
    <n v="10"/>
    <n v="1"/>
    <n v="12"/>
    <n v="0"/>
    <s v="Band A"/>
    <n v="24600"/>
    <n v="8.1"/>
    <n v="3.5"/>
    <n v="0.4"/>
    <n v="0"/>
    <n v="1.7"/>
    <n v="2.2999999999999998"/>
    <n v="3.2"/>
    <s v="Yes"/>
    <n v="0"/>
    <n v="1"/>
    <n v="0.4"/>
    <n v="0"/>
    <x v="0"/>
    <m/>
    <n v="0"/>
    <n v="0"/>
    <x v="0"/>
    <s v="1â€“3 years"/>
    <s v="Low"/>
    <n v="2.4"/>
    <s v="0.6666666666666666"/>
    <n v="0"/>
  </r>
  <r>
    <s v="EMP0243"/>
    <s v="Engineering"/>
    <x v="10"/>
    <n v="5.4"/>
    <s v="G4"/>
    <n v="22"/>
    <s v="Bachelor"/>
    <s v="Chennai"/>
    <n v="3"/>
    <n v="5.2"/>
    <n v="7"/>
    <n v="1"/>
    <n v="12"/>
    <n v="0"/>
    <s v="Band C"/>
    <n v="67500"/>
    <n v="8.4"/>
    <n v="3"/>
    <n v="3"/>
    <n v="0"/>
    <n v="2"/>
    <n v="3.1"/>
    <n v="3.1"/>
    <s v="Yes"/>
    <n v="0"/>
    <n v="0"/>
    <m/>
    <n v="0"/>
    <x v="0"/>
    <m/>
    <n v="1"/>
    <n v="0"/>
    <x v="1"/>
    <s v="5+ years"/>
    <s v="Low"/>
    <s v="2.733333333333333"/>
    <n v="0.25"/>
    <n v="0"/>
  </r>
  <r>
    <s v="EMP0244"/>
    <s v="Finance"/>
    <x v="18"/>
    <n v="7"/>
    <s v="G2"/>
    <n v="31"/>
    <s v="Master"/>
    <s v="Coimbatore"/>
    <n v="4"/>
    <n v="13.5"/>
    <n v="10"/>
    <n v="4"/>
    <n v="12"/>
    <n v="0"/>
    <s v="Band B"/>
    <n v="36300"/>
    <n v="13.6"/>
    <n v="3.2"/>
    <n v="0.6"/>
    <n v="0"/>
    <n v="4.0999999999999996"/>
    <n v="3.2"/>
    <n v="4.2"/>
    <s v="Yes"/>
    <n v="0"/>
    <n v="0"/>
    <m/>
    <n v="0"/>
    <x v="0"/>
    <m/>
    <n v="1"/>
    <n v="0"/>
    <x v="1"/>
    <s v="5+ years"/>
    <s v="Moderate"/>
    <s v="3.8333333333333335"/>
    <s v="0.3333333333333333"/>
    <n v="0"/>
  </r>
  <r>
    <s v="EMP0245"/>
    <s v="Operations"/>
    <x v="0"/>
    <n v="4.9000000000000004"/>
    <s v="G3"/>
    <n v="31"/>
    <s v="Master"/>
    <s v="Chennai"/>
    <n v="3"/>
    <n v="18.3"/>
    <n v="5"/>
    <n v="2"/>
    <n v="12"/>
    <n v="0"/>
    <s v="Band B"/>
    <n v="49100"/>
    <n v="5.3"/>
    <n v="2.1"/>
    <n v="0.4"/>
    <n v="0"/>
    <n v="2.1"/>
    <n v="3.1"/>
    <n v="1.8"/>
    <s v="Yes"/>
    <n v="0"/>
    <n v="0"/>
    <m/>
    <n v="0"/>
    <x v="0"/>
    <m/>
    <n v="1"/>
    <n v="0"/>
    <x v="1"/>
    <s v="3â€“5 years"/>
    <s v="Moderate"/>
    <s v="2.3333333333333335"/>
    <n v="0.25"/>
    <n v="0"/>
  </r>
  <r>
    <s v="EMP0246"/>
    <s v="Customer Support"/>
    <x v="9"/>
    <n v="3.5"/>
    <s v="G3"/>
    <n v="26"/>
    <s v="Bachelor"/>
    <s v="Bengaluru"/>
    <n v="2"/>
    <n v="15.4"/>
    <n v="10"/>
    <n v="4"/>
    <n v="12"/>
    <n v="0"/>
    <s v="Band C"/>
    <n v="64000"/>
    <n v="4.9000000000000004"/>
    <n v="2.6"/>
    <n v="1.8"/>
    <n v="0"/>
    <n v="4.4000000000000004"/>
    <n v="4.7"/>
    <n v="3.8"/>
    <s v="Yes"/>
    <n v="0"/>
    <n v="0"/>
    <m/>
    <n v="0"/>
    <x v="0"/>
    <m/>
    <n v="1"/>
    <n v="0"/>
    <x v="1"/>
    <s v="3â€“5 years"/>
    <s v="Moderate"/>
    <s v="4.300000000000001"/>
    <s v="0.16666666666666666"/>
    <n v="0"/>
  </r>
  <r>
    <s v="EMP0247"/>
    <s v="Operations"/>
    <x v="3"/>
    <n v="13.6"/>
    <s v="G3"/>
    <n v="43"/>
    <s v="Bachelor"/>
    <s v="Bengaluru"/>
    <n v="5"/>
    <n v="12.1"/>
    <n v="6"/>
    <n v="3"/>
    <n v="12"/>
    <n v="0"/>
    <s v="Band C"/>
    <n v="63800"/>
    <n v="6.1"/>
    <n v="3.2"/>
    <n v="0.5"/>
    <n v="0"/>
    <n v="3.4"/>
    <n v="3.1"/>
    <n v="3"/>
    <s v="Yes"/>
    <n v="0"/>
    <n v="1"/>
    <n v="5.6"/>
    <n v="1"/>
    <x v="0"/>
    <m/>
    <n v="0"/>
    <n v="0"/>
    <x v="0"/>
    <s v="5+ years"/>
    <s v="Moderate"/>
    <s v="3.1666666666666665"/>
    <s v="0.4166666666666667"/>
    <n v="0"/>
  </r>
  <r>
    <s v="EMP0248"/>
    <s v="Sales"/>
    <x v="13"/>
    <n v="2.2000000000000002"/>
    <s v="G3"/>
    <n v="31"/>
    <s v="Bachelor"/>
    <s v="Bengaluru"/>
    <n v="0"/>
    <n v="2.2000000000000002"/>
    <n v="9"/>
    <n v="1"/>
    <n v="12"/>
    <n v="0"/>
    <s v="Band C"/>
    <n v="64900"/>
    <n v="8.1"/>
    <n v="3"/>
    <n v="0.4"/>
    <n v="0"/>
    <n v="3.3"/>
    <n v="3.1"/>
    <n v="1.9"/>
    <s v="Yes"/>
    <n v="0"/>
    <n v="0"/>
    <m/>
    <n v="1"/>
    <x v="0"/>
    <m/>
    <n v="1"/>
    <n v="0"/>
    <x v="1"/>
    <s v="1â€“3 years"/>
    <s v="Low"/>
    <s v="2.766666666666667"/>
    <n v="0"/>
    <n v="0"/>
  </r>
  <r>
    <s v="EMP0249"/>
    <s v="Sales"/>
    <x v="13"/>
    <n v="4.5"/>
    <s v="G5"/>
    <n v="30"/>
    <s v="Bachelor"/>
    <s v="Bengaluru"/>
    <n v="1"/>
    <n v="10.6"/>
    <n v="9"/>
    <n v="0"/>
    <n v="12"/>
    <n v="0"/>
    <s v="Band D"/>
    <n v="101200"/>
    <n v="1.6"/>
    <n v="3.3"/>
    <n v="0.2"/>
    <n v="0"/>
    <n v="3.6"/>
    <n v="3.9"/>
    <n v="2.6"/>
    <s v="Yes"/>
    <n v="0"/>
    <n v="1"/>
    <n v="2.8"/>
    <n v="2"/>
    <x v="0"/>
    <m/>
    <n v="0"/>
    <n v="0"/>
    <x v="0"/>
    <s v="3â€“5 years"/>
    <s v="Moderate"/>
    <s v="3.3666666666666667"/>
    <n v="8.3333333333333301E-2"/>
    <n v="0"/>
  </r>
  <r>
    <s v="EMP0250"/>
    <s v="Hr"/>
    <x v="7"/>
    <n v="7.7"/>
    <s v="G2"/>
    <n v="33"/>
    <s v="Diploma"/>
    <s v="Coimbatore"/>
    <n v="2"/>
    <n v="25.4"/>
    <n v="4"/>
    <n v="4"/>
    <n v="12"/>
    <n v="0"/>
    <s v="Band B"/>
    <n v="44100"/>
    <n v="10.9"/>
    <n v="2"/>
    <n v="0.8"/>
    <n v="0"/>
    <n v="2.6"/>
    <n v="3"/>
    <n v="3.4"/>
    <s v="Yes"/>
    <n v="0"/>
    <n v="1"/>
    <n v="2"/>
    <n v="0"/>
    <x v="0"/>
    <m/>
    <n v="0"/>
    <n v="0"/>
    <x v="0"/>
    <s v="5+ years"/>
    <s v="High"/>
    <n v="3"/>
    <s v="0.16666666666666666"/>
    <n v="0"/>
  </r>
  <r>
    <s v="EMP0251"/>
    <s v="Operations"/>
    <x v="3"/>
    <n v="1.4"/>
    <s v="G3"/>
    <n v="27"/>
    <s v="Bachelor"/>
    <s v="Chennai"/>
    <n v="5"/>
    <n v="31.5"/>
    <n v="3"/>
    <n v="2"/>
    <n v="12"/>
    <n v="0"/>
    <s v="Band B"/>
    <n v="46500"/>
    <n v="7.3"/>
    <n v="2.2000000000000002"/>
    <n v="2.2999999999999998"/>
    <n v="0"/>
    <n v="3.4"/>
    <n v="3.7"/>
    <n v="3.5"/>
    <s v="Yes"/>
    <n v="0"/>
    <n v="2"/>
    <n v="0.2"/>
    <n v="0"/>
    <x v="0"/>
    <m/>
    <n v="0"/>
    <n v="0"/>
    <x v="0"/>
    <s v="1â€“3 years"/>
    <s v="High"/>
    <s v="3.533333333333333"/>
    <s v="0.4166666666666667"/>
    <n v="0"/>
  </r>
  <r>
    <s v="EMP0252"/>
    <s v="Customer Support"/>
    <x v="2"/>
    <n v="5.7"/>
    <s v="G3"/>
    <n v="31"/>
    <s v="Bachelor"/>
    <s v="Chennai"/>
    <n v="6"/>
    <n v="13.2"/>
    <n v="14"/>
    <n v="3"/>
    <n v="12"/>
    <n v="0"/>
    <s v="Band C"/>
    <n v="53800"/>
    <n v="11.4"/>
    <n v="3.9"/>
    <n v="2.6"/>
    <n v="0"/>
    <n v="2.2000000000000002"/>
    <n v="2"/>
    <n v="4"/>
    <s v="Yes"/>
    <n v="0"/>
    <n v="0"/>
    <m/>
    <n v="0"/>
    <x v="0"/>
    <m/>
    <n v="1"/>
    <n v="0"/>
    <x v="1"/>
    <s v="5+ years"/>
    <s v="Moderate"/>
    <s v="2.733333333333333"/>
    <n v="0.5"/>
    <n v="0"/>
  </r>
  <r>
    <s v="EMP0253"/>
    <s v="Hr"/>
    <x v="1"/>
    <n v="11"/>
    <s v="G2"/>
    <n v="37"/>
    <s v="Bachelor"/>
    <s v="Coimbatore"/>
    <n v="6"/>
    <n v="1.6"/>
    <n v="9"/>
    <n v="4"/>
    <n v="12"/>
    <n v="0"/>
    <s v="Band B"/>
    <n v="42700"/>
    <n v="0"/>
    <n v="2.4"/>
    <n v="1"/>
    <n v="0"/>
    <n v="4.5"/>
    <n v="2.1"/>
    <n v="4"/>
    <s v="Yes"/>
    <n v="0"/>
    <n v="0"/>
    <m/>
    <n v="1"/>
    <x v="0"/>
    <m/>
    <n v="1"/>
    <n v="0"/>
    <x v="1"/>
    <s v="5+ years"/>
    <s v="Low"/>
    <s v="3.533333333333333"/>
    <n v="0.5"/>
    <n v="0"/>
  </r>
  <r>
    <s v="EMP0254"/>
    <s v="Sales"/>
    <x v="8"/>
    <n v="3.7"/>
    <s v="G2"/>
    <n v="29"/>
    <s v="Bachelor"/>
    <s v="Chennai"/>
    <n v="2"/>
    <n v="13.4"/>
    <n v="8"/>
    <n v="0"/>
    <n v="12"/>
    <n v="0"/>
    <s v="Band B"/>
    <n v="41900"/>
    <n v="11.4"/>
    <n v="2.6"/>
    <n v="4.3"/>
    <n v="0"/>
    <n v="2.4"/>
    <n v="3.3"/>
    <n v="2.2000000000000002"/>
    <s v="Yes"/>
    <n v="0"/>
    <n v="0"/>
    <m/>
    <n v="0"/>
    <x v="0"/>
    <m/>
    <n v="1"/>
    <n v="0"/>
    <x v="1"/>
    <s v="3â€“5 years"/>
    <s v="Moderate"/>
    <s v="2.6333333333333333"/>
    <s v="0.16666666666666666"/>
    <n v="0"/>
  </r>
  <r>
    <s v="EMP0255"/>
    <s v="Engineering"/>
    <x v="10"/>
    <n v="4.2"/>
    <s v="G2"/>
    <n v="31"/>
    <s v="Bachelor"/>
    <s v="Chennai"/>
    <n v="6"/>
    <n v="8.6999999999999993"/>
    <n v="7"/>
    <n v="5"/>
    <n v="12"/>
    <n v="0"/>
    <s v="Band B"/>
    <n v="39000"/>
    <n v="13.3"/>
    <n v="3.3"/>
    <n v="1.9"/>
    <n v="0"/>
    <n v="3.3"/>
    <n v="3"/>
    <n v="3.7"/>
    <s v="Yes"/>
    <n v="1"/>
    <n v="2"/>
    <n v="1.2"/>
    <n v="0"/>
    <x v="0"/>
    <m/>
    <n v="0"/>
    <n v="0"/>
    <x v="0"/>
    <s v="3â€“5 years"/>
    <s v="Low"/>
    <s v="3.3333333333333335"/>
    <n v="0.5"/>
    <n v="0"/>
  </r>
  <r>
    <s v="EMP0256"/>
    <s v="Operations"/>
    <x v="0"/>
    <n v="2.2000000000000002"/>
    <s v="G2"/>
    <n v="31"/>
    <s v="Master"/>
    <s v="Bengaluru"/>
    <n v="4"/>
    <n v="2"/>
    <n v="7"/>
    <n v="1"/>
    <n v="12"/>
    <n v="0"/>
    <s v="Band B"/>
    <n v="39700"/>
    <n v="9.8000000000000007"/>
    <n v="2.4"/>
    <n v="3.1"/>
    <n v="0"/>
    <n v="2.4"/>
    <n v="2.5"/>
    <n v="4"/>
    <s v="Yes"/>
    <n v="0"/>
    <n v="0"/>
    <m/>
    <n v="1"/>
    <x v="0"/>
    <m/>
    <n v="1"/>
    <n v="0"/>
    <x v="1"/>
    <s v="1â€“3 years"/>
    <s v="Low"/>
    <s v="2.966666666666667"/>
    <s v="0.3333333333333333"/>
    <n v="0"/>
  </r>
  <r>
    <s v="EMP0257"/>
    <s v="Operations"/>
    <x v="0"/>
    <n v="5.2"/>
    <s v="G2"/>
    <n v="26"/>
    <s v="Bachelor"/>
    <s v="Chennai"/>
    <n v="5"/>
    <n v="3.5"/>
    <n v="11"/>
    <n v="3"/>
    <n v="12"/>
    <n v="0"/>
    <s v="Band B"/>
    <n v="41300"/>
    <n v="8.1"/>
    <n v="4.2"/>
    <n v="0.7"/>
    <n v="0"/>
    <n v="2.8"/>
    <n v="3.3"/>
    <n v="3.6"/>
    <s v="Yes"/>
    <n v="0"/>
    <n v="1"/>
    <n v="3.3"/>
    <n v="0"/>
    <x v="0"/>
    <m/>
    <n v="0"/>
    <n v="0"/>
    <x v="0"/>
    <s v="5+ years"/>
    <s v="Low"/>
    <s v="3.233333333333333"/>
    <s v="0.4166666666666667"/>
    <n v="0"/>
  </r>
  <r>
    <s v="EMP0258"/>
    <s v="Engineering"/>
    <x v="12"/>
    <n v="2"/>
    <s v="G2"/>
    <n v="24"/>
    <s v="Bachelor"/>
    <s v="Chennai"/>
    <n v="4"/>
    <n v="4.2"/>
    <n v="11"/>
    <n v="2"/>
    <n v="12"/>
    <n v="0"/>
    <s v="Band B"/>
    <n v="36600"/>
    <n v="11.5"/>
    <n v="2.1"/>
    <n v="0.9"/>
    <n v="0"/>
    <n v="3"/>
    <n v="3.4"/>
    <n v="3.4"/>
    <s v="Yes"/>
    <n v="1"/>
    <n v="2"/>
    <n v="1.4"/>
    <n v="1"/>
    <x v="0"/>
    <m/>
    <n v="0"/>
    <n v="0"/>
    <x v="0"/>
    <s v="1â€“3 years"/>
    <s v="Low"/>
    <s v="3.266666666666667"/>
    <s v="0.3333333333333333"/>
    <n v="0"/>
  </r>
  <r>
    <s v="EMP0259"/>
    <s v="Engineering"/>
    <x v="16"/>
    <n v="3.5"/>
    <s v="G3"/>
    <n v="23"/>
    <s v="Bachelor"/>
    <s v="Bengaluru"/>
    <n v="2"/>
    <n v="16.5"/>
    <n v="7"/>
    <n v="0"/>
    <n v="12"/>
    <n v="0"/>
    <s v="Band C"/>
    <n v="50600"/>
    <n v="13.1"/>
    <n v="3.2"/>
    <n v="1"/>
    <n v="0"/>
    <n v="5"/>
    <n v="2.6"/>
    <n v="1.9"/>
    <s v="Yes"/>
    <n v="0"/>
    <n v="1"/>
    <n v="1.4"/>
    <n v="0"/>
    <x v="0"/>
    <m/>
    <n v="0"/>
    <n v="0"/>
    <x v="0"/>
    <s v="3â€“5 years"/>
    <s v="Moderate"/>
    <s v="3.1666666666666665"/>
    <s v="0.16666666666666666"/>
    <n v="0"/>
  </r>
  <r>
    <s v="EMP0260"/>
    <s v="Finance"/>
    <x v="17"/>
    <n v="1"/>
    <s v="G1"/>
    <n v="30"/>
    <s v="Master"/>
    <s v="Coimbatore"/>
    <n v="0"/>
    <n v="30.5"/>
    <n v="10"/>
    <n v="3"/>
    <n v="12"/>
    <n v="0"/>
    <s v="Band A"/>
    <n v="25800"/>
    <n v="10.1"/>
    <n v="2.5"/>
    <n v="0.9"/>
    <n v="0"/>
    <n v="3.3"/>
    <n v="2.7"/>
    <n v="2.6"/>
    <s v="Yes"/>
    <n v="0"/>
    <n v="0"/>
    <m/>
    <n v="0"/>
    <x v="0"/>
    <m/>
    <n v="1"/>
    <n v="0"/>
    <x v="1"/>
    <s v="0â€“1 years"/>
    <s v="High"/>
    <s v="2.8666666666666667"/>
    <n v="0"/>
    <n v="0"/>
  </r>
  <r>
    <s v="EMP0261"/>
    <s v="Engineering"/>
    <x v="16"/>
    <n v="0.2"/>
    <s v="G4"/>
    <n v="27"/>
    <s v="Master"/>
    <s v="Hyderabad"/>
    <n v="7"/>
    <n v="14.7"/>
    <n v="15"/>
    <n v="2"/>
    <n v="12"/>
    <n v="0"/>
    <s v="Band D"/>
    <n v="79100"/>
    <n v="10.4"/>
    <n v="3.3"/>
    <n v="0"/>
    <n v="0"/>
    <n v="2.6"/>
    <n v="3.3"/>
    <n v="4.5"/>
    <s v="No"/>
    <n v="1"/>
    <n v="0"/>
    <m/>
    <n v="1"/>
    <x v="0"/>
    <m/>
    <n v="1"/>
    <n v="0"/>
    <x v="1"/>
    <s v="0â€“1 years"/>
    <s v="Moderate"/>
    <s v="3.466666666666667"/>
    <s v="0.5833333333333334"/>
    <n v="0"/>
  </r>
  <r>
    <s v="EMP0262"/>
    <s v="Customer Support"/>
    <x v="9"/>
    <n v="2.6"/>
    <s v="G2"/>
    <n v="31"/>
    <s v="Bachelor"/>
    <s v="Remote"/>
    <n v="0"/>
    <n v="16.899999999999999"/>
    <n v="7"/>
    <n v="1"/>
    <n v="12"/>
    <n v="0"/>
    <s v="Band B"/>
    <n v="37000"/>
    <n v="14.6"/>
    <n v="2.8"/>
    <n v="1.3"/>
    <n v="0"/>
    <n v="2.9"/>
    <n v="2.2999999999999998"/>
    <n v="3.2"/>
    <s v="Yes"/>
    <n v="0"/>
    <n v="1"/>
    <n v="1.2"/>
    <n v="1"/>
    <x v="0"/>
    <m/>
    <n v="0"/>
    <n v="0"/>
    <x v="0"/>
    <s v="1â€“3 years"/>
    <s v="Moderate"/>
    <s v="2.7999999999999994"/>
    <n v="0"/>
    <n v="0"/>
  </r>
  <r>
    <s v="EMP0263"/>
    <s v="Sales"/>
    <x v="13"/>
    <n v="2.5"/>
    <s v="G3"/>
    <n v="23"/>
    <s v="Diploma"/>
    <s v="Remote"/>
    <n v="4"/>
    <n v="9.1999999999999993"/>
    <n v="11"/>
    <n v="2"/>
    <n v="12"/>
    <n v="0"/>
    <s v="Band C"/>
    <n v="54500"/>
    <n v="11"/>
    <n v="3.2"/>
    <n v="1.7"/>
    <n v="0"/>
    <n v="1.9"/>
    <n v="2.7"/>
    <n v="5"/>
    <s v="Yes"/>
    <n v="0"/>
    <n v="0"/>
    <m/>
    <n v="0"/>
    <x v="0"/>
    <m/>
    <n v="1"/>
    <n v="0"/>
    <x v="1"/>
    <s v="1â€“3 years"/>
    <s v="Low"/>
    <s v="3.1999999999999997"/>
    <s v="0.3333333333333333"/>
    <n v="0"/>
  </r>
  <r>
    <s v="EMP0264"/>
    <s v="Engineering"/>
    <x v="12"/>
    <n v="2.8"/>
    <s v="G1"/>
    <n v="36"/>
    <s v="Bachelor"/>
    <s v="Coimbatore"/>
    <n v="5"/>
    <n v="5.9"/>
    <n v="3"/>
    <n v="1"/>
    <n v="12"/>
    <n v="0"/>
    <s v="Band A"/>
    <n v="27800"/>
    <n v="4.8"/>
    <n v="4.3"/>
    <n v="1.6"/>
    <n v="0"/>
    <n v="3.2"/>
    <n v="3.7"/>
    <n v="2.4"/>
    <s v="Yes"/>
    <n v="0"/>
    <n v="0"/>
    <m/>
    <n v="0"/>
    <x v="0"/>
    <m/>
    <n v="1"/>
    <n v="0"/>
    <x v="1"/>
    <s v="1â€“3 years"/>
    <s v="Low"/>
    <n v="3.1"/>
    <s v="0.4166666666666667"/>
    <n v="0"/>
  </r>
  <r>
    <s v="EMP0265"/>
    <s v="Customer Support"/>
    <x v="5"/>
    <n v="6.1"/>
    <s v="G2"/>
    <n v="30"/>
    <s v="Bachelor"/>
    <s v="Chennai"/>
    <n v="6"/>
    <n v="15"/>
    <n v="10"/>
    <n v="0"/>
    <n v="12"/>
    <n v="0"/>
    <s v="Band B"/>
    <n v="45500"/>
    <n v="13.1"/>
    <n v="2.6"/>
    <n v="4.7"/>
    <n v="0"/>
    <n v="5"/>
    <n v="3.2"/>
    <n v="4.7"/>
    <s v="Yes"/>
    <n v="0"/>
    <n v="1"/>
    <n v="3.5"/>
    <n v="0"/>
    <x v="0"/>
    <m/>
    <n v="0"/>
    <n v="0"/>
    <x v="0"/>
    <s v="5+ years"/>
    <s v="Moderate"/>
    <n v="4.3"/>
    <n v="0.5"/>
    <n v="0"/>
  </r>
  <r>
    <s v="EMP0266"/>
    <s v="Engineering"/>
    <x v="16"/>
    <n v="7.2"/>
    <s v="G1"/>
    <n v="34"/>
    <s v="Master"/>
    <s v="Bengaluru"/>
    <n v="3"/>
    <n v="12.2"/>
    <n v="8"/>
    <n v="3"/>
    <n v="12"/>
    <n v="0"/>
    <s v="Band A"/>
    <n v="23000"/>
    <n v="7.5"/>
    <n v="2.6"/>
    <n v="5"/>
    <n v="0"/>
    <n v="3.6"/>
    <n v="2.8"/>
    <n v="2.9"/>
    <s v="Yes"/>
    <n v="0"/>
    <n v="0"/>
    <m/>
    <n v="0"/>
    <x v="0"/>
    <m/>
    <n v="1"/>
    <n v="0"/>
    <x v="1"/>
    <s v="5+ years"/>
    <s v="Moderate"/>
    <n v="3.1"/>
    <n v="0.25"/>
    <n v="0"/>
  </r>
  <r>
    <s v="EMP0267"/>
    <s v="Sales"/>
    <x v="14"/>
    <n v="4.5999999999999996"/>
    <s v="G3"/>
    <n v="34"/>
    <s v="Diploma"/>
    <s v="Bengaluru"/>
    <n v="6"/>
    <n v="4.5999999999999996"/>
    <n v="11"/>
    <n v="3"/>
    <n v="12"/>
    <n v="0"/>
    <s v="Band C"/>
    <n v="56000"/>
    <n v="8.1"/>
    <n v="2.9"/>
    <n v="0.1"/>
    <n v="0"/>
    <n v="4.0999999999999996"/>
    <n v="2.4"/>
    <n v="4.0999999999999996"/>
    <s v="Yes"/>
    <n v="0"/>
    <n v="0"/>
    <m/>
    <n v="0"/>
    <x v="0"/>
    <m/>
    <n v="1"/>
    <n v="0"/>
    <x v="1"/>
    <s v="3â€“5 years"/>
    <s v="Low"/>
    <s v="3.533333333333333"/>
    <n v="0.5"/>
    <n v="0"/>
  </r>
  <r>
    <s v="EMP0268"/>
    <s v="Engineering"/>
    <x v="12"/>
    <n v="5.8"/>
    <s v="G2"/>
    <n v="28"/>
    <s v="Doctorate"/>
    <s v="Bengaluru"/>
    <n v="4"/>
    <n v="11.6"/>
    <n v="8"/>
    <n v="3"/>
    <n v="12"/>
    <n v="0"/>
    <s v="Band A"/>
    <n v="34100"/>
    <n v="8.4"/>
    <n v="4.5"/>
    <n v="3.7"/>
    <n v="0"/>
    <n v="2.5"/>
    <n v="2.2999999999999998"/>
    <n v="3.2"/>
    <s v="Yes"/>
    <n v="0"/>
    <n v="0"/>
    <m/>
    <n v="0"/>
    <x v="0"/>
    <m/>
    <n v="1"/>
    <n v="0"/>
    <x v="1"/>
    <s v="5+ years"/>
    <s v="Moderate"/>
    <s v="2.6666666666666665"/>
    <s v="0.3333333333333333"/>
    <n v="0"/>
  </r>
  <r>
    <s v="EMP0269"/>
    <s v="Engineering"/>
    <x v="16"/>
    <n v="2"/>
    <s v="G5"/>
    <n v="26"/>
    <s v="Bachelor"/>
    <s v="Chennai"/>
    <n v="4"/>
    <n v="9.6999999999999993"/>
    <n v="13"/>
    <n v="2"/>
    <n v="12"/>
    <n v="0"/>
    <s v="Band D"/>
    <n v="99500"/>
    <n v="11.9"/>
    <n v="3.1"/>
    <n v="4.5"/>
    <n v="0"/>
    <n v="3.1"/>
    <n v="3.1"/>
    <n v="3.5"/>
    <s v="Yes"/>
    <n v="0"/>
    <n v="2"/>
    <n v="1.1000000000000001"/>
    <n v="0"/>
    <x v="0"/>
    <m/>
    <n v="0"/>
    <n v="0"/>
    <x v="0"/>
    <s v="1â€“3 years"/>
    <s v="Low"/>
    <s v="3.233333333333333"/>
    <s v="0.3333333333333333"/>
    <n v="0"/>
  </r>
  <r>
    <s v="EMP0270"/>
    <s v="Engineering"/>
    <x v="4"/>
    <n v="1.6"/>
    <s v="G2"/>
    <n v="28"/>
    <s v="Bachelor"/>
    <s v="Chennai"/>
    <n v="3"/>
    <n v="7.5"/>
    <n v="12"/>
    <n v="1"/>
    <n v="12"/>
    <n v="0"/>
    <s v="Band B"/>
    <n v="37300"/>
    <n v="15"/>
    <n v="4.3"/>
    <n v="0.1"/>
    <n v="0"/>
    <n v="3.5"/>
    <n v="5"/>
    <n v="3.9"/>
    <s v="Yes"/>
    <n v="0"/>
    <n v="2"/>
    <n v="0.1"/>
    <n v="0"/>
    <x v="0"/>
    <m/>
    <n v="0"/>
    <n v="0"/>
    <x v="0"/>
    <s v="1â€“3 years"/>
    <s v="Low"/>
    <s v="4.133333333333334"/>
    <n v="0.25"/>
    <n v="0"/>
  </r>
  <r>
    <s v="EMP0271"/>
    <s v="Engineering"/>
    <x v="10"/>
    <n v="5.3"/>
    <s v="G3"/>
    <n v="43"/>
    <s v="Master"/>
    <s v="Chennai"/>
    <n v="5"/>
    <n v="5.7"/>
    <n v="11"/>
    <n v="1"/>
    <n v="12"/>
    <n v="0"/>
    <s v="Band B"/>
    <n v="44900"/>
    <n v="8.1"/>
    <n v="3"/>
    <n v="2.2000000000000002"/>
    <n v="0"/>
    <n v="2.6"/>
    <n v="3.7"/>
    <n v="2.9"/>
    <s v="Yes"/>
    <n v="0"/>
    <n v="1"/>
    <n v="2.4"/>
    <n v="0"/>
    <x v="0"/>
    <m/>
    <n v="0"/>
    <n v="0"/>
    <x v="0"/>
    <s v="5+ years"/>
    <s v="Low"/>
    <s v="3.066666666666667"/>
    <s v="0.4166666666666667"/>
    <n v="0"/>
  </r>
  <r>
    <s v="EMP0272"/>
    <s v="Engineering"/>
    <x v="10"/>
    <n v="1.4"/>
    <s v="G2"/>
    <n v="29"/>
    <s v="Diploma"/>
    <s v="Chennai"/>
    <n v="2"/>
    <n v="13.2"/>
    <n v="4"/>
    <n v="0"/>
    <n v="12"/>
    <n v="0"/>
    <s v="Band B"/>
    <n v="39500"/>
    <n v="14.9"/>
    <n v="4.3"/>
    <n v="1.3"/>
    <n v="0"/>
    <n v="3.7"/>
    <n v="2"/>
    <n v="4"/>
    <s v="Yes"/>
    <n v="0"/>
    <n v="1"/>
    <n v="0.1"/>
    <n v="1"/>
    <x v="0"/>
    <m/>
    <n v="0"/>
    <n v="0"/>
    <x v="0"/>
    <s v="1â€“3 years"/>
    <s v="Moderate"/>
    <s v="3.233333333333333"/>
    <s v="0.16666666666666666"/>
    <n v="0"/>
  </r>
  <r>
    <s v="EMP0273"/>
    <s v="Engineering"/>
    <x v="10"/>
    <n v="1.3"/>
    <s v="G3"/>
    <n v="34"/>
    <s v="Master"/>
    <s v="Chennai"/>
    <n v="4"/>
    <n v="6.1"/>
    <n v="12"/>
    <n v="2"/>
    <n v="12"/>
    <n v="0"/>
    <s v="Band C"/>
    <n v="53400"/>
    <n v="8.6999999999999993"/>
    <n v="3.6"/>
    <n v="4.3"/>
    <n v="0"/>
    <n v="3.9"/>
    <n v="3.8"/>
    <n v="3.2"/>
    <s v="No"/>
    <n v="0"/>
    <n v="1"/>
    <n v="0.5"/>
    <n v="1"/>
    <x v="0"/>
    <m/>
    <n v="0"/>
    <n v="0"/>
    <x v="0"/>
    <s v="1â€“3 years"/>
    <s v="Low"/>
    <s v="3.633333333333333"/>
    <s v="0.3333333333333333"/>
    <n v="0"/>
  </r>
  <r>
    <s v="EMP0274"/>
    <s v="Finance"/>
    <x v="11"/>
    <n v="18.2"/>
    <s v="G2"/>
    <n v="49"/>
    <s v="Diploma"/>
    <s v="Remote"/>
    <n v="5"/>
    <n v="39.1"/>
    <n v="7"/>
    <n v="1"/>
    <n v="12"/>
    <n v="0"/>
    <s v="Band B"/>
    <n v="45900"/>
    <n v="13.6"/>
    <n v="3.7"/>
    <n v="4.0999999999999996"/>
    <n v="0"/>
    <n v="3.8"/>
    <n v="2.5"/>
    <n v="3.5"/>
    <s v="Yes"/>
    <n v="0"/>
    <n v="0"/>
    <m/>
    <n v="1"/>
    <x v="0"/>
    <m/>
    <n v="1"/>
    <n v="0"/>
    <x v="1"/>
    <s v="5+ years"/>
    <s v="High"/>
    <s v="3.266666666666667"/>
    <s v="0.4166666666666667"/>
    <n v="0"/>
  </r>
  <r>
    <s v="EMP0275"/>
    <s v="Operations"/>
    <x v="6"/>
    <n v="3.9"/>
    <s v="G2"/>
    <n v="31"/>
    <s v="Master"/>
    <s v="Chennai"/>
    <n v="2"/>
    <n v="14.3"/>
    <n v="10"/>
    <n v="0"/>
    <n v="12"/>
    <n v="0"/>
    <s v="Band B"/>
    <n v="38600"/>
    <n v="8.8000000000000007"/>
    <n v="1.9"/>
    <n v="8"/>
    <n v="0"/>
    <n v="3.2"/>
    <n v="3.2"/>
    <n v="1.3"/>
    <s v="Yes"/>
    <n v="0"/>
    <n v="0"/>
    <m/>
    <n v="0"/>
    <x v="0"/>
    <m/>
    <n v="1"/>
    <n v="0"/>
    <x v="1"/>
    <s v="3â€“5 years"/>
    <s v="Moderate"/>
    <s v="2.566666666666667"/>
    <s v="0.16666666666666666"/>
    <n v="0"/>
  </r>
  <r>
    <s v="EMP0276"/>
    <s v="Sales"/>
    <x v="8"/>
    <n v="2.5"/>
    <s v="G1"/>
    <n v="25"/>
    <s v="Bachelor"/>
    <s v="Bengaluru"/>
    <n v="3"/>
    <n v="13.4"/>
    <n v="14"/>
    <n v="0"/>
    <n v="12"/>
    <n v="0"/>
    <s v="Band A"/>
    <n v="28800"/>
    <n v="6"/>
    <n v="1.8"/>
    <n v="2.2999999999999998"/>
    <n v="0"/>
    <n v="4.3"/>
    <n v="2.7"/>
    <n v="3.1"/>
    <s v="Yes"/>
    <n v="0"/>
    <n v="0"/>
    <m/>
    <n v="0"/>
    <x v="0"/>
    <m/>
    <n v="1"/>
    <n v="0"/>
    <x v="1"/>
    <s v="1â€“3 years"/>
    <s v="Moderate"/>
    <s v="3.3666666666666667"/>
    <n v="0.25"/>
    <n v="0"/>
  </r>
  <r>
    <s v="EMP0277"/>
    <s v="Sales"/>
    <x v="13"/>
    <n v="2.2999999999999998"/>
    <s v="G1"/>
    <n v="33"/>
    <s v="Diploma"/>
    <s v="Remote"/>
    <n v="1"/>
    <n v="8.4"/>
    <n v="12"/>
    <n v="3"/>
    <n v="12"/>
    <n v="0"/>
    <s v="Band A"/>
    <n v="32100"/>
    <n v="15.7"/>
    <n v="4.2"/>
    <n v="1.9"/>
    <n v="0"/>
    <n v="3.1"/>
    <n v="5"/>
    <n v="4.4000000000000004"/>
    <s v="Yes"/>
    <n v="0"/>
    <n v="0"/>
    <m/>
    <n v="0"/>
    <x v="0"/>
    <m/>
    <n v="1"/>
    <n v="0"/>
    <x v="1"/>
    <s v="1â€“3 years"/>
    <s v="Low"/>
    <s v="4.166666666666667"/>
    <n v="8.3333333333333301E-2"/>
    <n v="0"/>
  </r>
  <r>
    <s v="EMP0278"/>
    <s v="Finance"/>
    <x v="18"/>
    <n v="1"/>
    <s v="G1"/>
    <n v="21"/>
    <s v="Master"/>
    <s v="Coimbatore"/>
    <n v="3"/>
    <n v="6.9"/>
    <n v="10"/>
    <n v="0"/>
    <n v="12"/>
    <n v="0"/>
    <s v="Band A"/>
    <n v="26900"/>
    <n v="5.6"/>
    <n v="4.2"/>
    <n v="0.5"/>
    <n v="0"/>
    <n v="3"/>
    <n v="2.2000000000000002"/>
    <n v="4"/>
    <s v="Yes"/>
    <n v="0"/>
    <n v="0"/>
    <m/>
    <n v="1"/>
    <x v="0"/>
    <m/>
    <n v="1"/>
    <n v="0"/>
    <x v="1"/>
    <s v="0â€“1 years"/>
    <s v="Low"/>
    <s v="3.0666666666666664"/>
    <n v="0.25"/>
    <n v="0"/>
  </r>
  <r>
    <s v="EMP0279"/>
    <s v="Customer Support"/>
    <x v="2"/>
    <n v="4.5"/>
    <s v="G5"/>
    <n v="37"/>
    <s v="Diploma"/>
    <s v="Coimbatore"/>
    <n v="3"/>
    <n v="1.2"/>
    <n v="8"/>
    <n v="1"/>
    <n v="12"/>
    <n v="0"/>
    <s v="Band E"/>
    <n v="110500"/>
    <n v="5.4"/>
    <n v="5"/>
    <n v="0.7"/>
    <n v="0"/>
    <n v="4.5999999999999996"/>
    <n v="3.5"/>
    <n v="4.0999999999999996"/>
    <s v="No"/>
    <n v="0"/>
    <n v="0"/>
    <m/>
    <n v="0"/>
    <x v="0"/>
    <m/>
    <n v="1"/>
    <n v="0"/>
    <x v="1"/>
    <s v="3â€“5 years"/>
    <s v="Low"/>
    <s v="4.066666666666666"/>
    <n v="0.25"/>
    <n v="0"/>
  </r>
  <r>
    <s v="EMP0280"/>
    <s v="Customer Support"/>
    <x v="9"/>
    <n v="3"/>
    <s v="G2"/>
    <n v="30"/>
    <s v="Bachelor"/>
    <s v="Bengaluru"/>
    <n v="2"/>
    <n v="4.9000000000000004"/>
    <n v="11"/>
    <n v="2"/>
    <n v="12"/>
    <n v="0"/>
    <s v="Band B"/>
    <n v="38400"/>
    <n v="3"/>
    <n v="1.9"/>
    <n v="2"/>
    <n v="0"/>
    <n v="2.2999999999999998"/>
    <n v="2.6"/>
    <n v="3.4"/>
    <s v="No"/>
    <n v="0"/>
    <n v="0"/>
    <m/>
    <n v="0"/>
    <x v="0"/>
    <m/>
    <n v="1"/>
    <n v="0"/>
    <x v="1"/>
    <s v="1â€“3 years"/>
    <s v="Low"/>
    <s v="2.766666666666667"/>
    <s v="0.16666666666666666"/>
    <n v="0"/>
  </r>
  <r>
    <s v="EMP0281"/>
    <s v="Engineering"/>
    <x v="4"/>
    <n v="7"/>
    <s v="G1"/>
    <n v="22"/>
    <s v="Master"/>
    <s v="Chennai"/>
    <n v="2"/>
    <n v="1.6"/>
    <n v="5"/>
    <n v="3"/>
    <n v="12"/>
    <n v="0"/>
    <s v="Band A"/>
    <n v="34800"/>
    <n v="13.1"/>
    <n v="3.6"/>
    <n v="0.7"/>
    <n v="0"/>
    <n v="1.8"/>
    <n v="3.9"/>
    <n v="4.7"/>
    <s v="Yes"/>
    <n v="0"/>
    <n v="2"/>
    <n v="0.2"/>
    <n v="0"/>
    <x v="0"/>
    <m/>
    <n v="0"/>
    <n v="0"/>
    <x v="0"/>
    <s v="5+ years"/>
    <s v="Low"/>
    <s v="3.466666666666667"/>
    <s v="0.16666666666666666"/>
    <n v="0"/>
  </r>
  <r>
    <s v="EMP0282"/>
    <s v="Engineering"/>
    <x v="10"/>
    <n v="5.4"/>
    <s v="G5"/>
    <n v="30"/>
    <s v="Bachelor"/>
    <s v="Coimbatore"/>
    <n v="3"/>
    <n v="1.6"/>
    <n v="9"/>
    <n v="0"/>
    <n v="12"/>
    <n v="0"/>
    <s v="Band D"/>
    <n v="97000"/>
    <n v="14"/>
    <n v="2.2999999999999998"/>
    <n v="1.3"/>
    <n v="0"/>
    <n v="2.5"/>
    <n v="3.5"/>
    <n v="3.6"/>
    <s v="Yes"/>
    <n v="0"/>
    <n v="1"/>
    <n v="0.5"/>
    <n v="0"/>
    <x v="0"/>
    <m/>
    <n v="0"/>
    <n v="0"/>
    <x v="0"/>
    <s v="5+ years"/>
    <s v="Low"/>
    <s v="3.1999999999999997"/>
    <n v="0.25"/>
    <n v="0"/>
  </r>
  <r>
    <s v="EMP0283"/>
    <s v="Engineering"/>
    <x v="10"/>
    <n v="2.9"/>
    <s v="G1"/>
    <n v="32"/>
    <s v="Master"/>
    <s v="Hyderabad"/>
    <n v="2"/>
    <n v="3"/>
    <n v="12"/>
    <n v="2"/>
    <n v="12"/>
    <n v="0"/>
    <s v="Band A"/>
    <n v="26100"/>
    <n v="9.5"/>
    <n v="2.5"/>
    <n v="0.2"/>
    <n v="0"/>
    <n v="3.6"/>
    <n v="4.3"/>
    <n v="3.4"/>
    <s v="Yes"/>
    <n v="1"/>
    <n v="0"/>
    <m/>
    <n v="0"/>
    <x v="0"/>
    <m/>
    <n v="1"/>
    <n v="0"/>
    <x v="1"/>
    <s v="1â€“3 years"/>
    <s v="Low"/>
    <s v="3.766666666666667"/>
    <s v="0.16666666666666666"/>
    <n v="0"/>
  </r>
  <r>
    <s v="EMP0284"/>
    <s v="Sales"/>
    <x v="14"/>
    <n v="0.5"/>
    <s v="G2"/>
    <n v="26"/>
    <s v="Bachelor"/>
    <s v="Bengaluru"/>
    <n v="5"/>
    <n v="23.5"/>
    <n v="6"/>
    <n v="2"/>
    <n v="12"/>
    <n v="0"/>
    <s v="Band A"/>
    <n v="33000"/>
    <n v="4.0999999999999996"/>
    <n v="2.7"/>
    <n v="1.4"/>
    <n v="0"/>
    <n v="4.5"/>
    <n v="3.8"/>
    <n v="4.0999999999999996"/>
    <s v="Yes"/>
    <n v="0"/>
    <n v="1"/>
    <n v="0.4"/>
    <n v="0"/>
    <x v="0"/>
    <m/>
    <n v="0"/>
    <n v="0"/>
    <x v="0"/>
    <s v="0â€“1 years"/>
    <s v="High"/>
    <s v="4.133333333333334"/>
    <s v="0.4166666666666667"/>
    <n v="0"/>
  </r>
  <r>
    <s v="EMP0285"/>
    <s v="Finance"/>
    <x v="17"/>
    <n v="3.9"/>
    <s v="G3"/>
    <n v="33"/>
    <s v="Bachelor"/>
    <s v="Hyderabad"/>
    <n v="0"/>
    <n v="23.4"/>
    <n v="9"/>
    <n v="3"/>
    <n v="12"/>
    <n v="0"/>
    <s v="Band C"/>
    <n v="53300"/>
    <n v="8"/>
    <n v="3.5"/>
    <n v="0.1"/>
    <n v="0"/>
    <n v="2.7"/>
    <n v="2.6"/>
    <n v="4.0999999999999996"/>
    <s v="Yes"/>
    <n v="0"/>
    <n v="1"/>
    <n v="0.2"/>
    <n v="0"/>
    <x v="0"/>
    <m/>
    <n v="0"/>
    <n v="0"/>
    <x v="0"/>
    <s v="3â€“5 years"/>
    <s v="High"/>
    <s v="3.1333333333333333"/>
    <n v="0"/>
    <n v="0"/>
  </r>
  <r>
    <s v="EMP0286"/>
    <s v="Sales"/>
    <x v="14"/>
    <n v="3.6"/>
    <s v="G4"/>
    <n v="26"/>
    <s v="Bachelor"/>
    <s v="Remote"/>
    <n v="3"/>
    <n v="5"/>
    <n v="7"/>
    <n v="3"/>
    <n v="12"/>
    <n v="0"/>
    <s v="Band C"/>
    <n v="64900"/>
    <n v="6.8"/>
    <n v="2.6"/>
    <n v="3"/>
    <n v="0"/>
    <n v="4.9000000000000004"/>
    <n v="5"/>
    <n v="3.9"/>
    <s v="Yes"/>
    <n v="0"/>
    <n v="0"/>
    <m/>
    <n v="0"/>
    <x v="0"/>
    <m/>
    <n v="1"/>
    <n v="0"/>
    <x v="1"/>
    <s v="3â€“5 years"/>
    <s v="Low"/>
    <s v="4.6000000000000005"/>
    <n v="0.25"/>
    <n v="0"/>
  </r>
  <r>
    <s v="EMP0287"/>
    <s v="Engineering"/>
    <x v="4"/>
    <n v="0.4"/>
    <s v="G3"/>
    <n v="21"/>
    <s v="Bachelor"/>
    <s v="Coimbatore"/>
    <n v="2"/>
    <n v="2.2000000000000002"/>
    <n v="7"/>
    <n v="2"/>
    <n v="12"/>
    <n v="0"/>
    <s v="Band C"/>
    <n v="60800"/>
    <n v="3.9"/>
    <n v="3.2"/>
    <n v="1.4"/>
    <n v="0"/>
    <n v="3.3"/>
    <n v="3.7"/>
    <n v="3.1"/>
    <s v="Yes"/>
    <n v="0"/>
    <n v="0"/>
    <m/>
    <n v="0"/>
    <x v="0"/>
    <m/>
    <n v="1"/>
    <n v="0"/>
    <x v="1"/>
    <s v="0â€“1 years"/>
    <s v="Low"/>
    <s v="3.3666666666666667"/>
    <s v="0.16666666666666666"/>
    <n v="0"/>
  </r>
  <r>
    <s v="EMP0288"/>
    <s v="Sales"/>
    <x v="14"/>
    <n v="5"/>
    <s v="G2"/>
    <n v="31"/>
    <s v="Doctorate"/>
    <s v="Bengaluru"/>
    <n v="5"/>
    <n v="6.6"/>
    <n v="12"/>
    <n v="3"/>
    <n v="12"/>
    <n v="0"/>
    <s v="Band B"/>
    <n v="35600"/>
    <n v="6"/>
    <n v="3.9"/>
    <n v="0.6"/>
    <n v="0"/>
    <n v="3.2"/>
    <n v="3.3"/>
    <n v="3.6"/>
    <s v="Yes"/>
    <n v="1"/>
    <n v="0"/>
    <m/>
    <n v="1"/>
    <x v="0"/>
    <m/>
    <n v="1"/>
    <n v="0"/>
    <x v="1"/>
    <s v="3â€“5 years"/>
    <s v="Low"/>
    <s v="3.3666666666666667"/>
    <s v="0.4166666666666667"/>
    <n v="0"/>
  </r>
  <r>
    <s v="EMP0289"/>
    <s v="Finance"/>
    <x v="17"/>
    <n v="1.4"/>
    <s v="G5"/>
    <n v="28"/>
    <s v="Diploma"/>
    <s v="Bengaluru"/>
    <n v="2"/>
    <n v="16.399999999999999"/>
    <n v="6"/>
    <n v="5"/>
    <n v="12"/>
    <n v="0"/>
    <s v="Band D"/>
    <n v="87100"/>
    <n v="10"/>
    <n v="4.2"/>
    <n v="1.1000000000000001"/>
    <n v="0"/>
    <n v="2.5"/>
    <n v="3.4"/>
    <n v="4.5"/>
    <s v="Yes"/>
    <n v="0"/>
    <n v="1"/>
    <n v="0.3"/>
    <n v="0"/>
    <x v="0"/>
    <m/>
    <n v="0"/>
    <n v="0"/>
    <x v="0"/>
    <s v="1â€“3 years"/>
    <s v="Moderate"/>
    <s v="3.466666666666667"/>
    <s v="0.16666666666666666"/>
    <n v="0"/>
  </r>
  <r>
    <s v="EMP0290"/>
    <s v="Engineering"/>
    <x v="10"/>
    <n v="7.3"/>
    <s v="G1"/>
    <n v="32"/>
    <s v="Bachelor"/>
    <s v="Bengaluru"/>
    <n v="4"/>
    <n v="20.100000000000001"/>
    <n v="6"/>
    <n v="2"/>
    <n v="12"/>
    <n v="0"/>
    <s v="Band A"/>
    <n v="32300"/>
    <n v="5.6"/>
    <n v="3.8"/>
    <n v="0.7"/>
    <n v="0"/>
    <n v="5"/>
    <n v="3.8"/>
    <n v="3.8"/>
    <s v="Yes"/>
    <n v="0"/>
    <n v="0"/>
    <m/>
    <n v="2"/>
    <x v="0"/>
    <m/>
    <n v="1"/>
    <n v="0"/>
    <x v="1"/>
    <s v="5+ years"/>
    <s v="High"/>
    <n v="4.2"/>
    <s v="0.3333333333333333"/>
    <n v="0"/>
  </r>
  <r>
    <s v="EMP0291"/>
    <s v="Customer Support"/>
    <x v="2"/>
    <n v="3.5"/>
    <s v="G5"/>
    <n v="34"/>
    <s v="Bachelor"/>
    <s v="Bengaluru"/>
    <n v="6"/>
    <n v="11.4"/>
    <n v="11"/>
    <n v="2"/>
    <n v="12"/>
    <n v="0"/>
    <s v="Band E"/>
    <n v="111000"/>
    <n v="9.1999999999999993"/>
    <n v="3.6"/>
    <n v="0.5"/>
    <n v="0"/>
    <n v="3.2"/>
    <n v="3.7"/>
    <n v="2.2000000000000002"/>
    <s v="Yes"/>
    <n v="0"/>
    <n v="0"/>
    <m/>
    <n v="0"/>
    <x v="0"/>
    <m/>
    <n v="1"/>
    <n v="0"/>
    <x v="1"/>
    <s v="3â€“5 years"/>
    <s v="Moderate"/>
    <s v="3.0333333333333337"/>
    <n v="0.5"/>
    <n v="0"/>
  </r>
  <r>
    <s v="EMP0292"/>
    <s v="Engineering"/>
    <x v="10"/>
    <n v="2.2999999999999998"/>
    <s v="G4"/>
    <n v="25"/>
    <s v="Bachelor"/>
    <s v="Bengaluru"/>
    <n v="3"/>
    <n v="13.1"/>
    <n v="5"/>
    <n v="1"/>
    <n v="12"/>
    <n v="0"/>
    <s v="Band D"/>
    <n v="76500"/>
    <n v="0.9"/>
    <n v="3.1"/>
    <n v="0.8"/>
    <n v="0"/>
    <n v="2.1"/>
    <n v="3.6"/>
    <n v="2.9"/>
    <s v="Yes"/>
    <n v="0"/>
    <n v="1"/>
    <n v="0.9"/>
    <n v="1"/>
    <x v="0"/>
    <m/>
    <n v="0"/>
    <n v="0"/>
    <x v="0"/>
    <s v="1â€“3 years"/>
    <s v="Moderate"/>
    <s v="2.8666666666666667"/>
    <n v="0.25"/>
    <n v="0"/>
  </r>
  <r>
    <s v="EMP0293"/>
    <s v="Customer Support"/>
    <x v="5"/>
    <n v="4.3"/>
    <s v="G5"/>
    <n v="32"/>
    <s v="Bachelor"/>
    <s v="Hyderabad"/>
    <n v="2"/>
    <n v="12.1"/>
    <n v="4"/>
    <n v="1"/>
    <n v="12"/>
    <n v="0"/>
    <s v="Band E"/>
    <n v="110800"/>
    <n v="14.7"/>
    <n v="2.7"/>
    <n v="0.8"/>
    <n v="0"/>
    <n v="5"/>
    <n v="4.0999999999999996"/>
    <n v="2.9"/>
    <s v="Yes"/>
    <n v="0"/>
    <n v="1"/>
    <n v="2.2000000000000002"/>
    <n v="1"/>
    <x v="0"/>
    <m/>
    <n v="0"/>
    <n v="0"/>
    <x v="0"/>
    <s v="3â€“5 years"/>
    <s v="Moderate"/>
    <n v="4"/>
    <s v="0.16666666666666666"/>
    <n v="0"/>
  </r>
  <r>
    <s v="EMP0294"/>
    <s v="Engineering"/>
    <x v="12"/>
    <n v="4.0999999999999996"/>
    <s v="G2"/>
    <n v="30"/>
    <s v="Master"/>
    <s v="Chennai"/>
    <n v="1"/>
    <n v="1.7"/>
    <n v="11"/>
    <n v="0"/>
    <n v="12"/>
    <n v="0"/>
    <s v="Band B"/>
    <n v="38800"/>
    <n v="6.4"/>
    <n v="3.7"/>
    <n v="1"/>
    <n v="0"/>
    <n v="3.7"/>
    <n v="4"/>
    <n v="3.4"/>
    <s v="Yes"/>
    <n v="1"/>
    <n v="1"/>
    <n v="3.3"/>
    <n v="0"/>
    <x v="0"/>
    <m/>
    <n v="0"/>
    <n v="0"/>
    <x v="0"/>
    <s v="3â€“5 years"/>
    <s v="Low"/>
    <s v="3.6999999999999997"/>
    <n v="8.3333333333333301E-2"/>
    <n v="0"/>
  </r>
  <r>
    <s v="EMP0295"/>
    <s v="Customer Support"/>
    <x v="9"/>
    <n v="4"/>
    <s v="G1"/>
    <n v="24"/>
    <s v="Master"/>
    <s v="Bengaluru"/>
    <n v="4"/>
    <n v="2.4"/>
    <n v="11"/>
    <n v="3"/>
    <n v="12"/>
    <n v="0"/>
    <s v="Band A"/>
    <n v="28600"/>
    <n v="11.5"/>
    <n v="2.2999999999999998"/>
    <n v="0"/>
    <n v="0"/>
    <n v="4"/>
    <n v="2.4"/>
    <n v="1.7"/>
    <s v="Yes"/>
    <n v="0"/>
    <n v="1"/>
    <n v="2.6"/>
    <n v="1"/>
    <x v="0"/>
    <m/>
    <n v="0"/>
    <n v="0"/>
    <x v="0"/>
    <s v="3â€“5 years"/>
    <s v="Low"/>
    <s v="2.6999999999999997"/>
    <s v="0.3333333333333333"/>
    <n v="0"/>
  </r>
  <r>
    <s v="EMP0296"/>
    <s v="Customer Support"/>
    <x v="9"/>
    <n v="6.7"/>
    <s v="G3"/>
    <n v="27"/>
    <s v="Master"/>
    <s v="Chennai"/>
    <n v="4"/>
    <n v="31.4"/>
    <n v="9"/>
    <n v="1"/>
    <n v="12"/>
    <n v="0"/>
    <s v="Band C"/>
    <n v="69100"/>
    <n v="8.8000000000000007"/>
    <n v="3.3"/>
    <n v="3.2"/>
    <n v="0"/>
    <n v="4.8"/>
    <n v="5"/>
    <n v="4.9000000000000004"/>
    <s v="Yes"/>
    <n v="0"/>
    <n v="0"/>
    <m/>
    <n v="1"/>
    <x v="0"/>
    <m/>
    <n v="1"/>
    <n v="0"/>
    <x v="1"/>
    <s v="5+ years"/>
    <s v="High"/>
    <n v="4.9000000000000004"/>
    <s v="0.3333333333333333"/>
    <n v="0"/>
  </r>
  <r>
    <s v="EMP0297"/>
    <s v="Customer Support"/>
    <x v="5"/>
    <n v="4.5"/>
    <s v="G2"/>
    <n v="31"/>
    <s v="Bachelor"/>
    <s v="Bengaluru"/>
    <n v="4"/>
    <n v="11.4"/>
    <n v="12"/>
    <n v="4"/>
    <n v="12"/>
    <n v="0"/>
    <s v="Band B"/>
    <n v="47400"/>
    <n v="9.6"/>
    <n v="2.2000000000000002"/>
    <n v="3.2"/>
    <n v="0"/>
    <n v="3.9"/>
    <n v="5"/>
    <n v="2.7"/>
    <s v="Yes"/>
    <n v="0"/>
    <n v="3"/>
    <n v="0.4"/>
    <n v="0"/>
    <x v="0"/>
    <m/>
    <n v="0"/>
    <n v="0"/>
    <x v="0"/>
    <s v="3â€“5 years"/>
    <s v="Moderate"/>
    <s v="3.866666666666667"/>
    <s v="0.3333333333333333"/>
    <n v="0"/>
  </r>
  <r>
    <s v="EMP0298"/>
    <s v="Operations"/>
    <x v="3"/>
    <n v="2.1"/>
    <s v="G3"/>
    <n v="36"/>
    <s v="Bachelor"/>
    <s v="Bengaluru"/>
    <n v="4"/>
    <n v="0.8"/>
    <n v="12"/>
    <n v="6"/>
    <n v="12"/>
    <n v="0"/>
    <s v="Band C"/>
    <n v="56500"/>
    <n v="3.5"/>
    <n v="3.2"/>
    <n v="1.2"/>
    <n v="0"/>
    <n v="4.2"/>
    <n v="3.9"/>
    <n v="2.8"/>
    <s v="Yes"/>
    <n v="0"/>
    <n v="1"/>
    <n v="1.3"/>
    <n v="0"/>
    <x v="1"/>
    <d v="2025-01-04T00:00:00"/>
    <n v="0"/>
    <n v="0"/>
    <x v="0"/>
    <s v="1â€“3 years"/>
    <s v="Low"/>
    <s v="3.633333333333333"/>
    <s v="0.3333333333333333"/>
    <n v="1"/>
  </r>
  <r>
    <s v="EMP0299"/>
    <s v="Operations"/>
    <x v="6"/>
    <n v="3"/>
    <s v="G5"/>
    <n v="31"/>
    <s v="Diploma"/>
    <s v="Hyderabad"/>
    <n v="1"/>
    <n v="13.7"/>
    <n v="6"/>
    <n v="2"/>
    <n v="12"/>
    <n v="0"/>
    <s v="Band D"/>
    <n v="109200"/>
    <n v="5"/>
    <n v="2.2999999999999998"/>
    <n v="5.0999999999999996"/>
    <n v="0"/>
    <n v="3.3"/>
    <n v="3.2"/>
    <n v="1.8"/>
    <s v="No"/>
    <n v="0"/>
    <n v="1"/>
    <n v="1.8"/>
    <n v="0"/>
    <x v="0"/>
    <m/>
    <n v="0"/>
    <n v="0"/>
    <x v="0"/>
    <s v="1â€“3 years"/>
    <s v="Moderate"/>
    <s v="2.766666666666667"/>
    <n v="8.3333333333333301E-2"/>
    <n v="0"/>
  </r>
  <r>
    <s v="EMP0300"/>
    <s v="Operations"/>
    <x v="0"/>
    <n v="9"/>
    <s v="G3"/>
    <n v="28"/>
    <s v="Master"/>
    <s v="Coimbatore"/>
    <n v="5"/>
    <n v="4"/>
    <n v="10"/>
    <n v="3"/>
    <n v="12"/>
    <n v="0"/>
    <s v="Band C"/>
    <n v="63400"/>
    <n v="5"/>
    <n v="2.8"/>
    <n v="0.9"/>
    <n v="0"/>
    <n v="4"/>
    <n v="3.3"/>
    <n v="4.0999999999999996"/>
    <s v="Yes"/>
    <n v="0"/>
    <n v="0"/>
    <m/>
    <n v="0"/>
    <x v="0"/>
    <m/>
    <n v="1"/>
    <n v="0"/>
    <x v="1"/>
    <s v="5+ years"/>
    <s v="Low"/>
    <s v="3.7999999999999994"/>
    <s v="0.4166666666666667"/>
    <n v="0"/>
  </r>
  <r>
    <s v="EMP0301"/>
    <s v="Operations"/>
    <x v="6"/>
    <n v="1.9"/>
    <s v="G2"/>
    <n v="21"/>
    <s v="Bachelor"/>
    <s v="Coimbatore"/>
    <n v="1"/>
    <n v="21.3"/>
    <n v="7"/>
    <n v="1"/>
    <n v="12"/>
    <n v="0"/>
    <s v="Band A"/>
    <n v="32500"/>
    <n v="8.1"/>
    <n v="2.6"/>
    <n v="1.3"/>
    <n v="0"/>
    <n v="3.3"/>
    <n v="2.9"/>
    <n v="3.3"/>
    <s v="Yes"/>
    <n v="0"/>
    <n v="0"/>
    <m/>
    <n v="0"/>
    <x v="0"/>
    <m/>
    <n v="1"/>
    <n v="0"/>
    <x v="1"/>
    <s v="1â€“3 years"/>
    <s v="High"/>
    <s v="3.1666666666666665"/>
    <n v="8.3333333333333301E-2"/>
    <n v="0"/>
  </r>
  <r>
    <s v="EMP0302"/>
    <s v="Engineering"/>
    <x v="16"/>
    <n v="4.9000000000000004"/>
    <s v="G2"/>
    <n v="34"/>
    <s v="Bachelor"/>
    <s v="Chennai"/>
    <n v="1"/>
    <n v="19.7"/>
    <n v="10"/>
    <n v="2"/>
    <n v="12"/>
    <n v="0"/>
    <s v="Band B"/>
    <n v="39500"/>
    <n v="13.3"/>
    <n v="2.5"/>
    <n v="1.9"/>
    <n v="0"/>
    <n v="3.3"/>
    <n v="3"/>
    <n v="3.1"/>
    <s v="Yes"/>
    <n v="0"/>
    <n v="1"/>
    <n v="3.5"/>
    <n v="0"/>
    <x v="0"/>
    <m/>
    <n v="0"/>
    <n v="0"/>
    <x v="0"/>
    <s v="3â€“5 years"/>
    <s v="Moderate"/>
    <s v="3.1333333333333333"/>
    <n v="8.3333333333333301E-2"/>
    <n v="0"/>
  </r>
  <r>
    <s v="EMP0303"/>
    <s v="Finance"/>
    <x v="11"/>
    <n v="6.8"/>
    <s v="G1"/>
    <n v="32"/>
    <s v="Bachelor"/>
    <s v="Chennai"/>
    <n v="3"/>
    <n v="15.7"/>
    <n v="13"/>
    <n v="2"/>
    <n v="12"/>
    <n v="0"/>
    <s v="Band B"/>
    <n v="35400"/>
    <n v="9.6999999999999993"/>
    <n v="3.1"/>
    <n v="1.3"/>
    <n v="0"/>
    <n v="3.4"/>
    <n v="1.2"/>
    <n v="3.4"/>
    <s v="Yes"/>
    <n v="1"/>
    <n v="0"/>
    <m/>
    <n v="1"/>
    <x v="0"/>
    <m/>
    <n v="1"/>
    <n v="0"/>
    <x v="1"/>
    <s v="5+ years"/>
    <s v="Moderate"/>
    <s v="2.6666666666666665"/>
    <n v="0.25"/>
    <n v="0"/>
  </r>
  <r>
    <s v="EMP0304"/>
    <s v="Finance"/>
    <x v="17"/>
    <n v="5.2"/>
    <s v="G1"/>
    <n v="36"/>
    <s v="Master"/>
    <s v="Chennai"/>
    <n v="1"/>
    <n v="11.3"/>
    <n v="13"/>
    <n v="1"/>
    <n v="12"/>
    <n v="0"/>
    <s v="Band A"/>
    <n v="31900"/>
    <n v="4.4000000000000004"/>
    <n v="1"/>
    <n v="0.6"/>
    <n v="0"/>
    <n v="2.9"/>
    <n v="4.5999999999999996"/>
    <n v="3.4"/>
    <s v="Yes"/>
    <n v="1"/>
    <n v="0"/>
    <m/>
    <n v="1"/>
    <x v="0"/>
    <m/>
    <n v="1"/>
    <n v="0"/>
    <x v="1"/>
    <s v="5+ years"/>
    <s v="Moderate"/>
    <s v="3.6333333333333333"/>
    <n v="8.3333333333333301E-2"/>
    <n v="0"/>
  </r>
  <r>
    <s v="EMP0305"/>
    <s v="Customer Support"/>
    <x v="9"/>
    <n v="3.9"/>
    <s v="G1"/>
    <n v="26"/>
    <s v="Master"/>
    <s v="Remote"/>
    <n v="0"/>
    <n v="25.1"/>
    <n v="8"/>
    <n v="0"/>
    <n v="12"/>
    <n v="0"/>
    <s v="Band A"/>
    <n v="28600"/>
    <n v="8.3000000000000007"/>
    <n v="1.6"/>
    <n v="1.3"/>
    <n v="0"/>
    <n v="3.8"/>
    <n v="4.3"/>
    <n v="3"/>
    <s v="Yes"/>
    <n v="0"/>
    <n v="0"/>
    <m/>
    <n v="1"/>
    <x v="0"/>
    <m/>
    <n v="1"/>
    <n v="0"/>
    <x v="1"/>
    <s v="3â€“5 years"/>
    <s v="High"/>
    <s v="3.6999999999999997"/>
    <n v="0"/>
    <n v="0"/>
  </r>
  <r>
    <s v="EMP0306"/>
    <s v="Hr"/>
    <x v="1"/>
    <n v="4.4000000000000004"/>
    <s v="G4"/>
    <n v="32"/>
    <s v="Master"/>
    <s v="Chennai"/>
    <n v="9"/>
    <n v="27"/>
    <n v="12"/>
    <n v="2"/>
    <n v="12"/>
    <n v="0"/>
    <s v="Band D"/>
    <n v="85600"/>
    <n v="7.7"/>
    <n v="3.9"/>
    <n v="0.2"/>
    <n v="0"/>
    <n v="3.8"/>
    <n v="1.7"/>
    <n v="1.8"/>
    <s v="Yes"/>
    <n v="0"/>
    <n v="0"/>
    <m/>
    <n v="0"/>
    <x v="0"/>
    <m/>
    <n v="1"/>
    <n v="0"/>
    <x v="1"/>
    <s v="3â€“5 years"/>
    <s v="High"/>
    <s v="2.433333333333333"/>
    <n v="0.75"/>
    <n v="0"/>
  </r>
  <r>
    <s v="EMP0307"/>
    <s v="Sales"/>
    <x v="13"/>
    <n v="5.5"/>
    <s v="G3"/>
    <n v="35"/>
    <s v="Diploma"/>
    <s v="Remote"/>
    <n v="1"/>
    <n v="4.0999999999999996"/>
    <n v="6"/>
    <n v="1"/>
    <n v="12"/>
    <n v="0"/>
    <s v="Band C"/>
    <n v="57200"/>
    <n v="6.6"/>
    <n v="3.3"/>
    <n v="0.5"/>
    <n v="0"/>
    <n v="4"/>
    <n v="3.3"/>
    <n v="2.4"/>
    <s v="Yes"/>
    <n v="1"/>
    <n v="1"/>
    <n v="0.9"/>
    <n v="0"/>
    <x v="0"/>
    <m/>
    <n v="0"/>
    <n v="0"/>
    <x v="0"/>
    <s v="5+ years"/>
    <s v="Low"/>
    <s v="3.233333333333333"/>
    <n v="8.3333333333333301E-2"/>
    <n v="0"/>
  </r>
  <r>
    <s v="EMP0308"/>
    <s v="Operations"/>
    <x v="6"/>
    <n v="1.9"/>
    <s v="G3"/>
    <n v="26"/>
    <s v="Doctorate"/>
    <s v="Chennai"/>
    <n v="4"/>
    <n v="15.6"/>
    <n v="12"/>
    <n v="2"/>
    <n v="12"/>
    <n v="0"/>
    <s v="Band C"/>
    <n v="56700"/>
    <n v="7.9"/>
    <n v="2.5"/>
    <n v="2.7"/>
    <n v="0"/>
    <n v="3.9"/>
    <n v="3.2"/>
    <n v="2.2999999999999998"/>
    <s v="Yes"/>
    <n v="0"/>
    <n v="0"/>
    <m/>
    <n v="1"/>
    <x v="0"/>
    <m/>
    <n v="1"/>
    <n v="0"/>
    <x v="1"/>
    <s v="1â€“3 years"/>
    <s v="Moderate"/>
    <s v="3.133333333333333"/>
    <s v="0.3333333333333333"/>
    <n v="0"/>
  </r>
  <r>
    <s v="EMP0309"/>
    <s v="Sales"/>
    <x v="13"/>
    <n v="3.7"/>
    <s v="G2"/>
    <n v="28"/>
    <s v="Bachelor"/>
    <s v="Bengaluru"/>
    <n v="4"/>
    <n v="5.8"/>
    <n v="14"/>
    <n v="2"/>
    <n v="12"/>
    <n v="0"/>
    <s v="Band B"/>
    <n v="40700"/>
    <n v="11.1"/>
    <n v="4.0999999999999996"/>
    <n v="7.5"/>
    <n v="0"/>
    <n v="5"/>
    <n v="3"/>
    <n v="3.6"/>
    <s v="Yes"/>
    <n v="0"/>
    <n v="0"/>
    <m/>
    <n v="1"/>
    <x v="0"/>
    <m/>
    <n v="1"/>
    <n v="0"/>
    <x v="1"/>
    <s v="3â€“5 years"/>
    <s v="Low"/>
    <s v="3.8666666666666667"/>
    <s v="0.3333333333333333"/>
    <n v="0"/>
  </r>
  <r>
    <s v="EMP0310"/>
    <s v="Engineering"/>
    <x v="12"/>
    <n v="13.6"/>
    <s v="G3"/>
    <n v="40"/>
    <s v="Bachelor"/>
    <s v="Bengaluru"/>
    <n v="4"/>
    <n v="3.5"/>
    <n v="9"/>
    <n v="4"/>
    <n v="12"/>
    <n v="0"/>
    <s v="Band C"/>
    <n v="65000"/>
    <n v="5.0999999999999996"/>
    <n v="2.6"/>
    <n v="0.6"/>
    <n v="0"/>
    <n v="4.2"/>
    <n v="3.6"/>
    <n v="4.0999999999999996"/>
    <s v="Yes"/>
    <n v="0"/>
    <n v="0"/>
    <m/>
    <n v="0"/>
    <x v="0"/>
    <m/>
    <n v="1"/>
    <n v="0"/>
    <x v="1"/>
    <s v="5+ years"/>
    <s v="Low"/>
    <s v="3.966666666666667"/>
    <s v="0.3333333333333333"/>
    <n v="0"/>
  </r>
  <r>
    <s v="EMP0311"/>
    <s v="Hr"/>
    <x v="1"/>
    <n v="5"/>
    <s v="G4"/>
    <n v="33"/>
    <s v="Bachelor"/>
    <s v="Bengaluru"/>
    <n v="3"/>
    <n v="27"/>
    <n v="12"/>
    <n v="3"/>
    <n v="12"/>
    <n v="0"/>
    <s v="Band D"/>
    <n v="78500"/>
    <n v="6.6"/>
    <n v="2.7"/>
    <n v="1"/>
    <n v="0"/>
    <n v="3.1"/>
    <n v="1.6"/>
    <n v="4.5999999999999996"/>
    <s v="Yes"/>
    <n v="0"/>
    <n v="1"/>
    <n v="4.5"/>
    <n v="1"/>
    <x v="0"/>
    <m/>
    <n v="0"/>
    <n v="0"/>
    <x v="0"/>
    <s v="3â€“5 years"/>
    <s v="High"/>
    <n v="3.1"/>
    <n v="0.25"/>
    <n v="0"/>
  </r>
  <r>
    <s v="EMP0312"/>
    <s v="Sales"/>
    <x v="13"/>
    <n v="4"/>
    <s v="G4"/>
    <n v="30"/>
    <s v="Bachelor"/>
    <s v="Bengaluru"/>
    <n v="9"/>
    <n v="17.5"/>
    <n v="7"/>
    <n v="2"/>
    <n v="12"/>
    <n v="0"/>
    <s v="Band D"/>
    <n v="83300"/>
    <n v="11.9"/>
    <n v="2.5"/>
    <n v="1"/>
    <n v="0"/>
    <n v="3.7"/>
    <n v="3.2"/>
    <n v="2.1"/>
    <s v="Yes"/>
    <n v="0"/>
    <n v="1"/>
    <n v="3.6"/>
    <n v="2"/>
    <x v="0"/>
    <m/>
    <n v="0"/>
    <n v="0"/>
    <x v="0"/>
    <s v="3â€“5 years"/>
    <s v="Moderate"/>
    <n v="3"/>
    <n v="0.75"/>
    <n v="0"/>
  </r>
  <r>
    <s v="EMP0313"/>
    <s v="Engineering"/>
    <x v="12"/>
    <n v="2.8"/>
    <s v="G3"/>
    <n v="33"/>
    <s v="Bachelor"/>
    <s v="Bengaluru"/>
    <n v="3"/>
    <n v="12"/>
    <n v="9"/>
    <n v="2"/>
    <n v="12"/>
    <n v="0"/>
    <s v="Band C"/>
    <n v="61700"/>
    <n v="9.9"/>
    <n v="4.9000000000000004"/>
    <n v="1.5"/>
    <n v="0"/>
    <n v="4.5999999999999996"/>
    <n v="3.3"/>
    <n v="3.9"/>
    <s v="Yes"/>
    <n v="0"/>
    <n v="0"/>
    <m/>
    <n v="1"/>
    <x v="0"/>
    <m/>
    <n v="1"/>
    <n v="0"/>
    <x v="1"/>
    <s v="1â€“3 years"/>
    <s v="Moderate"/>
    <s v="3.933333333333333"/>
    <n v="0.25"/>
    <n v="0"/>
  </r>
  <r>
    <s v="EMP0314"/>
    <s v="Sales"/>
    <x v="13"/>
    <n v="1.9"/>
    <s v="G4"/>
    <n v="26"/>
    <s v="Bachelor"/>
    <s v="Remote"/>
    <n v="7"/>
    <n v="4.5"/>
    <n v="9"/>
    <n v="4"/>
    <n v="12"/>
    <n v="0"/>
    <s v="Band C"/>
    <n v="66200"/>
    <n v="13.1"/>
    <n v="3.4"/>
    <n v="3"/>
    <n v="0"/>
    <n v="2.4"/>
    <n v="3.3"/>
    <n v="2.9"/>
    <s v="Yes"/>
    <n v="1"/>
    <n v="0"/>
    <m/>
    <n v="0"/>
    <x v="0"/>
    <m/>
    <n v="1"/>
    <n v="0"/>
    <x v="1"/>
    <s v="1â€“3 years"/>
    <s v="Low"/>
    <s v="2.8666666666666667"/>
    <s v="0.5833333333333334"/>
    <n v="0"/>
  </r>
  <r>
    <s v="EMP0315"/>
    <s v="Sales"/>
    <x v="13"/>
    <n v="4.5"/>
    <s v="G2"/>
    <n v="25"/>
    <s v="Bachelor"/>
    <s v="Bengaluru"/>
    <n v="4"/>
    <n v="27.5"/>
    <n v="9"/>
    <n v="3"/>
    <n v="12"/>
    <n v="0"/>
    <s v="Band B"/>
    <n v="41100"/>
    <n v="13.7"/>
    <n v="3.4"/>
    <n v="1.4"/>
    <n v="0"/>
    <n v="5"/>
    <n v="2"/>
    <n v="5"/>
    <s v="Yes"/>
    <n v="0"/>
    <n v="1"/>
    <n v="1.2"/>
    <n v="0"/>
    <x v="0"/>
    <m/>
    <n v="0"/>
    <n v="0"/>
    <x v="0"/>
    <s v="3â€“5 years"/>
    <s v="High"/>
    <n v="4"/>
    <s v="0.3333333333333333"/>
    <n v="0"/>
  </r>
  <r>
    <s v="EMP0316"/>
    <s v="Sales"/>
    <x v="13"/>
    <n v="4.7"/>
    <s v="G2"/>
    <n v="39"/>
    <s v="Bachelor"/>
    <s v="Chennai"/>
    <n v="7"/>
    <n v="4"/>
    <n v="7"/>
    <n v="3"/>
    <n v="12"/>
    <n v="0"/>
    <s v="Band B"/>
    <n v="45600"/>
    <n v="2.6"/>
    <n v="3.6"/>
    <n v="0.3"/>
    <n v="0"/>
    <n v="3.3"/>
    <n v="3.6"/>
    <n v="4.5"/>
    <s v="Yes"/>
    <n v="1"/>
    <n v="1"/>
    <n v="2.2000000000000002"/>
    <n v="1"/>
    <x v="1"/>
    <d v="2025-01-28T00:00:00"/>
    <n v="0"/>
    <n v="0"/>
    <x v="0"/>
    <s v="3â€“5 years"/>
    <s v="Low"/>
    <s v="3.8000000000000003"/>
    <s v="0.5833333333333334"/>
    <n v="1"/>
  </r>
  <r>
    <s v="EMP0317"/>
    <s v="Sales"/>
    <x v="13"/>
    <n v="3.5"/>
    <s v="G4"/>
    <n v="27"/>
    <s v="Master"/>
    <s v="Chennai"/>
    <n v="3"/>
    <n v="3.1"/>
    <n v="7"/>
    <n v="0"/>
    <n v="12"/>
    <n v="0"/>
    <s v="Band C"/>
    <n v="70400"/>
    <n v="9.1999999999999993"/>
    <n v="1.5"/>
    <n v="0.7"/>
    <n v="0"/>
    <n v="4.0999999999999996"/>
    <n v="4.2"/>
    <n v="4.8"/>
    <s v="Yes"/>
    <n v="0"/>
    <n v="0"/>
    <m/>
    <n v="0"/>
    <x v="0"/>
    <m/>
    <n v="1"/>
    <n v="0"/>
    <x v="1"/>
    <s v="3â€“5 years"/>
    <s v="Low"/>
    <s v="4.366666666666667"/>
    <n v="0.25"/>
    <n v="0"/>
  </r>
  <r>
    <s v="EMP0318"/>
    <s v="Operations"/>
    <x v="3"/>
    <n v="17.100000000000001"/>
    <s v="G2"/>
    <n v="41"/>
    <s v="Master"/>
    <s v="Bengaluru"/>
    <n v="3"/>
    <n v="9.6999999999999993"/>
    <n v="9"/>
    <n v="2"/>
    <n v="12"/>
    <n v="0"/>
    <s v="Band B"/>
    <n v="39300"/>
    <n v="6"/>
    <n v="2.7"/>
    <n v="1.7"/>
    <n v="0"/>
    <n v="3.3"/>
    <n v="3.6"/>
    <n v="4"/>
    <s v="No"/>
    <n v="0"/>
    <n v="0"/>
    <m/>
    <n v="0"/>
    <x v="0"/>
    <m/>
    <n v="1"/>
    <n v="0"/>
    <x v="1"/>
    <s v="5+ years"/>
    <s v="Low"/>
    <s v="3.6333333333333333"/>
    <n v="0.25"/>
    <n v="0"/>
  </r>
  <r>
    <s v="EMP0319"/>
    <s v="Sales"/>
    <x v="14"/>
    <n v="2.1"/>
    <s v="G2"/>
    <n v="28"/>
    <s v="Bachelor"/>
    <s v="Coimbatore"/>
    <n v="1"/>
    <n v="16.399999999999999"/>
    <n v="12"/>
    <n v="0"/>
    <n v="12"/>
    <n v="0"/>
    <s v="Band A"/>
    <n v="33900"/>
    <n v="3.2"/>
    <n v="3.6"/>
    <n v="0.9"/>
    <n v="0"/>
    <n v="3.3"/>
    <n v="3"/>
    <n v="3.7"/>
    <s v="Yes"/>
    <n v="0"/>
    <n v="0"/>
    <m/>
    <n v="0"/>
    <x v="0"/>
    <m/>
    <n v="1"/>
    <n v="0"/>
    <x v="1"/>
    <s v="1â€“3 years"/>
    <s v="Moderate"/>
    <s v="3.3333333333333335"/>
    <n v="8.3333333333333301E-2"/>
    <n v="0"/>
  </r>
  <r>
    <s v="EMP0320"/>
    <s v="Customer Support"/>
    <x v="9"/>
    <n v="1.7"/>
    <s v="G2"/>
    <n v="28"/>
    <s v="Bachelor"/>
    <s v="Coimbatore"/>
    <n v="2"/>
    <n v="7.2"/>
    <n v="2"/>
    <n v="6"/>
    <n v="12"/>
    <n v="0"/>
    <s v="Band A"/>
    <n v="34200"/>
    <n v="4.8"/>
    <n v="3.2"/>
    <n v="0.9"/>
    <n v="0"/>
    <n v="2.1"/>
    <n v="5"/>
    <n v="3.1"/>
    <s v="Yes"/>
    <n v="0"/>
    <n v="0"/>
    <m/>
    <n v="0"/>
    <x v="0"/>
    <m/>
    <n v="1"/>
    <n v="0"/>
    <x v="1"/>
    <s v="1â€“3 years"/>
    <s v="Low"/>
    <n v="3.4"/>
    <s v="0.16666666666666666"/>
    <n v="0"/>
  </r>
  <r>
    <s v="EMP0321"/>
    <s v="Customer Support"/>
    <x v="5"/>
    <n v="2.8"/>
    <s v="G2"/>
    <n v="27"/>
    <s v="Master"/>
    <s v="Bengaluru"/>
    <n v="6"/>
    <n v="11.1"/>
    <n v="11"/>
    <n v="2"/>
    <n v="12"/>
    <n v="0"/>
    <s v="Band B"/>
    <n v="36300"/>
    <n v="6.8"/>
    <n v="5"/>
    <n v="0.9"/>
    <n v="0"/>
    <n v="4.0999999999999996"/>
    <n v="2.4"/>
    <n v="2.9"/>
    <s v="Yes"/>
    <n v="0"/>
    <n v="0"/>
    <m/>
    <n v="1"/>
    <x v="0"/>
    <m/>
    <n v="1"/>
    <n v="0"/>
    <x v="1"/>
    <s v="1â€“3 years"/>
    <s v="Moderate"/>
    <s v="3.1333333333333333"/>
    <n v="0.5"/>
    <n v="0"/>
  </r>
  <r>
    <s v="EMP0322"/>
    <s v="Hr"/>
    <x v="1"/>
    <n v="3.6"/>
    <s v="G3"/>
    <n v="30"/>
    <s v="Diploma"/>
    <s v="Coimbatore"/>
    <n v="7"/>
    <n v="5.8"/>
    <n v="15"/>
    <n v="2"/>
    <n v="12"/>
    <n v="0"/>
    <s v="Band B"/>
    <n v="48500"/>
    <n v="6.8"/>
    <n v="2.7"/>
    <n v="3.3"/>
    <n v="0"/>
    <n v="2.1"/>
    <n v="3.9"/>
    <n v="2.8"/>
    <s v="Yes"/>
    <n v="0"/>
    <n v="1"/>
    <n v="2.4"/>
    <n v="0"/>
    <x v="0"/>
    <m/>
    <n v="0"/>
    <n v="0"/>
    <x v="0"/>
    <s v="3â€“5 years"/>
    <s v="Low"/>
    <s v="2.9333333333333336"/>
    <s v="0.5833333333333334"/>
    <n v="0"/>
  </r>
  <r>
    <s v="EMP0323"/>
    <s v="Sales"/>
    <x v="8"/>
    <n v="1.9"/>
    <s v="G3"/>
    <n v="28"/>
    <s v="Bachelor"/>
    <s v="Hyderabad"/>
    <n v="5"/>
    <n v="6.4"/>
    <n v="10"/>
    <n v="2"/>
    <n v="12"/>
    <n v="0"/>
    <s v="Band C"/>
    <n v="58400"/>
    <n v="5.6"/>
    <n v="4"/>
    <n v="0.3"/>
    <n v="0"/>
    <n v="2"/>
    <n v="3.4"/>
    <n v="3.9"/>
    <s v="Yes"/>
    <n v="0"/>
    <n v="1"/>
    <n v="0.9"/>
    <n v="0"/>
    <x v="0"/>
    <m/>
    <n v="0"/>
    <n v="0"/>
    <x v="0"/>
    <s v="1â€“3 years"/>
    <s v="Low"/>
    <n v="3.1"/>
    <s v="0.4166666666666667"/>
    <n v="0"/>
  </r>
  <r>
    <s v="EMP0324"/>
    <s v="Finance"/>
    <x v="11"/>
    <n v="4.4000000000000004"/>
    <s v="G2"/>
    <n v="31"/>
    <s v="Diploma"/>
    <s v="Bengaluru"/>
    <n v="5"/>
    <n v="33.9"/>
    <n v="9"/>
    <n v="3"/>
    <n v="12"/>
    <n v="0"/>
    <s v="Band B"/>
    <n v="38100"/>
    <n v="7.9"/>
    <n v="3.9"/>
    <n v="2.4"/>
    <n v="0"/>
    <n v="4.3"/>
    <n v="5"/>
    <n v="4.5999999999999996"/>
    <s v="Yes"/>
    <n v="0"/>
    <n v="0"/>
    <m/>
    <n v="1"/>
    <x v="0"/>
    <m/>
    <n v="1"/>
    <n v="0"/>
    <x v="1"/>
    <s v="3â€“5 years"/>
    <s v="High"/>
    <s v="4.633333333333334"/>
    <s v="0.4166666666666667"/>
    <n v="0"/>
  </r>
  <r>
    <s v="EMP0325"/>
    <s v="Customer Support"/>
    <x v="9"/>
    <n v="4.7"/>
    <s v="G1"/>
    <n v="21"/>
    <s v="Bachelor"/>
    <s v="Bengaluru"/>
    <n v="4"/>
    <n v="9"/>
    <n v="11"/>
    <n v="3"/>
    <n v="12"/>
    <n v="0"/>
    <s v="Band A"/>
    <n v="33500"/>
    <n v="17.8"/>
    <n v="3.3"/>
    <n v="0.7"/>
    <n v="0"/>
    <n v="4.9000000000000004"/>
    <n v="3.5"/>
    <n v="3.1"/>
    <s v="Yes"/>
    <n v="0"/>
    <n v="1"/>
    <n v="1.1000000000000001"/>
    <n v="0"/>
    <x v="0"/>
    <m/>
    <n v="0"/>
    <n v="0"/>
    <x v="0"/>
    <s v="3â€“5 years"/>
    <s v="Low"/>
    <s v="3.8333333333333335"/>
    <s v="0.3333333333333333"/>
    <n v="0"/>
  </r>
  <r>
    <s v="EMP0326"/>
    <s v="Operations"/>
    <x v="0"/>
    <n v="5.9"/>
    <s v="G4"/>
    <n v="39"/>
    <s v="Bachelor"/>
    <s v="Bengaluru"/>
    <n v="5"/>
    <n v="26.3"/>
    <n v="6"/>
    <n v="1"/>
    <n v="12"/>
    <n v="0"/>
    <s v="Band C"/>
    <n v="64000"/>
    <n v="1.1000000000000001"/>
    <n v="3.5"/>
    <n v="1.4"/>
    <n v="0"/>
    <n v="2.7"/>
    <n v="3.7"/>
    <n v="2.8"/>
    <s v="Yes"/>
    <n v="0"/>
    <n v="1"/>
    <n v="0.3"/>
    <n v="0"/>
    <x v="0"/>
    <m/>
    <n v="0"/>
    <n v="0"/>
    <x v="0"/>
    <s v="5+ years"/>
    <s v="High"/>
    <s v="3.0666666666666664"/>
    <s v="0.4166666666666667"/>
    <n v="0"/>
  </r>
  <r>
    <s v="EMP0327"/>
    <s v="Operations"/>
    <x v="3"/>
    <n v="2.5"/>
    <s v="G2"/>
    <n v="28"/>
    <s v="Bachelor"/>
    <s v="Hyderabad"/>
    <n v="1"/>
    <n v="1.5"/>
    <n v="9"/>
    <n v="1"/>
    <n v="12"/>
    <n v="0"/>
    <s v="Band B"/>
    <n v="36700"/>
    <n v="12.5"/>
    <n v="2.9"/>
    <n v="2.1"/>
    <n v="0"/>
    <n v="4.2"/>
    <n v="3.7"/>
    <n v="2.2000000000000002"/>
    <s v="Yes"/>
    <n v="0"/>
    <n v="0"/>
    <m/>
    <n v="0"/>
    <x v="0"/>
    <m/>
    <n v="1"/>
    <n v="0"/>
    <x v="1"/>
    <s v="1â€“3 years"/>
    <s v="Low"/>
    <s v="3.366666666666667"/>
    <n v="8.3333333333333301E-2"/>
    <n v="0"/>
  </r>
  <r>
    <s v="EMP0328"/>
    <s v="Finance"/>
    <x v="18"/>
    <n v="8.5"/>
    <s v="G5"/>
    <n v="37"/>
    <s v="Bachelor"/>
    <s v="Bengaluru"/>
    <n v="4"/>
    <n v="21.6"/>
    <n v="10"/>
    <n v="4"/>
    <n v="12"/>
    <n v="0"/>
    <s v="Band D"/>
    <n v="105600"/>
    <n v="7.9"/>
    <n v="1.4"/>
    <n v="1.1000000000000001"/>
    <n v="0"/>
    <n v="4"/>
    <n v="2.2000000000000002"/>
    <n v="3.4"/>
    <s v="Yes"/>
    <n v="1"/>
    <n v="0"/>
    <m/>
    <n v="0"/>
    <x v="0"/>
    <m/>
    <n v="1"/>
    <n v="0"/>
    <x v="1"/>
    <s v="5+ years"/>
    <s v="High"/>
    <s v="3.1999999999999997"/>
    <s v="0.3333333333333333"/>
    <n v="0"/>
  </r>
  <r>
    <s v="EMP0329"/>
    <s v="Operations"/>
    <x v="6"/>
    <n v="5.6"/>
    <s v="G1"/>
    <n v="26"/>
    <s v="Bachelor"/>
    <s v="Remote"/>
    <n v="7"/>
    <n v="4.7"/>
    <n v="5"/>
    <n v="3"/>
    <n v="12"/>
    <n v="0"/>
    <s v="Band A"/>
    <n v="32400"/>
    <n v="6.2"/>
    <n v="3.5"/>
    <n v="2.8"/>
    <n v="0"/>
    <n v="3.2"/>
    <n v="2.4"/>
    <n v="4.4000000000000004"/>
    <s v="Yes"/>
    <n v="0"/>
    <n v="1"/>
    <n v="0.2"/>
    <n v="1"/>
    <x v="1"/>
    <d v="2025-12-30T00:00:00"/>
    <n v="0"/>
    <n v="0"/>
    <x v="0"/>
    <s v="5+ years"/>
    <s v="Low"/>
    <s v="3.3333333333333335"/>
    <s v="0.5833333333333334"/>
    <n v="1"/>
  </r>
  <r>
    <s v="EMP0330"/>
    <s v="Sales"/>
    <x v="13"/>
    <n v="2.1"/>
    <s v="G3"/>
    <n v="26"/>
    <s v="Bachelor"/>
    <s v="Chennai"/>
    <n v="4"/>
    <n v="17.8"/>
    <n v="6"/>
    <n v="1"/>
    <n v="12"/>
    <n v="0"/>
    <s v="Band C"/>
    <n v="59200"/>
    <n v="0"/>
    <n v="3.6"/>
    <n v="4.3"/>
    <n v="0"/>
    <n v="4.5"/>
    <n v="3"/>
    <n v="4.4000000000000004"/>
    <s v="Yes"/>
    <n v="0"/>
    <n v="0"/>
    <m/>
    <n v="0"/>
    <x v="0"/>
    <m/>
    <n v="1"/>
    <n v="0"/>
    <x v="1"/>
    <s v="1â€“3 years"/>
    <s v="Moderate"/>
    <s v="3.966666666666667"/>
    <s v="0.3333333333333333"/>
    <n v="0"/>
  </r>
  <r>
    <s v="EMP0331"/>
    <s v="Operations"/>
    <x v="6"/>
    <n v="1.9"/>
    <s v="G3"/>
    <n v="25"/>
    <s v="Diploma"/>
    <s v="Bengaluru"/>
    <n v="4"/>
    <n v="4.7"/>
    <n v="7"/>
    <n v="1"/>
    <n v="12"/>
    <n v="0"/>
    <s v="Band B"/>
    <n v="48600"/>
    <n v="11.1"/>
    <n v="3.7"/>
    <n v="4.9000000000000004"/>
    <n v="0"/>
    <n v="3.2"/>
    <n v="4.0999999999999996"/>
    <n v="4.5"/>
    <s v="Yes"/>
    <n v="0"/>
    <n v="0"/>
    <m/>
    <n v="0"/>
    <x v="0"/>
    <m/>
    <n v="1"/>
    <n v="0"/>
    <x v="1"/>
    <s v="1â€“3 years"/>
    <s v="Low"/>
    <s v="3.9333333333333336"/>
    <s v="0.3333333333333333"/>
    <n v="0"/>
  </r>
  <r>
    <s v="EMP0332"/>
    <s v="Engineering"/>
    <x v="4"/>
    <n v="3"/>
    <s v="G4"/>
    <n v="35"/>
    <s v="Bachelor"/>
    <s v="Bengaluru"/>
    <n v="1"/>
    <n v="6.8"/>
    <n v="7"/>
    <n v="3"/>
    <n v="12"/>
    <n v="0"/>
    <s v="Band D"/>
    <n v="79500"/>
    <n v="2.2000000000000002"/>
    <n v="3.3"/>
    <n v="1.8"/>
    <n v="0"/>
    <n v="3.8"/>
    <n v="3.4"/>
    <n v="3.7"/>
    <s v="Yes"/>
    <n v="0"/>
    <n v="0"/>
    <m/>
    <n v="0"/>
    <x v="0"/>
    <m/>
    <n v="1"/>
    <n v="0"/>
    <x v="1"/>
    <s v="1â€“3 years"/>
    <s v="Low"/>
    <s v="3.633333333333333"/>
    <n v="8.3333333333333301E-2"/>
    <n v="0"/>
  </r>
  <r>
    <s v="EMP0333"/>
    <s v="Operations"/>
    <x v="6"/>
    <n v="4.7"/>
    <s v="G1"/>
    <n v="28"/>
    <s v="Bachelor"/>
    <s v="Coimbatore"/>
    <n v="4"/>
    <n v="3.4"/>
    <n v="7"/>
    <n v="2"/>
    <n v="12"/>
    <n v="0"/>
    <s v="Band A"/>
    <n v="23300"/>
    <n v="11.3"/>
    <n v="4.0999999999999996"/>
    <n v="0.7"/>
    <n v="0"/>
    <n v="3.3"/>
    <n v="3"/>
    <n v="3.5"/>
    <s v="Yes"/>
    <n v="1"/>
    <n v="1"/>
    <n v="3.9"/>
    <n v="0"/>
    <x v="0"/>
    <m/>
    <n v="0"/>
    <n v="0"/>
    <x v="0"/>
    <s v="3â€“5 years"/>
    <s v="Low"/>
    <s v="3.266666666666667"/>
    <s v="0.3333333333333333"/>
    <n v="0"/>
  </r>
  <r>
    <s v="EMP0334"/>
    <s v="Customer Support"/>
    <x v="9"/>
    <n v="5.2"/>
    <s v="G4"/>
    <n v="34"/>
    <s v="Bachelor"/>
    <s v="Chennai"/>
    <n v="2"/>
    <n v="18.100000000000001"/>
    <n v="7"/>
    <n v="3"/>
    <n v="12"/>
    <n v="0"/>
    <s v="Band D"/>
    <n v="81000"/>
    <n v="15"/>
    <n v="2.4"/>
    <n v="0.2"/>
    <n v="0"/>
    <n v="2.2000000000000002"/>
    <n v="4.4000000000000004"/>
    <n v="3.4"/>
    <s v="Yes"/>
    <n v="1"/>
    <n v="3"/>
    <n v="2.5"/>
    <n v="0"/>
    <x v="0"/>
    <m/>
    <n v="0"/>
    <n v="0"/>
    <x v="0"/>
    <s v="5+ years"/>
    <s v="Moderate"/>
    <s v="3.3333333333333335"/>
    <s v="0.16666666666666666"/>
    <n v="0"/>
  </r>
  <r>
    <s v="EMP0335"/>
    <s v="Engineering"/>
    <x v="12"/>
    <n v="5.6"/>
    <s v="G3"/>
    <n v="29"/>
    <s v="Diploma"/>
    <s v="Coimbatore"/>
    <n v="3"/>
    <n v="20.2"/>
    <n v="12"/>
    <n v="1"/>
    <n v="12"/>
    <n v="0"/>
    <s v="Band B"/>
    <n v="46000"/>
    <n v="2.9"/>
    <n v="4.5"/>
    <n v="0.4"/>
    <n v="0"/>
    <n v="4.4000000000000004"/>
    <n v="1.4"/>
    <n v="2.5"/>
    <s v="Yes"/>
    <n v="0"/>
    <n v="0"/>
    <m/>
    <n v="1"/>
    <x v="0"/>
    <m/>
    <n v="1"/>
    <n v="0"/>
    <x v="1"/>
    <s v="5+ years"/>
    <s v="High"/>
    <s v="2.766666666666667"/>
    <n v="0.25"/>
    <n v="0"/>
  </r>
  <r>
    <s v="EMP0336"/>
    <s v="Operations"/>
    <x v="3"/>
    <n v="13"/>
    <s v="G3"/>
    <n v="37"/>
    <s v="Bachelor"/>
    <s v="Coimbatore"/>
    <n v="3"/>
    <n v="4.9000000000000004"/>
    <n v="4"/>
    <n v="3"/>
    <n v="12"/>
    <n v="0"/>
    <s v="Band C"/>
    <n v="63800"/>
    <n v="12.7"/>
    <n v="2.2999999999999998"/>
    <n v="3.9"/>
    <n v="0"/>
    <n v="3.8"/>
    <n v="2"/>
    <n v="3"/>
    <s v="Yes"/>
    <n v="0"/>
    <n v="2"/>
    <n v="6.7"/>
    <n v="0"/>
    <x v="0"/>
    <m/>
    <n v="0"/>
    <n v="0"/>
    <x v="0"/>
    <s v="5+ years"/>
    <s v="Low"/>
    <s v="2.9333333333333336"/>
    <n v="0.25"/>
    <n v="0"/>
  </r>
  <r>
    <s v="EMP0337"/>
    <s v="Engineering"/>
    <x v="10"/>
    <n v="0.7"/>
    <s v="G2"/>
    <n v="26"/>
    <s v="Bachelor"/>
    <s v="Remote"/>
    <n v="3"/>
    <n v="2"/>
    <n v="9"/>
    <n v="5"/>
    <n v="12"/>
    <n v="0"/>
    <s v="Band B"/>
    <n v="43100"/>
    <n v="8.1"/>
    <n v="3.1"/>
    <n v="1.8"/>
    <n v="0"/>
    <n v="3.2"/>
    <n v="1"/>
    <n v="3.4"/>
    <s v="No"/>
    <n v="1"/>
    <n v="1"/>
    <n v="0.2"/>
    <n v="0"/>
    <x v="0"/>
    <m/>
    <n v="0"/>
    <n v="0"/>
    <x v="0"/>
    <s v="0â€“1 years"/>
    <s v="Low"/>
    <s v="2.533333333333333"/>
    <n v="0.25"/>
    <n v="0"/>
  </r>
  <r>
    <s v="EMP0338"/>
    <s v="Operations"/>
    <x v="0"/>
    <n v="3.4"/>
    <s v="G1"/>
    <n v="35"/>
    <s v="Diploma"/>
    <s v="Chennai"/>
    <n v="4"/>
    <n v="26"/>
    <n v="10"/>
    <n v="0"/>
    <n v="12"/>
    <n v="0"/>
    <s v="Band A"/>
    <n v="31600"/>
    <n v="0"/>
    <n v="3.8"/>
    <n v="1.1000000000000001"/>
    <n v="0"/>
    <n v="5"/>
    <n v="4.3"/>
    <n v="2.5"/>
    <s v="Yes"/>
    <n v="0"/>
    <n v="3"/>
    <n v="1.5"/>
    <n v="0"/>
    <x v="0"/>
    <m/>
    <n v="0"/>
    <n v="0"/>
    <x v="0"/>
    <s v="3â€“5 years"/>
    <s v="High"/>
    <s v="3.9333333333333336"/>
    <s v="0.3333333333333333"/>
    <n v="0"/>
  </r>
  <r>
    <s v="EMP0339"/>
    <s v="Engineering"/>
    <x v="16"/>
    <n v="12.4"/>
    <s v="G2"/>
    <n v="31"/>
    <s v="Bachelor"/>
    <s v="Chennai"/>
    <n v="4"/>
    <n v="5.5"/>
    <n v="13"/>
    <n v="1"/>
    <n v="12"/>
    <n v="0"/>
    <s v="Band B"/>
    <n v="35300"/>
    <n v="3.2"/>
    <n v="2.7"/>
    <n v="0.2"/>
    <n v="0"/>
    <n v="5"/>
    <n v="3.1"/>
    <n v="3.4"/>
    <s v="Yes"/>
    <n v="0"/>
    <n v="0"/>
    <m/>
    <n v="0"/>
    <x v="0"/>
    <m/>
    <n v="1"/>
    <n v="0"/>
    <x v="1"/>
    <s v="5+ years"/>
    <s v="Low"/>
    <s v="3.8333333333333335"/>
    <s v="0.3333333333333333"/>
    <n v="0"/>
  </r>
  <r>
    <s v="EMP0340"/>
    <s v="Customer Support"/>
    <x v="5"/>
    <n v="6.1"/>
    <s v="G2"/>
    <n v="27"/>
    <s v="Bachelor"/>
    <s v="Bengaluru"/>
    <n v="2"/>
    <n v="8.6"/>
    <n v="9"/>
    <n v="1"/>
    <n v="12"/>
    <n v="0"/>
    <s v="Band B"/>
    <n v="38200"/>
    <n v="8.6999999999999993"/>
    <n v="3.9"/>
    <n v="0.9"/>
    <n v="0"/>
    <n v="3.7"/>
    <n v="4.0999999999999996"/>
    <n v="3.9"/>
    <s v="No"/>
    <n v="0"/>
    <n v="1"/>
    <n v="2.2000000000000002"/>
    <n v="0"/>
    <x v="0"/>
    <m/>
    <n v="0"/>
    <n v="0"/>
    <x v="0"/>
    <s v="5+ years"/>
    <s v="Low"/>
    <n v="3.9"/>
    <s v="0.16666666666666666"/>
    <n v="0"/>
  </r>
  <r>
    <s v="EMP0341"/>
    <s v="Engineering"/>
    <x v="10"/>
    <n v="1.6"/>
    <s v="G2"/>
    <n v="21"/>
    <s v="Bachelor"/>
    <s v="Coimbatore"/>
    <n v="6"/>
    <n v="4.0999999999999996"/>
    <n v="11"/>
    <n v="0"/>
    <n v="12"/>
    <n v="0"/>
    <s v="Band B"/>
    <n v="41300"/>
    <n v="9.6"/>
    <n v="2.9"/>
    <n v="3.8"/>
    <n v="0"/>
    <n v="2"/>
    <n v="3.1"/>
    <n v="3.5"/>
    <s v="Yes"/>
    <n v="0"/>
    <n v="1"/>
    <n v="0.3"/>
    <n v="1"/>
    <x v="0"/>
    <m/>
    <n v="0"/>
    <n v="0"/>
    <x v="0"/>
    <s v="1â€“3 years"/>
    <s v="Low"/>
    <s v="2.8666666666666667"/>
    <n v="0.5"/>
    <n v="0"/>
  </r>
  <r>
    <s v="EMP0342"/>
    <s v="Customer Support"/>
    <x v="2"/>
    <n v="4.2"/>
    <s v="G3"/>
    <n v="26"/>
    <s v="Master"/>
    <s v="Chennai"/>
    <n v="2"/>
    <n v="16.8"/>
    <n v="9"/>
    <n v="2"/>
    <n v="12"/>
    <n v="0"/>
    <s v="Band C"/>
    <n v="58200"/>
    <n v="1.7"/>
    <n v="3.3"/>
    <n v="1.4"/>
    <n v="0"/>
    <n v="3.2"/>
    <n v="3.3"/>
    <n v="4.3"/>
    <s v="Yes"/>
    <n v="1"/>
    <n v="1"/>
    <n v="0.5"/>
    <n v="0"/>
    <x v="0"/>
    <m/>
    <n v="0"/>
    <n v="0"/>
    <x v="0"/>
    <s v="3â€“5 years"/>
    <s v="Moderate"/>
    <n v="3.6"/>
    <s v="0.16666666666666666"/>
    <n v="0"/>
  </r>
  <r>
    <s v="EMP0343"/>
    <s v="Operations"/>
    <x v="3"/>
    <n v="3.3"/>
    <s v="G2"/>
    <n v="26"/>
    <s v="Bachelor"/>
    <s v="Bengaluru"/>
    <n v="1"/>
    <n v="17.100000000000001"/>
    <n v="8"/>
    <n v="2"/>
    <n v="12"/>
    <n v="0"/>
    <s v="Band B"/>
    <n v="40000"/>
    <n v="8.1"/>
    <n v="3"/>
    <n v="1"/>
    <n v="0"/>
    <n v="2.6"/>
    <n v="3.1"/>
    <n v="4.5999999999999996"/>
    <s v="Yes"/>
    <n v="0"/>
    <n v="2"/>
    <n v="2.9"/>
    <n v="1"/>
    <x v="0"/>
    <m/>
    <n v="0"/>
    <n v="0"/>
    <x v="0"/>
    <s v="3â€“5 years"/>
    <s v="Moderate"/>
    <s v="3.4333333333333336"/>
    <n v="8.3333333333333301E-2"/>
    <n v="0"/>
  </r>
  <r>
    <s v="EMP0344"/>
    <s v="Finance"/>
    <x v="17"/>
    <n v="3.2"/>
    <s v="G1"/>
    <n v="23"/>
    <s v="Master"/>
    <s v="Coimbatore"/>
    <n v="2"/>
    <n v="29.1"/>
    <n v="13"/>
    <n v="1"/>
    <n v="12"/>
    <n v="0"/>
    <s v="Band A"/>
    <n v="21000"/>
    <n v="11.3"/>
    <n v="2.7"/>
    <n v="0.6"/>
    <n v="0"/>
    <n v="3.4"/>
    <n v="3.6"/>
    <n v="3.8"/>
    <s v="Yes"/>
    <n v="0"/>
    <n v="1"/>
    <n v="0"/>
    <n v="1"/>
    <x v="0"/>
    <m/>
    <n v="0"/>
    <n v="0"/>
    <x v="0"/>
    <s v="3â€“5 years"/>
    <s v="High"/>
    <n v="3.6"/>
    <s v="0.16666666666666666"/>
    <n v="0"/>
  </r>
  <r>
    <s v="EMP0345"/>
    <s v="Operations"/>
    <x v="3"/>
    <n v="2.4"/>
    <s v="G1"/>
    <n v="25"/>
    <s v="Bachelor"/>
    <s v="Chennai"/>
    <n v="3"/>
    <n v="22.1"/>
    <n v="6"/>
    <n v="4"/>
    <n v="12"/>
    <n v="0"/>
    <s v="Band A"/>
    <n v="32200"/>
    <n v="12"/>
    <n v="5"/>
    <n v="0.9"/>
    <n v="0"/>
    <n v="2.5"/>
    <n v="3.4"/>
    <n v="4.5"/>
    <s v="Yes"/>
    <n v="0"/>
    <n v="1"/>
    <m/>
    <n v="0"/>
    <x v="0"/>
    <m/>
    <n v="1"/>
    <n v="0"/>
    <x v="0"/>
    <s v="1â€“3 years"/>
    <s v="High"/>
    <s v="3.466666666666667"/>
    <n v="0.25"/>
    <n v="0"/>
  </r>
  <r>
    <s v="EMP0346"/>
    <s v="Operations"/>
    <x v="6"/>
    <n v="4"/>
    <s v="G1"/>
    <n v="22"/>
    <s v="Bachelor"/>
    <s v="Bengaluru"/>
    <n v="4"/>
    <n v="21"/>
    <n v="9"/>
    <n v="1"/>
    <n v="12"/>
    <n v="0"/>
    <s v="Band A"/>
    <n v="33600"/>
    <n v="6.3"/>
    <n v="2.4"/>
    <n v="0.7"/>
    <n v="0"/>
    <n v="2.2000000000000002"/>
    <n v="3.5"/>
    <n v="2.7"/>
    <s v="Yes"/>
    <n v="0"/>
    <n v="2"/>
    <n v="0.2"/>
    <n v="0"/>
    <x v="0"/>
    <m/>
    <n v="0"/>
    <n v="0"/>
    <x v="0"/>
    <s v="3â€“5 years"/>
    <s v="High"/>
    <s v="2.8000000000000003"/>
    <s v="0.3333333333333333"/>
    <n v="0"/>
  </r>
  <r>
    <s v="EMP0347"/>
    <s v="Customer Support"/>
    <x v="5"/>
    <n v="7.5"/>
    <s v="G1"/>
    <n v="29"/>
    <s v="Master"/>
    <s v="Bengaluru"/>
    <n v="3"/>
    <n v="9.3000000000000007"/>
    <n v="9"/>
    <n v="4"/>
    <n v="12"/>
    <n v="0"/>
    <s v="Band A"/>
    <n v="30900"/>
    <n v="9.8000000000000007"/>
    <n v="1.1000000000000001"/>
    <n v="2.4"/>
    <n v="0"/>
    <n v="1.3"/>
    <n v="4.7"/>
    <n v="3.3"/>
    <s v="Yes"/>
    <n v="0"/>
    <n v="4"/>
    <n v="5.6"/>
    <n v="1"/>
    <x v="0"/>
    <m/>
    <n v="0"/>
    <n v="0"/>
    <x v="0"/>
    <s v="5+ years"/>
    <s v="Low"/>
    <n v="3.1"/>
    <n v="0.25"/>
    <n v="0"/>
  </r>
  <r>
    <s v="EMP0348"/>
    <s v="Sales"/>
    <x v="14"/>
    <n v="2.6"/>
    <s v="G3"/>
    <n v="33"/>
    <s v="Bachelor"/>
    <s v="Hyderabad"/>
    <n v="3"/>
    <n v="8.3000000000000007"/>
    <n v="11"/>
    <n v="6"/>
    <n v="12"/>
    <n v="0"/>
    <s v="Band C"/>
    <n v="53900"/>
    <n v="12.3"/>
    <n v="2.5"/>
    <n v="0.5"/>
    <n v="0"/>
    <n v="3.5"/>
    <n v="1.7"/>
    <n v="5"/>
    <s v="Yes"/>
    <n v="0"/>
    <n v="3"/>
    <n v="0.8"/>
    <n v="0"/>
    <x v="0"/>
    <m/>
    <n v="0"/>
    <n v="0"/>
    <x v="0"/>
    <s v="1â€“3 years"/>
    <s v="Low"/>
    <n v="3.4"/>
    <n v="0.25"/>
    <n v="0"/>
  </r>
  <r>
    <s v="EMP0349"/>
    <s v="Finance"/>
    <x v="18"/>
    <n v="5.7"/>
    <s v="G1"/>
    <n v="33"/>
    <s v="Diploma"/>
    <s v="Coimbatore"/>
    <n v="5"/>
    <n v="16.600000000000001"/>
    <n v="12"/>
    <n v="0"/>
    <n v="12"/>
    <n v="0"/>
    <s v="Band A"/>
    <n v="31300"/>
    <n v="11.4"/>
    <n v="3.3"/>
    <n v="0.4"/>
    <n v="0"/>
    <n v="1.2"/>
    <n v="3.1"/>
    <n v="3.4"/>
    <s v="Yes"/>
    <n v="1"/>
    <n v="0"/>
    <m/>
    <n v="0"/>
    <x v="0"/>
    <m/>
    <n v="1"/>
    <n v="0"/>
    <x v="1"/>
    <s v="5+ years"/>
    <s v="Moderate"/>
    <s v="2.5666666666666664"/>
    <s v="0.4166666666666667"/>
    <n v="0"/>
  </r>
  <r>
    <s v="EMP0350"/>
    <s v="Engineering"/>
    <x v="12"/>
    <n v="6.3"/>
    <s v="G4"/>
    <n v="33"/>
    <s v="Bachelor"/>
    <s v="Chennai"/>
    <n v="2"/>
    <n v="8.8000000000000007"/>
    <n v="8"/>
    <n v="1"/>
    <n v="12"/>
    <n v="0"/>
    <s v="Band D"/>
    <n v="87600"/>
    <n v="11.6"/>
    <n v="2.9"/>
    <n v="0.6"/>
    <n v="0"/>
    <n v="3"/>
    <n v="3.4"/>
    <n v="2.4"/>
    <s v="Yes"/>
    <n v="0"/>
    <n v="0"/>
    <m/>
    <n v="0"/>
    <x v="0"/>
    <m/>
    <n v="1"/>
    <n v="0"/>
    <x v="1"/>
    <s v="5+ years"/>
    <s v="Low"/>
    <s v="2.9333333333333336"/>
    <s v="0.16666666666666666"/>
    <n v="0"/>
  </r>
  <r>
    <s v="EMP0351"/>
    <s v="Operations"/>
    <x v="3"/>
    <n v="8.5"/>
    <s v="G1"/>
    <n v="30"/>
    <s v="Doctorate"/>
    <s v="Remote"/>
    <n v="2"/>
    <n v="22.7"/>
    <n v="12"/>
    <n v="2"/>
    <n v="12"/>
    <n v="0"/>
    <s v="Band A"/>
    <n v="31700"/>
    <n v="8.5"/>
    <n v="4.0999999999999996"/>
    <n v="0.8"/>
    <n v="0"/>
    <n v="3.9"/>
    <n v="3.2"/>
    <n v="3.4"/>
    <s v="Yes"/>
    <n v="1"/>
    <n v="1"/>
    <n v="1.1000000000000001"/>
    <n v="0"/>
    <x v="0"/>
    <m/>
    <n v="0"/>
    <n v="0"/>
    <x v="0"/>
    <s v="5+ years"/>
    <s v="High"/>
    <n v="3.5"/>
    <s v="0.16666666666666666"/>
    <n v="0"/>
  </r>
  <r>
    <s v="EMP0352"/>
    <s v="Engineering"/>
    <x v="4"/>
    <n v="1.8"/>
    <s v="G1"/>
    <n v="22"/>
    <s v="Doctorate"/>
    <s v="Bengaluru"/>
    <n v="3"/>
    <n v="3.8"/>
    <n v="5"/>
    <n v="6"/>
    <n v="12"/>
    <n v="0"/>
    <s v="Band A"/>
    <n v="27400"/>
    <n v="7.6"/>
    <n v="4.0999999999999996"/>
    <n v="1.3"/>
    <n v="0"/>
    <n v="2.7"/>
    <n v="2.8"/>
    <n v="3.5"/>
    <s v="No"/>
    <n v="0"/>
    <n v="2"/>
    <n v="0.1"/>
    <n v="0"/>
    <x v="0"/>
    <m/>
    <n v="0"/>
    <n v="0"/>
    <x v="0"/>
    <s v="1â€“3 years"/>
    <s v="Low"/>
    <n v="3"/>
    <n v="0.25"/>
    <n v="0"/>
  </r>
  <r>
    <s v="EMP0353"/>
    <s v="Finance"/>
    <x v="17"/>
    <n v="3.8"/>
    <s v="G4"/>
    <n v="25"/>
    <s v="Bachelor"/>
    <s v="Chennai"/>
    <n v="6"/>
    <n v="1.4"/>
    <n v="10"/>
    <n v="1"/>
    <n v="12"/>
    <n v="0"/>
    <s v="Band D"/>
    <n v="75200"/>
    <n v="9.1"/>
    <n v="2.9"/>
    <n v="1.7"/>
    <n v="0"/>
    <n v="2.2999999999999998"/>
    <n v="2.7"/>
    <n v="3.7"/>
    <s v="No"/>
    <n v="0"/>
    <n v="0"/>
    <m/>
    <n v="1"/>
    <x v="0"/>
    <m/>
    <n v="1"/>
    <n v="0"/>
    <x v="1"/>
    <s v="3â€“5 years"/>
    <s v="Low"/>
    <n v="2.9"/>
    <n v="0.5"/>
    <n v="0"/>
  </r>
  <r>
    <s v="EMP0354"/>
    <s v="Finance"/>
    <x v="11"/>
    <n v="2.2000000000000002"/>
    <s v="G2"/>
    <n v="28"/>
    <s v="Master"/>
    <s v="Hyderabad"/>
    <n v="3"/>
    <n v="15.2"/>
    <n v="10"/>
    <n v="1"/>
    <n v="12"/>
    <n v="0"/>
    <s v="Band B"/>
    <n v="38100"/>
    <n v="4.9000000000000004"/>
    <n v="1.7"/>
    <n v="3.6"/>
    <n v="0"/>
    <n v="3.2"/>
    <n v="4.5999999999999996"/>
    <n v="4.4000000000000004"/>
    <s v="Yes"/>
    <n v="0"/>
    <n v="1"/>
    <n v="1.3"/>
    <n v="0"/>
    <x v="1"/>
    <d v="2025-06-25T00:00:00"/>
    <n v="0"/>
    <n v="0"/>
    <x v="0"/>
    <s v="1â€“3 years"/>
    <s v="Moderate"/>
    <s v="4.066666666666666"/>
    <n v="0.25"/>
    <n v="1"/>
  </r>
  <r>
    <s v="EMP0355"/>
    <s v="Hr"/>
    <x v="1"/>
    <n v="4"/>
    <s v="G2"/>
    <n v="33"/>
    <s v="Bachelor"/>
    <s v="Chennai"/>
    <n v="2"/>
    <n v="6.1"/>
    <n v="5"/>
    <n v="1"/>
    <n v="12"/>
    <n v="0"/>
    <s v="Band B"/>
    <n v="39100"/>
    <n v="12.4"/>
    <n v="2"/>
    <n v="2.7"/>
    <n v="0"/>
    <n v="2.6"/>
    <n v="3.1"/>
    <n v="4.9000000000000004"/>
    <s v="Yes"/>
    <n v="0"/>
    <n v="2"/>
    <n v="2.2999999999999998"/>
    <n v="0"/>
    <x v="0"/>
    <m/>
    <n v="0"/>
    <n v="0"/>
    <x v="0"/>
    <s v="3â€“5 years"/>
    <s v="Low"/>
    <s v="3.5333333333333337"/>
    <s v="0.16666666666666666"/>
    <n v="0"/>
  </r>
  <r>
    <s v="EMP0356"/>
    <s v="Finance"/>
    <x v="11"/>
    <n v="4"/>
    <s v="G5"/>
    <n v="34"/>
    <s v="Bachelor"/>
    <s v="Hyderabad"/>
    <n v="0"/>
    <n v="3.3"/>
    <n v="8"/>
    <n v="2"/>
    <n v="12"/>
    <n v="0"/>
    <s v="Band D"/>
    <n v="77100"/>
    <n v="1.9"/>
    <n v="3.2"/>
    <n v="0.9"/>
    <n v="0"/>
    <n v="3.5"/>
    <n v="5"/>
    <n v="3.4"/>
    <s v="Yes"/>
    <n v="0"/>
    <n v="1"/>
    <n v="1.1000000000000001"/>
    <n v="0"/>
    <x v="0"/>
    <m/>
    <n v="0"/>
    <n v="0"/>
    <x v="0"/>
    <s v="3â€“5 years"/>
    <s v="Low"/>
    <s v="3.966666666666667"/>
    <n v="0"/>
    <n v="0"/>
  </r>
  <r>
    <s v="EMP0357"/>
    <s v="Operations"/>
    <x v="3"/>
    <n v="1.5"/>
    <s v="G5"/>
    <n v="30"/>
    <s v="Bachelor"/>
    <s v="Bengaluru"/>
    <n v="2"/>
    <n v="42.2"/>
    <n v="5"/>
    <n v="5"/>
    <n v="12"/>
    <n v="0"/>
    <s v="Band D"/>
    <n v="101000"/>
    <n v="6"/>
    <n v="1.8"/>
    <n v="0.9"/>
    <n v="0"/>
    <n v="2.4"/>
    <n v="3.7"/>
    <n v="4.3"/>
    <s v="Yes"/>
    <n v="0"/>
    <n v="1"/>
    <n v="1"/>
    <n v="1"/>
    <x v="0"/>
    <m/>
    <n v="0"/>
    <n v="0"/>
    <x v="0"/>
    <s v="1â€“3 years"/>
    <s v="High"/>
    <s v="3.4666666666666663"/>
    <s v="0.16666666666666666"/>
    <n v="0"/>
  </r>
  <r>
    <s v="EMP0358"/>
    <s v="Operations"/>
    <x v="6"/>
    <n v="4.2"/>
    <s v="G3"/>
    <n v="27"/>
    <s v="Bachelor"/>
    <s v="Remote"/>
    <n v="1"/>
    <n v="10"/>
    <n v="8"/>
    <n v="0"/>
    <n v="12"/>
    <n v="0"/>
    <s v="Band C"/>
    <n v="61300"/>
    <n v="7.9"/>
    <n v="2.9"/>
    <n v="2.5"/>
    <n v="0"/>
    <n v="3.2"/>
    <n v="2.9"/>
    <n v="3.9"/>
    <s v="Yes"/>
    <n v="0"/>
    <n v="2"/>
    <n v="3.2"/>
    <n v="1"/>
    <x v="0"/>
    <m/>
    <n v="0"/>
    <n v="0"/>
    <x v="0"/>
    <s v="3â€“5 years"/>
    <s v="Low"/>
    <s v="3.3333333333333335"/>
    <n v="8.3333333333333301E-2"/>
    <n v="0"/>
  </r>
  <r>
    <s v="EMP0359"/>
    <s v="Hr"/>
    <x v="7"/>
    <n v="13.5"/>
    <s v="G1"/>
    <n v="40"/>
    <s v="Bachelor"/>
    <s v="Remote"/>
    <n v="2"/>
    <n v="2.5"/>
    <n v="6"/>
    <n v="2"/>
    <n v="12"/>
    <n v="0"/>
    <s v="Band B"/>
    <n v="36800"/>
    <n v="9.9"/>
    <n v="4.5"/>
    <n v="0.8"/>
    <n v="0"/>
    <n v="3.3"/>
    <n v="3.7"/>
    <n v="3.4"/>
    <s v="Yes"/>
    <n v="1"/>
    <n v="1"/>
    <n v="13.2"/>
    <n v="0"/>
    <x v="0"/>
    <m/>
    <n v="0"/>
    <n v="0"/>
    <x v="0"/>
    <s v="5+ years"/>
    <s v="Low"/>
    <s v="3.466666666666667"/>
    <s v="0.16666666666666666"/>
    <n v="0"/>
  </r>
  <r>
    <s v="EMP0360"/>
    <s v="Finance"/>
    <x v="18"/>
    <n v="5.2"/>
    <s v="G3"/>
    <n v="30"/>
    <s v="Master"/>
    <s v="Chennai"/>
    <n v="3"/>
    <n v="5.5"/>
    <n v="15"/>
    <n v="2"/>
    <n v="12"/>
    <n v="0"/>
    <s v="Band C"/>
    <n v="60700"/>
    <n v="10.6"/>
    <n v="3.5"/>
    <n v="2"/>
    <n v="0"/>
    <n v="3.3"/>
    <n v="3.3"/>
    <n v="2"/>
    <s v="Yes"/>
    <n v="0"/>
    <n v="1"/>
    <n v="2.2999999999999998"/>
    <n v="0"/>
    <x v="0"/>
    <m/>
    <n v="0"/>
    <n v="0"/>
    <x v="0"/>
    <s v="5+ years"/>
    <s v="Low"/>
    <s v="2.8666666666666667"/>
    <n v="0.25"/>
    <n v="0"/>
  </r>
  <r>
    <s v="EMP0361"/>
    <s v="Customer Support"/>
    <x v="2"/>
    <n v="1.2"/>
    <s v="G5"/>
    <n v="26"/>
    <s v="Bachelor"/>
    <s v="Hyderabad"/>
    <n v="2"/>
    <n v="7.7"/>
    <n v="7"/>
    <n v="4"/>
    <n v="12"/>
    <n v="0"/>
    <s v="Band D"/>
    <n v="94400"/>
    <n v="14"/>
    <n v="3.2"/>
    <n v="0.2"/>
    <n v="0"/>
    <n v="4.8"/>
    <n v="4.4000000000000004"/>
    <n v="4.2"/>
    <s v="Yes"/>
    <n v="0"/>
    <n v="0"/>
    <m/>
    <n v="1"/>
    <x v="0"/>
    <m/>
    <n v="1"/>
    <n v="0"/>
    <x v="1"/>
    <s v="1â€“3 years"/>
    <s v="Low"/>
    <s v="4.466666666666666"/>
    <s v="0.16666666666666666"/>
    <n v="0"/>
  </r>
  <r>
    <s v="EMP0362"/>
    <s v="Engineering"/>
    <x v="4"/>
    <n v="1.7"/>
    <s v="G5"/>
    <n v="36"/>
    <s v="Bachelor"/>
    <s v="Chennai"/>
    <n v="3"/>
    <n v="15"/>
    <n v="6"/>
    <n v="1"/>
    <n v="12"/>
    <n v="0"/>
    <s v="Band D"/>
    <n v="96700"/>
    <n v="8.3000000000000007"/>
    <n v="2.2999999999999998"/>
    <n v="1.8"/>
    <n v="0"/>
    <n v="3.5"/>
    <n v="2.1"/>
    <n v="3.9"/>
    <s v="No"/>
    <n v="0"/>
    <n v="2"/>
    <n v="1.7"/>
    <n v="0"/>
    <x v="0"/>
    <m/>
    <n v="0"/>
    <n v="0"/>
    <x v="0"/>
    <s v="1â€“3 years"/>
    <s v="Moderate"/>
    <s v="3.1666666666666665"/>
    <n v="0.25"/>
    <n v="0"/>
  </r>
  <r>
    <s v="EMP0363"/>
    <s v="Engineering"/>
    <x v="4"/>
    <n v="3.6"/>
    <s v="G1"/>
    <n v="23"/>
    <s v="Bachelor"/>
    <s v="Bengaluru"/>
    <n v="3"/>
    <n v="5.5"/>
    <n v="9"/>
    <n v="1"/>
    <n v="12"/>
    <n v="0"/>
    <s v="Band A"/>
    <n v="32800"/>
    <n v="5.0999999999999996"/>
    <n v="3.4"/>
    <n v="1.6"/>
    <n v="0"/>
    <n v="3.8"/>
    <n v="1.6"/>
    <n v="3.7"/>
    <s v="Yes"/>
    <n v="0"/>
    <n v="0"/>
    <m/>
    <n v="0"/>
    <x v="0"/>
    <m/>
    <n v="1"/>
    <n v="0"/>
    <x v="1"/>
    <s v="3â€“5 years"/>
    <s v="Low"/>
    <s v="3.0333333333333337"/>
    <n v="0.25"/>
    <n v="0"/>
  </r>
  <r>
    <s v="EMP0364"/>
    <s v="Engineering"/>
    <x v="16"/>
    <n v="1.8"/>
    <s v="G2"/>
    <n v="27"/>
    <s v="Diploma"/>
    <s v="Bengaluru"/>
    <n v="6"/>
    <n v="8.6999999999999993"/>
    <n v="4"/>
    <n v="0"/>
    <n v="12"/>
    <n v="0"/>
    <s v="Band B"/>
    <n v="42000"/>
    <n v="7.4"/>
    <n v="3"/>
    <n v="0.8"/>
    <n v="0"/>
    <n v="2.7"/>
    <n v="3.5"/>
    <n v="2.6"/>
    <s v="Yes"/>
    <n v="0"/>
    <n v="3"/>
    <n v="1.7"/>
    <n v="0"/>
    <x v="0"/>
    <m/>
    <n v="0"/>
    <n v="0"/>
    <x v="0"/>
    <s v="1â€“3 years"/>
    <s v="Low"/>
    <s v="2.9333333333333336"/>
    <n v="0.5"/>
    <n v="0"/>
  </r>
  <r>
    <s v="EMP0365"/>
    <s v="Operations"/>
    <x v="0"/>
    <n v="8.1999999999999993"/>
    <s v="G2"/>
    <n v="39"/>
    <s v="Bachelor"/>
    <s v="Chennai"/>
    <n v="3"/>
    <n v="12.4"/>
    <n v="2"/>
    <n v="1"/>
    <n v="12"/>
    <n v="0"/>
    <s v="Band B"/>
    <n v="48900"/>
    <n v="6.7"/>
    <n v="3.4"/>
    <n v="0.3"/>
    <n v="0"/>
    <n v="3.5"/>
    <n v="4"/>
    <n v="3.4"/>
    <s v="Yes"/>
    <n v="1"/>
    <n v="0"/>
    <m/>
    <n v="2"/>
    <x v="0"/>
    <m/>
    <n v="1"/>
    <n v="0"/>
    <x v="1"/>
    <s v="5+ years"/>
    <s v="Moderate"/>
    <s v="3.6333333333333333"/>
    <n v="0.25"/>
    <n v="0"/>
  </r>
  <r>
    <s v="EMP0366"/>
    <s v="Sales"/>
    <x v="13"/>
    <n v="1.1000000000000001"/>
    <s v="G1"/>
    <n v="21"/>
    <s v="Master"/>
    <s v="Chennai"/>
    <n v="2"/>
    <n v="14.2"/>
    <n v="11"/>
    <n v="1"/>
    <n v="12"/>
    <n v="0"/>
    <s v="Band A"/>
    <n v="25700"/>
    <n v="10.1"/>
    <n v="3.9"/>
    <n v="0.2"/>
    <n v="0"/>
    <n v="3.1"/>
    <n v="3.5"/>
    <n v="3.5"/>
    <s v="Yes"/>
    <n v="0"/>
    <n v="1"/>
    <n v="0.7"/>
    <n v="0"/>
    <x v="0"/>
    <m/>
    <n v="0"/>
    <n v="0"/>
    <x v="0"/>
    <s v="1â€“3 years"/>
    <s v="Moderate"/>
    <s v="3.3666666666666667"/>
    <s v="0.16666666666666666"/>
    <n v="0"/>
  </r>
  <r>
    <s v="EMP0367"/>
    <s v="Operations"/>
    <x v="3"/>
    <n v="5.2"/>
    <s v="G3"/>
    <n v="29"/>
    <s v="Bachelor"/>
    <s v="Chennai"/>
    <n v="3"/>
    <n v="9.1999999999999993"/>
    <n v="4"/>
    <n v="1"/>
    <n v="12"/>
    <n v="0"/>
    <s v="Band C"/>
    <n v="50100"/>
    <n v="3.7"/>
    <n v="4"/>
    <n v="1.5"/>
    <n v="0"/>
    <n v="3.3"/>
    <n v="3.8"/>
    <n v="2.5"/>
    <s v="No"/>
    <n v="0"/>
    <n v="1"/>
    <n v="4.8"/>
    <n v="0"/>
    <x v="0"/>
    <m/>
    <n v="0"/>
    <n v="0"/>
    <x v="0"/>
    <s v="5+ years"/>
    <s v="Low"/>
    <s v="3.1999999999999997"/>
    <n v="0.25"/>
    <n v="0"/>
  </r>
  <r>
    <s v="EMP0368"/>
    <s v="Operations"/>
    <x v="6"/>
    <n v="0.9"/>
    <s v="G2"/>
    <n v="25"/>
    <s v="Diploma"/>
    <s v="Chennai"/>
    <n v="2"/>
    <n v="33.5"/>
    <n v="16"/>
    <n v="0"/>
    <n v="12"/>
    <n v="0"/>
    <s v="Band B"/>
    <n v="36500"/>
    <n v="7.3"/>
    <n v="3.3"/>
    <n v="1.7"/>
    <n v="0"/>
    <n v="3.9"/>
    <n v="3.7"/>
    <n v="2.4"/>
    <s v="Yes"/>
    <n v="0"/>
    <n v="1"/>
    <n v="0.4"/>
    <n v="0"/>
    <x v="0"/>
    <m/>
    <n v="0"/>
    <n v="0"/>
    <x v="0"/>
    <s v="0â€“1 years"/>
    <s v="High"/>
    <s v="3.3333333333333335"/>
    <s v="0.16666666666666666"/>
    <n v="0"/>
  </r>
  <r>
    <s v="EMP0369"/>
    <s v="Sales"/>
    <x v="13"/>
    <n v="3.6"/>
    <s v="G2"/>
    <n v="29"/>
    <s v="Master"/>
    <s v="Chennai"/>
    <n v="4"/>
    <n v="16.899999999999999"/>
    <n v="8"/>
    <n v="3"/>
    <n v="12"/>
    <n v="0"/>
    <s v="Band A"/>
    <n v="34500"/>
    <n v="14.5"/>
    <n v="3.7"/>
    <n v="0.1"/>
    <n v="0"/>
    <n v="2.8"/>
    <n v="1.9"/>
    <n v="3.9"/>
    <s v="Yes"/>
    <n v="0"/>
    <n v="0"/>
    <m/>
    <n v="0"/>
    <x v="0"/>
    <m/>
    <n v="1"/>
    <n v="0"/>
    <x v="1"/>
    <s v="3â€“5 years"/>
    <s v="Moderate"/>
    <s v="2.8666666666666667"/>
    <s v="0.3333333333333333"/>
    <n v="0"/>
  </r>
  <r>
    <s v="EMP0370"/>
    <s v="Customer Support"/>
    <x v="5"/>
    <n v="1.6"/>
    <s v="G1"/>
    <n v="21"/>
    <s v="Doctorate"/>
    <s v="Remote"/>
    <n v="1"/>
    <n v="16.2"/>
    <n v="7"/>
    <n v="1"/>
    <n v="12"/>
    <n v="0"/>
    <s v="Band A"/>
    <n v="23600"/>
    <n v="8.6999999999999993"/>
    <n v="2.7"/>
    <n v="0.1"/>
    <n v="0"/>
    <n v="2.9"/>
    <n v="3.5"/>
    <n v="4"/>
    <s v="Yes"/>
    <n v="0"/>
    <n v="1"/>
    <n v="1.6"/>
    <n v="0"/>
    <x v="0"/>
    <m/>
    <n v="0"/>
    <n v="0"/>
    <x v="0"/>
    <s v="1â€“3 years"/>
    <s v="Moderate"/>
    <s v="3.466666666666667"/>
    <n v="8.3333333333333301E-2"/>
    <n v="0"/>
  </r>
  <r>
    <s v="EMP0371"/>
    <s v="Operations"/>
    <x v="6"/>
    <n v="5.9"/>
    <s v="G2"/>
    <n v="34"/>
    <s v="Master"/>
    <s v="Coimbatore"/>
    <n v="2"/>
    <n v="15.8"/>
    <n v="10"/>
    <n v="4"/>
    <n v="12"/>
    <n v="0"/>
    <s v="Band B"/>
    <n v="42500"/>
    <n v="3.8"/>
    <n v="4.2"/>
    <n v="0.4"/>
    <n v="0"/>
    <n v="3.3"/>
    <n v="4.4000000000000004"/>
    <n v="3"/>
    <s v="Yes"/>
    <n v="1"/>
    <n v="0"/>
    <m/>
    <n v="0"/>
    <x v="0"/>
    <m/>
    <n v="1"/>
    <n v="0"/>
    <x v="1"/>
    <s v="5+ years"/>
    <s v="Moderate"/>
    <s v="3.5666666666666664"/>
    <s v="0.16666666666666666"/>
    <n v="0"/>
  </r>
  <r>
    <s v="EMP0372"/>
    <s v="Sales"/>
    <x v="14"/>
    <n v="7.3"/>
    <s v="G1"/>
    <n v="36"/>
    <s v="Bachelor"/>
    <s v="Hyderabad"/>
    <n v="2"/>
    <n v="22.8"/>
    <n v="7"/>
    <n v="3"/>
    <n v="12"/>
    <n v="0"/>
    <s v="Band A"/>
    <n v="31700"/>
    <n v="6.6"/>
    <n v="2.4"/>
    <n v="0.4"/>
    <n v="0"/>
    <n v="2.8"/>
    <n v="3.4"/>
    <n v="3.8"/>
    <s v="Yes"/>
    <n v="0"/>
    <n v="1"/>
    <n v="0.4"/>
    <n v="1"/>
    <x v="0"/>
    <m/>
    <n v="0"/>
    <n v="0"/>
    <x v="0"/>
    <s v="5+ years"/>
    <s v="High"/>
    <s v="3.3333333333333335"/>
    <s v="0.16666666666666666"/>
    <n v="0"/>
  </r>
  <r>
    <s v="EMP0373"/>
    <s v="Sales"/>
    <x v="13"/>
    <n v="4.7"/>
    <s v="G2"/>
    <n v="33"/>
    <s v="Bachelor"/>
    <s v="Hyderabad"/>
    <n v="3"/>
    <n v="11.7"/>
    <n v="6"/>
    <n v="2"/>
    <n v="12"/>
    <n v="0"/>
    <s v="Band B"/>
    <n v="40700"/>
    <n v="0"/>
    <n v="3"/>
    <n v="0.6"/>
    <n v="0"/>
    <n v="3.3"/>
    <n v="2"/>
    <n v="3.9"/>
    <s v="Yes"/>
    <n v="1"/>
    <n v="2"/>
    <n v="0.5"/>
    <n v="1"/>
    <x v="0"/>
    <m/>
    <n v="0"/>
    <n v="0"/>
    <x v="0"/>
    <s v="3â€“5 years"/>
    <s v="Moderate"/>
    <s v="3.0666666666666664"/>
    <n v="0.25"/>
    <n v="0"/>
  </r>
  <r>
    <s v="EMP0374"/>
    <s v="Sales"/>
    <x v="8"/>
    <n v="7.6"/>
    <s v="G1"/>
    <n v="30"/>
    <s v="Bachelor"/>
    <s v="Bengaluru"/>
    <n v="3"/>
    <n v="3.8"/>
    <n v="6"/>
    <n v="0"/>
    <n v="12"/>
    <n v="0"/>
    <s v="Band A"/>
    <n v="31600"/>
    <n v="7.8"/>
    <n v="4.3"/>
    <n v="1.5"/>
    <n v="0"/>
    <n v="3"/>
    <n v="2.9"/>
    <n v="3.5"/>
    <s v="Yes"/>
    <n v="0"/>
    <n v="0"/>
    <m/>
    <n v="2"/>
    <x v="0"/>
    <m/>
    <n v="1"/>
    <n v="0"/>
    <x v="1"/>
    <s v="5+ years"/>
    <s v="Low"/>
    <s v="3.1333333333333333"/>
    <n v="0.25"/>
    <n v="0"/>
  </r>
  <r>
    <s v="EMP0375"/>
    <s v="Engineering"/>
    <x v="12"/>
    <n v="0.3"/>
    <s v="G5"/>
    <n v="27"/>
    <s v="Master"/>
    <s v="Coimbatore"/>
    <n v="1"/>
    <n v="13.7"/>
    <n v="9"/>
    <n v="2"/>
    <n v="12"/>
    <n v="0"/>
    <s v="Band D"/>
    <n v="78300"/>
    <n v="14.6"/>
    <n v="2.8"/>
    <n v="2.9"/>
    <n v="0"/>
    <n v="4.5999999999999996"/>
    <n v="3.7"/>
    <n v="2.8"/>
    <s v="Yes"/>
    <n v="0"/>
    <n v="1"/>
    <n v="0.2"/>
    <n v="0"/>
    <x v="0"/>
    <m/>
    <n v="0"/>
    <n v="0"/>
    <x v="0"/>
    <s v="0â€“1 years"/>
    <s v="Moderate"/>
    <s v="3.7000000000000006"/>
    <n v="8.3333333333333301E-2"/>
    <n v="0"/>
  </r>
  <r>
    <s v="EMP0376"/>
    <s v="Engineering"/>
    <x v="4"/>
    <n v="4.0999999999999996"/>
    <s v="G1"/>
    <n v="27"/>
    <s v="Master"/>
    <s v="Hyderabad"/>
    <n v="2"/>
    <n v="15.1"/>
    <n v="6"/>
    <n v="2"/>
    <n v="12"/>
    <n v="0"/>
    <s v="Band A"/>
    <n v="27200"/>
    <n v="3.3"/>
    <n v="2"/>
    <n v="3"/>
    <n v="0"/>
    <n v="5"/>
    <n v="4.8"/>
    <n v="4.2"/>
    <s v="No"/>
    <n v="0"/>
    <n v="0"/>
    <m/>
    <n v="1"/>
    <x v="0"/>
    <m/>
    <n v="1"/>
    <n v="0"/>
    <x v="1"/>
    <s v="3â€“5 years"/>
    <s v="Moderate"/>
    <s v="4.666666666666667"/>
    <s v="0.16666666666666666"/>
    <n v="0"/>
  </r>
  <r>
    <s v="EMP0377"/>
    <s v="Customer Support"/>
    <x v="9"/>
    <n v="5.2"/>
    <s v="G3"/>
    <n v="30"/>
    <s v="Master"/>
    <s v="Bengaluru"/>
    <n v="4"/>
    <n v="25.4"/>
    <n v="9"/>
    <n v="0"/>
    <n v="12"/>
    <n v="0"/>
    <s v="Band C"/>
    <n v="52600"/>
    <n v="2.2000000000000002"/>
    <n v="2.8"/>
    <n v="2.2000000000000002"/>
    <n v="0"/>
    <n v="2.8"/>
    <n v="1.4"/>
    <n v="4.0999999999999996"/>
    <s v="Yes"/>
    <n v="0"/>
    <n v="1"/>
    <n v="0.6"/>
    <n v="0"/>
    <x v="1"/>
    <d v="2025-03-06T00:00:00"/>
    <n v="0"/>
    <n v="0"/>
    <x v="0"/>
    <s v="5+ years"/>
    <s v="High"/>
    <s v="2.766666666666666"/>
    <s v="0.3333333333333333"/>
    <n v="1"/>
  </r>
  <r>
    <s v="EMP0378"/>
    <s v="Hr"/>
    <x v="1"/>
    <n v="5.7"/>
    <s v="G1"/>
    <n v="40"/>
    <s v="Bachelor"/>
    <s v="Bengaluru"/>
    <n v="1"/>
    <n v="3.4"/>
    <n v="10"/>
    <n v="1"/>
    <n v="12"/>
    <n v="0"/>
    <s v="Band A"/>
    <n v="29700"/>
    <n v="5.4"/>
    <n v="4.5"/>
    <n v="2.8"/>
    <n v="0"/>
    <n v="3.6"/>
    <n v="3.5"/>
    <n v="3.9"/>
    <s v="Yes"/>
    <n v="0"/>
    <n v="0"/>
    <m/>
    <n v="0"/>
    <x v="0"/>
    <m/>
    <n v="1"/>
    <n v="0"/>
    <x v="1"/>
    <s v="5+ years"/>
    <s v="Low"/>
    <s v="3.6666666666666665"/>
    <n v="8.3333333333333301E-2"/>
    <n v="0"/>
  </r>
  <r>
    <s v="EMP0379"/>
    <s v="Sales"/>
    <x v="14"/>
    <n v="5"/>
    <s v="G1"/>
    <n v="31"/>
    <s v="Diploma"/>
    <s v="Remote"/>
    <n v="3"/>
    <n v="4.3"/>
    <n v="10"/>
    <n v="2"/>
    <n v="12"/>
    <n v="0"/>
    <s v="Band A"/>
    <n v="24100"/>
    <n v="11.7"/>
    <n v="1.2"/>
    <n v="0.5"/>
    <n v="0"/>
    <n v="4.2"/>
    <n v="2.4"/>
    <n v="2.7"/>
    <s v="Yes"/>
    <n v="0"/>
    <n v="0"/>
    <m/>
    <n v="1"/>
    <x v="0"/>
    <m/>
    <n v="1"/>
    <n v="0"/>
    <x v="1"/>
    <s v="3â€“5 years"/>
    <s v="Low"/>
    <n v="3.1"/>
    <n v="0.25"/>
    <n v="0"/>
  </r>
  <r>
    <s v="EMP0380"/>
    <s v="Operations"/>
    <x v="3"/>
    <n v="5.7"/>
    <s v="G1"/>
    <n v="27"/>
    <s v="Bachelor"/>
    <s v="Bengaluru"/>
    <n v="1"/>
    <n v="10.3"/>
    <n v="9"/>
    <n v="1"/>
    <n v="12"/>
    <n v="0"/>
    <s v="Band A"/>
    <n v="26300"/>
    <n v="14.8"/>
    <n v="3.3"/>
    <n v="2.2000000000000002"/>
    <n v="0"/>
    <n v="3.1"/>
    <n v="3.7"/>
    <n v="2.2999999999999998"/>
    <s v="Yes"/>
    <n v="0"/>
    <n v="1"/>
    <n v="5.6"/>
    <n v="0"/>
    <x v="0"/>
    <m/>
    <n v="0"/>
    <n v="0"/>
    <x v="0"/>
    <s v="5+ years"/>
    <s v="Moderate"/>
    <s v="3.0333333333333337"/>
    <n v="8.3333333333333301E-2"/>
    <n v="0"/>
  </r>
  <r>
    <s v="EMP0381"/>
    <s v="Finance"/>
    <x v="18"/>
    <n v="4.0999999999999996"/>
    <s v="G1"/>
    <n v="31"/>
    <s v="Bachelor"/>
    <s v="Coimbatore"/>
    <n v="2"/>
    <n v="16.100000000000001"/>
    <n v="8"/>
    <n v="1"/>
    <n v="12"/>
    <n v="0"/>
    <s v="Band A"/>
    <n v="27400"/>
    <n v="9.8000000000000007"/>
    <n v="2.6"/>
    <n v="2.4"/>
    <n v="0"/>
    <n v="2.4"/>
    <n v="3.7"/>
    <n v="3.4"/>
    <s v="Yes"/>
    <n v="1"/>
    <n v="0"/>
    <m/>
    <n v="0"/>
    <x v="0"/>
    <m/>
    <n v="1"/>
    <n v="0"/>
    <x v="1"/>
    <s v="3â€“5 years"/>
    <s v="Moderate"/>
    <s v="3.1666666666666665"/>
    <s v="0.16666666666666666"/>
    <n v="0"/>
  </r>
  <r>
    <s v="EMP0382"/>
    <s v="Customer Support"/>
    <x v="2"/>
    <n v="1.2"/>
    <s v="G1"/>
    <n v="22"/>
    <s v="Diploma"/>
    <s v="Hyderabad"/>
    <n v="5"/>
    <n v="2.8"/>
    <n v="10"/>
    <n v="3"/>
    <n v="12"/>
    <n v="0"/>
    <s v="Band A"/>
    <n v="31600"/>
    <n v="2.9"/>
    <n v="3"/>
    <n v="0.2"/>
    <n v="0"/>
    <n v="4.9000000000000004"/>
    <n v="3"/>
    <n v="4.0999999999999996"/>
    <s v="Yes"/>
    <n v="0"/>
    <n v="1"/>
    <n v="0.1"/>
    <n v="0"/>
    <x v="0"/>
    <m/>
    <n v="0"/>
    <n v="0"/>
    <x v="0"/>
    <s v="1â€“3 years"/>
    <s v="Low"/>
    <n v="4"/>
    <s v="0.4166666666666667"/>
    <n v="0"/>
  </r>
  <r>
    <s v="EMP0383"/>
    <s v="Operations"/>
    <x v="0"/>
    <n v="2.4"/>
    <s v="G2"/>
    <n v="24"/>
    <s v="Bachelor"/>
    <s v="Coimbatore"/>
    <n v="2"/>
    <n v="3.5"/>
    <n v="6"/>
    <n v="4"/>
    <n v="12"/>
    <n v="0"/>
    <s v="Band B"/>
    <n v="39400"/>
    <n v="7.9"/>
    <n v="2.9"/>
    <n v="3.6"/>
    <n v="0"/>
    <n v="3.9"/>
    <n v="3.8"/>
    <n v="4.2"/>
    <s v="Yes"/>
    <n v="0"/>
    <n v="2"/>
    <n v="0.6"/>
    <n v="0"/>
    <x v="0"/>
    <m/>
    <n v="0"/>
    <n v="0"/>
    <x v="0"/>
    <s v="1â€“3 years"/>
    <s v="Low"/>
    <s v="3.9666666666666663"/>
    <s v="0.16666666666666666"/>
    <n v="0"/>
  </r>
  <r>
    <s v="EMP0384"/>
    <s v="Hr"/>
    <x v="7"/>
    <n v="8.1999999999999993"/>
    <s v="G3"/>
    <n v="30"/>
    <s v="Bachelor"/>
    <s v="Hyderabad"/>
    <n v="4"/>
    <n v="19.100000000000001"/>
    <n v="13"/>
    <n v="2"/>
    <n v="12"/>
    <n v="0"/>
    <s v="Band C"/>
    <n v="63800"/>
    <n v="15.2"/>
    <n v="4.0999999999999996"/>
    <n v="2.5"/>
    <n v="0"/>
    <n v="3.6"/>
    <n v="4.2"/>
    <n v="3.9"/>
    <s v="Yes"/>
    <n v="0"/>
    <n v="0"/>
    <m/>
    <n v="0"/>
    <x v="0"/>
    <m/>
    <n v="1"/>
    <n v="0"/>
    <x v="1"/>
    <s v="5+ years"/>
    <s v="Moderate"/>
    <s v="3.9000000000000004"/>
    <s v="0.3333333333333333"/>
    <n v="0"/>
  </r>
  <r>
    <s v="EMP0385"/>
    <s v="Sales"/>
    <x v="13"/>
    <n v="7.6"/>
    <s v="G1"/>
    <n v="32"/>
    <s v="Master"/>
    <s v="Chennai"/>
    <n v="3"/>
    <n v="2.9"/>
    <n v="10"/>
    <n v="3"/>
    <n v="12"/>
    <n v="0"/>
    <s v="Band A"/>
    <n v="29900"/>
    <n v="6.8"/>
    <n v="3.2"/>
    <n v="0.7"/>
    <n v="0"/>
    <n v="4.5999999999999996"/>
    <n v="3.1"/>
    <n v="3"/>
    <s v="Yes"/>
    <n v="0"/>
    <n v="0"/>
    <m/>
    <n v="1"/>
    <x v="0"/>
    <m/>
    <n v="1"/>
    <n v="0"/>
    <x v="1"/>
    <s v="5+ years"/>
    <s v="Low"/>
    <s v="3.5666666666666664"/>
    <n v="0.25"/>
    <n v="0"/>
  </r>
  <r>
    <s v="EMP0386"/>
    <s v="Customer Support"/>
    <x v="9"/>
    <n v="5.0999999999999996"/>
    <s v="G2"/>
    <n v="35"/>
    <s v="Master"/>
    <s v="Chennai"/>
    <n v="1"/>
    <n v="4.4000000000000004"/>
    <n v="7"/>
    <n v="2"/>
    <n v="12"/>
    <n v="0"/>
    <s v="Band B"/>
    <n v="39800"/>
    <n v="8.6"/>
    <n v="4.0999999999999996"/>
    <n v="0.1"/>
    <n v="0"/>
    <n v="4"/>
    <n v="2"/>
    <n v="2.8"/>
    <s v="Yes"/>
    <n v="0"/>
    <n v="0"/>
    <m/>
    <n v="1"/>
    <x v="0"/>
    <m/>
    <n v="1"/>
    <n v="0"/>
    <x v="1"/>
    <s v="5+ years"/>
    <s v="Low"/>
    <s v="2.9333333333333336"/>
    <n v="8.3333333333333301E-2"/>
    <n v="0"/>
  </r>
  <r>
    <s v="EMP0387"/>
    <s v="Operations"/>
    <x v="0"/>
    <n v="6"/>
    <s v="G3"/>
    <n v="34"/>
    <s v="Master"/>
    <s v="Coimbatore"/>
    <n v="1"/>
    <n v="20"/>
    <n v="4"/>
    <n v="3"/>
    <n v="12"/>
    <n v="0"/>
    <s v="Band C"/>
    <n v="58400"/>
    <n v="9"/>
    <n v="4.4000000000000004"/>
    <n v="1.5"/>
    <n v="0"/>
    <n v="3.3"/>
    <n v="4.5"/>
    <n v="3.4"/>
    <s v="No"/>
    <n v="0"/>
    <n v="0"/>
    <m/>
    <n v="1"/>
    <x v="0"/>
    <m/>
    <n v="1"/>
    <n v="0"/>
    <x v="1"/>
    <s v="5+ years"/>
    <s v="Moderate"/>
    <s v="3.733333333333333"/>
    <n v="8.3333333333333301E-2"/>
    <n v="0"/>
  </r>
  <r>
    <s v="EMP0388"/>
    <s v="Customer Support"/>
    <x v="9"/>
    <n v="7.1"/>
    <s v="G2"/>
    <n v="35"/>
    <s v="Master"/>
    <s v="Chennai"/>
    <n v="2"/>
    <n v="16"/>
    <n v="9"/>
    <n v="1"/>
    <n v="12"/>
    <n v="0"/>
    <s v="Band B"/>
    <n v="40000"/>
    <n v="1.8"/>
    <n v="3.2"/>
    <n v="0.9"/>
    <n v="0"/>
    <n v="2.4"/>
    <n v="3.9"/>
    <n v="3.4"/>
    <s v="Yes"/>
    <n v="0"/>
    <n v="0"/>
    <m/>
    <n v="0"/>
    <x v="0"/>
    <m/>
    <n v="1"/>
    <n v="0"/>
    <x v="1"/>
    <s v="5+ years"/>
    <s v="Moderate"/>
    <s v="3.233333333333333"/>
    <s v="0.16666666666666666"/>
    <n v="0"/>
  </r>
  <r>
    <s v="EMP0389"/>
    <s v="Engineering"/>
    <x v="4"/>
    <n v="5.0999999999999996"/>
    <s v="G2"/>
    <n v="27"/>
    <s v="Master"/>
    <s v="Remote"/>
    <n v="4"/>
    <n v="5.6"/>
    <n v="8"/>
    <n v="1"/>
    <n v="12"/>
    <n v="0"/>
    <s v="Band B"/>
    <n v="36800"/>
    <n v="12"/>
    <n v="2.9"/>
    <n v="0.3"/>
    <n v="0"/>
    <n v="2.9"/>
    <n v="3.7"/>
    <n v="4.3"/>
    <s v="Yes"/>
    <n v="0"/>
    <n v="0"/>
    <m/>
    <n v="0"/>
    <x v="0"/>
    <m/>
    <n v="1"/>
    <n v="0"/>
    <x v="1"/>
    <s v="5+ years"/>
    <s v="Low"/>
    <s v="3.633333333333333"/>
    <s v="0.3333333333333333"/>
    <n v="0"/>
  </r>
  <r>
    <s v="EMP0390"/>
    <s v="Customer Support"/>
    <x v="9"/>
    <n v="8.1"/>
    <s v="G1"/>
    <n v="32"/>
    <s v="Diploma"/>
    <s v="Chennai"/>
    <n v="1"/>
    <n v="14.6"/>
    <n v="9"/>
    <n v="4"/>
    <n v="12"/>
    <n v="0"/>
    <s v="Band A"/>
    <n v="25100"/>
    <n v="11.4"/>
    <n v="3.5"/>
    <n v="1.3"/>
    <n v="0"/>
    <n v="4.4000000000000004"/>
    <n v="2.6"/>
    <n v="3"/>
    <s v="Yes"/>
    <n v="0"/>
    <n v="1"/>
    <n v="0.2"/>
    <n v="0"/>
    <x v="0"/>
    <m/>
    <n v="0"/>
    <n v="0"/>
    <x v="0"/>
    <s v="5+ years"/>
    <s v="Moderate"/>
    <s v="3.3333333333333335"/>
    <n v="8.3333333333333301E-2"/>
    <n v="0"/>
  </r>
  <r>
    <s v="EMP0391"/>
    <s v="Operations"/>
    <x v="3"/>
    <n v="7.9"/>
    <s v="G2"/>
    <n v="35"/>
    <s v="Bachelor"/>
    <s v="Bengaluru"/>
    <n v="2"/>
    <n v="12.5"/>
    <n v="8"/>
    <n v="2"/>
    <n v="12"/>
    <n v="0"/>
    <s v="Band B"/>
    <n v="38400"/>
    <n v="0"/>
    <n v="3.7"/>
    <n v="0.8"/>
    <n v="0"/>
    <n v="3.9"/>
    <n v="4.0999999999999996"/>
    <n v="3.1"/>
    <s v="Yes"/>
    <n v="0"/>
    <n v="0"/>
    <m/>
    <n v="0"/>
    <x v="0"/>
    <m/>
    <n v="1"/>
    <n v="0"/>
    <x v="1"/>
    <s v="5+ years"/>
    <s v="Moderate"/>
    <s v="3.6999999999999997"/>
    <s v="0.16666666666666666"/>
    <n v="0"/>
  </r>
  <r>
    <s v="EMP0392"/>
    <s v="Engineering"/>
    <x v="16"/>
    <n v="16.100000000000001"/>
    <s v="G2"/>
    <n v="40"/>
    <s v="Bachelor"/>
    <s v="Chennai"/>
    <n v="2"/>
    <n v="8.9"/>
    <n v="7"/>
    <n v="2"/>
    <n v="12"/>
    <n v="0"/>
    <s v="Band C"/>
    <n v="50700"/>
    <n v="2.7"/>
    <n v="2.2000000000000002"/>
    <n v="2.5"/>
    <n v="0"/>
    <n v="3.1"/>
    <n v="5"/>
    <n v="3.4"/>
    <s v="Yes"/>
    <n v="1"/>
    <n v="0"/>
    <m/>
    <n v="0"/>
    <x v="0"/>
    <m/>
    <n v="1"/>
    <n v="0"/>
    <x v="1"/>
    <s v="5+ years"/>
    <s v="Low"/>
    <s v="3.8333333333333335"/>
    <s v="0.16666666666666666"/>
    <n v="0"/>
  </r>
  <r>
    <s v="EMP0393"/>
    <s v="Finance"/>
    <x v="11"/>
    <n v="2.5"/>
    <s v="G5"/>
    <n v="27"/>
    <s v="Diploma"/>
    <s v="Remote"/>
    <n v="2"/>
    <n v="7.1"/>
    <n v="7"/>
    <n v="3"/>
    <n v="12"/>
    <n v="0"/>
    <s v="Band E"/>
    <n v="110200"/>
    <n v="4.0999999999999996"/>
    <n v="3.4"/>
    <n v="0.1"/>
    <n v="0"/>
    <n v="4.9000000000000004"/>
    <n v="3.1"/>
    <n v="4.5999999999999996"/>
    <s v="Yes"/>
    <n v="0"/>
    <n v="0"/>
    <m/>
    <n v="1"/>
    <x v="0"/>
    <m/>
    <n v="1"/>
    <n v="0"/>
    <x v="1"/>
    <s v="1â€“3 years"/>
    <s v="Low"/>
    <n v="4.2"/>
    <s v="0.16666666666666666"/>
    <n v="0"/>
  </r>
  <r>
    <s v="EMP0394"/>
    <s v="Operations"/>
    <x v="6"/>
    <n v="2.5"/>
    <s v="G5"/>
    <n v="30"/>
    <s v="Bachelor"/>
    <s v="Coimbatore"/>
    <n v="1"/>
    <n v="14.2"/>
    <n v="8"/>
    <n v="3"/>
    <n v="12"/>
    <n v="0"/>
    <s v="Band D"/>
    <n v="86800"/>
    <n v="11"/>
    <n v="3"/>
    <n v="2.7"/>
    <n v="0"/>
    <n v="3.2"/>
    <n v="3.3"/>
    <n v="2.7"/>
    <s v="Yes"/>
    <n v="0"/>
    <n v="2"/>
    <n v="1"/>
    <n v="1"/>
    <x v="0"/>
    <m/>
    <n v="0"/>
    <n v="0"/>
    <x v="0"/>
    <s v="1â€“3 years"/>
    <s v="Moderate"/>
    <s v="3.0666666666666664"/>
    <n v="8.3333333333333301E-2"/>
    <n v="0"/>
  </r>
  <r>
    <s v="EMP0395"/>
    <s v="Engineering"/>
    <x v="10"/>
    <n v="4.8"/>
    <s v="G5"/>
    <n v="29"/>
    <s v="Master"/>
    <s v="Chennai"/>
    <n v="2"/>
    <n v="3.2"/>
    <n v="18"/>
    <n v="2"/>
    <n v="12"/>
    <n v="0"/>
    <s v="Band D"/>
    <n v="78400"/>
    <n v="5"/>
    <n v="2.8"/>
    <n v="1.2"/>
    <n v="0"/>
    <n v="4.2"/>
    <n v="2.2000000000000002"/>
    <n v="4.5999999999999996"/>
    <s v="Yes"/>
    <n v="0"/>
    <n v="1"/>
    <n v="1.4"/>
    <n v="0"/>
    <x v="1"/>
    <d v="2024-09-07T00:00:00"/>
    <n v="0"/>
    <n v="0"/>
    <x v="0"/>
    <s v="3â€“5 years"/>
    <s v="Low"/>
    <s v="3.6666666666666665"/>
    <s v="0.16666666666666666"/>
    <n v="1"/>
  </r>
  <r>
    <s v="EMP0396"/>
    <s v="Hr"/>
    <x v="7"/>
    <n v="11.9"/>
    <s v="G2"/>
    <n v="39"/>
    <s v="Master"/>
    <s v="Chennai"/>
    <n v="2"/>
    <n v="14"/>
    <n v="9"/>
    <n v="3"/>
    <n v="12"/>
    <n v="0"/>
    <s v="Band B"/>
    <n v="48500"/>
    <n v="9.6"/>
    <n v="2.6"/>
    <n v="2.2000000000000002"/>
    <n v="0"/>
    <n v="3.5"/>
    <n v="2.6"/>
    <n v="2.5"/>
    <s v="Yes"/>
    <n v="0"/>
    <n v="1"/>
    <n v="4.9000000000000004"/>
    <n v="1"/>
    <x v="0"/>
    <m/>
    <n v="0"/>
    <n v="0"/>
    <x v="0"/>
    <s v="5+ years"/>
    <s v="Moderate"/>
    <s v="2.8666666666666667"/>
    <s v="0.16666666666666666"/>
    <n v="0"/>
  </r>
  <r>
    <s v="EMP0397"/>
    <s v="Customer Support"/>
    <x v="9"/>
    <n v="8.5"/>
    <s v="G1"/>
    <n v="41"/>
    <s v="Master"/>
    <s v="Coimbatore"/>
    <n v="2"/>
    <n v="11.6"/>
    <n v="8"/>
    <n v="2"/>
    <n v="12"/>
    <n v="0"/>
    <s v="Band A"/>
    <n v="31000"/>
    <n v="7.3"/>
    <n v="2.6"/>
    <n v="3.9"/>
    <n v="0"/>
    <n v="5"/>
    <n v="2.2000000000000002"/>
    <n v="3.1"/>
    <s v="Yes"/>
    <n v="0"/>
    <n v="1"/>
    <n v="3"/>
    <n v="1"/>
    <x v="0"/>
    <m/>
    <n v="0"/>
    <n v="0"/>
    <x v="0"/>
    <s v="5+ years"/>
    <s v="Moderate"/>
    <s v="3.4333333333333336"/>
    <s v="0.16666666666666666"/>
    <n v="0"/>
  </r>
  <r>
    <s v="EMP0398"/>
    <s v="Sales"/>
    <x v="13"/>
    <n v="6.5"/>
    <s v="G2"/>
    <n v="32"/>
    <s v="Doctorate"/>
    <s v="Remote"/>
    <n v="5"/>
    <n v="12.3"/>
    <n v="6"/>
    <n v="2"/>
    <n v="12"/>
    <n v="0"/>
    <s v="Band A"/>
    <n v="34000"/>
    <n v="8.3000000000000007"/>
    <n v="4.3"/>
    <n v="1.8"/>
    <n v="0"/>
    <n v="4"/>
    <n v="3.3"/>
    <n v="3.1"/>
    <s v="Yes"/>
    <n v="1"/>
    <n v="0"/>
    <m/>
    <n v="0"/>
    <x v="0"/>
    <m/>
    <n v="1"/>
    <n v="0"/>
    <x v="1"/>
    <s v="5+ years"/>
    <s v="Moderate"/>
    <s v="3.466666666666667"/>
    <s v="0.4166666666666667"/>
    <n v="0"/>
  </r>
  <r>
    <s v="EMP0399"/>
    <s v="Hr"/>
    <x v="1"/>
    <n v="8.9"/>
    <s v="G2"/>
    <n v="40"/>
    <s v="Master"/>
    <s v="Remote"/>
    <n v="2"/>
    <n v="4.2"/>
    <n v="14"/>
    <n v="3"/>
    <n v="12"/>
    <n v="0"/>
    <s v="Band A"/>
    <n v="26300"/>
    <n v="10"/>
    <n v="2.9"/>
    <n v="2.7"/>
    <n v="0"/>
    <n v="3.3"/>
    <n v="2.9"/>
    <n v="3.3"/>
    <s v="Yes"/>
    <n v="0"/>
    <n v="1"/>
    <n v="5.0999999999999996"/>
    <n v="1"/>
    <x v="0"/>
    <m/>
    <n v="0"/>
    <n v="0"/>
    <x v="0"/>
    <s v="5+ years"/>
    <s v="Low"/>
    <s v="3.1666666666666665"/>
    <s v="0.16666666666666666"/>
    <n v="0"/>
  </r>
  <r>
    <s v="EMP0400"/>
    <s v="Hr"/>
    <x v="15"/>
    <n v="5.3"/>
    <s v="G1"/>
    <n v="34"/>
    <s v="Bachelor"/>
    <s v="Chennai"/>
    <n v="10"/>
    <n v="25.8"/>
    <n v="8"/>
    <n v="1"/>
    <n v="12"/>
    <n v="0"/>
    <s v="Band A"/>
    <n v="26000"/>
    <n v="9.1"/>
    <n v="4.2"/>
    <n v="0.2"/>
    <n v="0"/>
    <n v="3.1"/>
    <n v="3.5"/>
    <n v="3.9"/>
    <s v="Yes"/>
    <n v="0"/>
    <n v="1"/>
    <n v="1.4"/>
    <n v="0"/>
    <x v="0"/>
    <m/>
    <n v="0"/>
    <n v="0"/>
    <x v="0"/>
    <s v="5+ years"/>
    <s v="High"/>
    <n v="3.5"/>
    <s v="0.8333333333333334"/>
    <n v="0"/>
  </r>
  <r>
    <s v="EMP0401"/>
    <s v="Sales"/>
    <x v="13"/>
    <n v="3"/>
    <s v="G1"/>
    <n v="23"/>
    <s v="Master"/>
    <s v="Coimbatore"/>
    <n v="2"/>
    <n v="5.6"/>
    <n v="11"/>
    <n v="3"/>
    <n v="12"/>
    <n v="0"/>
    <s v="Band A"/>
    <n v="26800"/>
    <n v="7.9"/>
    <n v="3.3"/>
    <n v="0.2"/>
    <n v="0"/>
    <n v="3.3"/>
    <n v="2.4"/>
    <n v="3.5"/>
    <s v="Yes"/>
    <n v="0"/>
    <n v="0"/>
    <m/>
    <n v="0"/>
    <x v="0"/>
    <m/>
    <n v="1"/>
    <n v="0"/>
    <x v="1"/>
    <s v="1â€“3 years"/>
    <s v="Low"/>
    <s v="3.0666666666666664"/>
    <s v="0.16666666666666666"/>
    <n v="0"/>
  </r>
  <r>
    <s v="EMP0402"/>
    <s v="Customer Support"/>
    <x v="2"/>
    <n v="13.8"/>
    <s v="G2"/>
    <n v="35"/>
    <s v="Master"/>
    <s v="Chennai"/>
    <n v="3"/>
    <n v="6.4"/>
    <n v="10"/>
    <n v="2"/>
    <n v="12"/>
    <n v="0"/>
    <s v="Band B"/>
    <n v="38500"/>
    <n v="9.3000000000000007"/>
    <n v="2.2000000000000002"/>
    <n v="0.9"/>
    <n v="0"/>
    <n v="2.6"/>
    <n v="3"/>
    <n v="3.9"/>
    <s v="No"/>
    <n v="0"/>
    <n v="1"/>
    <n v="5.6"/>
    <n v="1"/>
    <x v="0"/>
    <m/>
    <n v="0"/>
    <n v="0"/>
    <x v="0"/>
    <s v="5+ years"/>
    <s v="Low"/>
    <s v="3.1666666666666665"/>
    <n v="0.25"/>
    <n v="0"/>
  </r>
  <r>
    <s v="EMP0403"/>
    <s v="Operations"/>
    <x v="0"/>
    <n v="5"/>
    <s v="G2"/>
    <n v="28"/>
    <s v="Master"/>
    <s v="Coimbatore"/>
    <n v="1"/>
    <n v="8.6"/>
    <n v="9"/>
    <n v="1"/>
    <n v="12"/>
    <n v="0"/>
    <s v="Band B"/>
    <n v="43000"/>
    <n v="8.9"/>
    <n v="3.4"/>
    <n v="0.6"/>
    <n v="0"/>
    <n v="2.1"/>
    <n v="2.2999999999999998"/>
    <n v="3.1"/>
    <s v="Yes"/>
    <n v="0"/>
    <n v="1"/>
    <n v="4.5999999999999996"/>
    <n v="0"/>
    <x v="1"/>
    <d v="2025-10-19T00:00:00"/>
    <n v="0"/>
    <n v="0"/>
    <x v="0"/>
    <s v="3â€“5 years"/>
    <s v="Low"/>
    <n v="2.5"/>
    <n v="8.3333333333333301E-2"/>
    <n v="1"/>
  </r>
  <r>
    <s v="EMP0404"/>
    <s v="Engineering"/>
    <x v="12"/>
    <n v="7.8"/>
    <s v="G1"/>
    <n v="30"/>
    <s v="Bachelor"/>
    <s v="Bengaluru"/>
    <n v="2"/>
    <n v="15.9"/>
    <n v="9"/>
    <n v="3"/>
    <n v="12"/>
    <n v="0"/>
    <s v="Band A"/>
    <n v="27500"/>
    <n v="7.2"/>
    <n v="2.1"/>
    <n v="1.9"/>
    <n v="0"/>
    <n v="3.6"/>
    <n v="3.4"/>
    <n v="3.7"/>
    <s v="Yes"/>
    <n v="0"/>
    <n v="0"/>
    <m/>
    <n v="0"/>
    <x v="0"/>
    <m/>
    <n v="1"/>
    <n v="0"/>
    <x v="1"/>
    <s v="5+ years"/>
    <s v="Moderate"/>
    <s v="3.5666666666666664"/>
    <s v="0.16666666666666666"/>
    <n v="0"/>
  </r>
  <r>
    <s v="EMP0405"/>
    <s v="Customer Support"/>
    <x v="2"/>
    <n v="0.3"/>
    <s v="G3"/>
    <n v="26"/>
    <s v="Diploma"/>
    <s v="Chennai"/>
    <n v="3"/>
    <n v="12"/>
    <n v="11"/>
    <n v="5"/>
    <n v="12"/>
    <n v="0"/>
    <s v="Band C"/>
    <n v="52100"/>
    <n v="6.3"/>
    <n v="3.7"/>
    <n v="1.9"/>
    <n v="0"/>
    <n v="2.8"/>
    <n v="1.7"/>
    <n v="3.5"/>
    <s v="Yes"/>
    <n v="0"/>
    <n v="0"/>
    <m/>
    <n v="0"/>
    <x v="0"/>
    <m/>
    <n v="1"/>
    <n v="0"/>
    <x v="1"/>
    <s v="0â€“1 years"/>
    <s v="Moderate"/>
    <s v="2.6666666666666665"/>
    <n v="0.25"/>
    <n v="0"/>
  </r>
  <r>
    <s v="EMP0406"/>
    <s v="Customer Support"/>
    <x v="9"/>
    <n v="0.4"/>
    <s v="G2"/>
    <n v="29"/>
    <s v="Master"/>
    <s v="Bengaluru"/>
    <n v="3"/>
    <n v="1.9"/>
    <n v="13"/>
    <n v="0"/>
    <n v="12"/>
    <n v="0"/>
    <s v="Band B"/>
    <n v="48800"/>
    <n v="15.5"/>
    <n v="3"/>
    <n v="3.2"/>
    <n v="0"/>
    <n v="2.8"/>
    <n v="3.3"/>
    <n v="2.2999999999999998"/>
    <s v="Yes"/>
    <n v="0"/>
    <n v="2"/>
    <n v="0.5"/>
    <n v="3"/>
    <x v="1"/>
    <d v="2025-03-27T00:00:00"/>
    <n v="0"/>
    <n v="0"/>
    <x v="0"/>
    <s v="0â€“1 years"/>
    <s v="Low"/>
    <s v="2.7999999999999994"/>
    <n v="0.25"/>
    <n v="1"/>
  </r>
  <r>
    <s v="EMP0407"/>
    <s v="Sales"/>
    <x v="8"/>
    <n v="4.2"/>
    <s v="G4"/>
    <n v="35"/>
    <s v="Bachelor"/>
    <s v="Hyderabad"/>
    <n v="1"/>
    <n v="9.9"/>
    <n v="11"/>
    <n v="4"/>
    <n v="12"/>
    <n v="0"/>
    <s v="Band C"/>
    <n v="73300"/>
    <n v="6.2"/>
    <n v="4"/>
    <n v="1.2"/>
    <n v="0"/>
    <n v="3.2"/>
    <n v="2.9"/>
    <n v="3.8"/>
    <s v="Yes"/>
    <n v="0"/>
    <n v="0"/>
    <m/>
    <n v="1"/>
    <x v="0"/>
    <m/>
    <n v="1"/>
    <n v="0"/>
    <x v="1"/>
    <s v="3â€“5 years"/>
    <s v="Low"/>
    <s v="3.2999999999999994"/>
    <n v="8.3333333333333301E-2"/>
    <n v="0"/>
  </r>
  <r>
    <s v="EMP0408"/>
    <s v="Customer Support"/>
    <x v="9"/>
    <n v="1.8"/>
    <s v="G2"/>
    <n v="29"/>
    <s v="Bachelor"/>
    <s v="Chennai"/>
    <n v="6"/>
    <n v="10.6"/>
    <n v="7"/>
    <n v="2"/>
    <n v="12"/>
    <n v="0"/>
    <s v="Band B"/>
    <n v="37500"/>
    <n v="13.5"/>
    <n v="4.5"/>
    <n v="0.2"/>
    <n v="0"/>
    <n v="3.3"/>
    <n v="3.4"/>
    <n v="3.5"/>
    <s v="Yes"/>
    <n v="0"/>
    <n v="0"/>
    <m/>
    <n v="0"/>
    <x v="0"/>
    <m/>
    <n v="1"/>
    <n v="0"/>
    <x v="1"/>
    <s v="1â€“3 years"/>
    <s v="Moderate"/>
    <n v="3.4"/>
    <n v="0.5"/>
    <n v="0"/>
  </r>
  <r>
    <s v="EMP0409"/>
    <s v="Engineering"/>
    <x v="10"/>
    <n v="4.5"/>
    <s v="G3"/>
    <n v="29"/>
    <s v="Bachelor"/>
    <s v="Chennai"/>
    <n v="0"/>
    <n v="26.3"/>
    <n v="9"/>
    <n v="0"/>
    <n v="12"/>
    <n v="0"/>
    <s v="Band C"/>
    <n v="53300"/>
    <n v="5.3"/>
    <n v="1.6"/>
    <n v="3.3"/>
    <n v="0"/>
    <n v="3.3"/>
    <n v="1.7"/>
    <n v="2.8"/>
    <s v="No"/>
    <n v="0"/>
    <n v="2"/>
    <n v="0.2"/>
    <n v="0"/>
    <x v="0"/>
    <m/>
    <n v="0"/>
    <n v="0"/>
    <x v="0"/>
    <s v="3â€“5 years"/>
    <s v="High"/>
    <n v="2.6"/>
    <n v="0"/>
    <n v="0"/>
  </r>
  <r>
    <s v="EMP0410"/>
    <s v="Customer Support"/>
    <x v="5"/>
    <n v="2.5"/>
    <s v="G1"/>
    <n v="21"/>
    <s v="Bachelor"/>
    <s v="Chennai"/>
    <n v="3"/>
    <n v="7.6"/>
    <n v="8"/>
    <n v="3"/>
    <n v="12"/>
    <n v="0"/>
    <s v="Band A"/>
    <n v="30500"/>
    <n v="11.2"/>
    <n v="2.8"/>
    <n v="3.1"/>
    <n v="0"/>
    <n v="4.9000000000000004"/>
    <n v="3.8"/>
    <n v="3.1"/>
    <s v="Yes"/>
    <n v="0"/>
    <n v="2"/>
    <n v="2.1"/>
    <n v="0"/>
    <x v="0"/>
    <m/>
    <n v="0"/>
    <n v="0"/>
    <x v="0"/>
    <s v="1â€“3 years"/>
    <s v="Low"/>
    <s v="3.933333333333333"/>
    <n v="0.25"/>
    <n v="0"/>
  </r>
  <r>
    <s v="EMP0411"/>
    <s v="Operations"/>
    <x v="3"/>
    <n v="17.600000000000001"/>
    <s v="G2"/>
    <n v="44"/>
    <s v="Diploma"/>
    <s v="Chennai"/>
    <n v="2"/>
    <n v="14.9"/>
    <n v="14"/>
    <n v="3"/>
    <n v="12"/>
    <n v="0"/>
    <s v="Band B"/>
    <n v="50000"/>
    <n v="15.1"/>
    <n v="2.1"/>
    <n v="0.9"/>
    <n v="0"/>
    <n v="3.9"/>
    <n v="2.9"/>
    <n v="3.1"/>
    <s v="Yes"/>
    <n v="0"/>
    <n v="1"/>
    <n v="6.7"/>
    <n v="1"/>
    <x v="0"/>
    <m/>
    <n v="0"/>
    <n v="0"/>
    <x v="0"/>
    <s v="5+ years"/>
    <s v="Moderate"/>
    <s v="3.3000000000000003"/>
    <s v="0.16666666666666666"/>
    <n v="0"/>
  </r>
  <r>
    <s v="EMP0412"/>
    <s v="Operations"/>
    <x v="6"/>
    <n v="7.4"/>
    <s v="G1"/>
    <n v="34"/>
    <s v="Doctorate"/>
    <s v="Chennai"/>
    <n v="4"/>
    <n v="45"/>
    <n v="12"/>
    <n v="2"/>
    <n v="12"/>
    <n v="0"/>
    <s v="Band A"/>
    <n v="26600"/>
    <n v="6.6"/>
    <n v="5"/>
    <n v="3.2"/>
    <n v="0"/>
    <n v="5"/>
    <n v="3.4"/>
    <n v="3.2"/>
    <s v="Yes"/>
    <n v="0"/>
    <n v="0"/>
    <m/>
    <n v="0"/>
    <x v="0"/>
    <m/>
    <n v="1"/>
    <n v="0"/>
    <x v="1"/>
    <s v="5+ years"/>
    <s v="High"/>
    <s v="3.866666666666667"/>
    <s v="0.3333333333333333"/>
    <n v="0"/>
  </r>
  <r>
    <s v="EMP0413"/>
    <s v="Engineering"/>
    <x v="4"/>
    <n v="9.4"/>
    <s v="G1"/>
    <n v="36"/>
    <s v="Master"/>
    <s v="Bengaluru"/>
    <n v="2"/>
    <n v="23.1"/>
    <n v="9"/>
    <n v="1"/>
    <n v="12"/>
    <n v="0"/>
    <s v="Band A"/>
    <n v="29600"/>
    <n v="5.3"/>
    <n v="2.8"/>
    <n v="1"/>
    <n v="0"/>
    <n v="2.9"/>
    <n v="1.5"/>
    <n v="4.8"/>
    <s v="Yes"/>
    <n v="0"/>
    <n v="2"/>
    <n v="4.3"/>
    <n v="1"/>
    <x v="0"/>
    <m/>
    <n v="0"/>
    <n v="0"/>
    <x v="0"/>
    <s v="5+ years"/>
    <s v="High"/>
    <s v="3.0666666666666664"/>
    <s v="0.16666666666666666"/>
    <n v="0"/>
  </r>
  <r>
    <s v="EMP0414"/>
    <s v="Customer Support"/>
    <x v="2"/>
    <n v="0.5"/>
    <s v="G3"/>
    <n v="35"/>
    <s v="Master"/>
    <s v="Chennai"/>
    <n v="1"/>
    <n v="3.9"/>
    <n v="10"/>
    <n v="4"/>
    <n v="12"/>
    <n v="0"/>
    <s v="Band B"/>
    <n v="47800"/>
    <n v="6.3"/>
    <n v="2"/>
    <n v="0.4"/>
    <n v="0"/>
    <n v="4"/>
    <n v="2.1"/>
    <n v="5"/>
    <s v="Yes"/>
    <n v="0"/>
    <n v="0"/>
    <m/>
    <n v="2"/>
    <x v="0"/>
    <m/>
    <n v="1"/>
    <n v="0"/>
    <x v="1"/>
    <s v="0â€“1 years"/>
    <s v="Low"/>
    <s v="3.6999999999999997"/>
    <n v="8.3333333333333301E-2"/>
    <n v="0"/>
  </r>
  <r>
    <s v="EMP0415"/>
    <s v="Engineering"/>
    <x v="10"/>
    <n v="6.4"/>
    <s v="G2"/>
    <n v="37"/>
    <s v="Bachelor"/>
    <s v="Bengaluru"/>
    <n v="2"/>
    <n v="17.600000000000001"/>
    <n v="8"/>
    <n v="4"/>
    <n v="12"/>
    <n v="0"/>
    <s v="Band B"/>
    <n v="39100"/>
    <n v="7.9"/>
    <n v="5"/>
    <n v="2.6"/>
    <n v="0"/>
    <n v="3"/>
    <n v="2.8"/>
    <n v="1.2"/>
    <s v="Yes"/>
    <n v="0"/>
    <n v="0"/>
    <m/>
    <n v="1"/>
    <x v="0"/>
    <m/>
    <n v="1"/>
    <n v="0"/>
    <x v="1"/>
    <s v="5+ years"/>
    <s v="Moderate"/>
    <s v="2.3333333333333335"/>
    <s v="0.16666666666666666"/>
    <n v="0"/>
  </r>
  <r>
    <s v="EMP0416"/>
    <s v="Sales"/>
    <x v="8"/>
    <n v="3.3"/>
    <s v="G1"/>
    <n v="32"/>
    <s v="Bachelor"/>
    <s v="Hyderabad"/>
    <n v="3"/>
    <n v="14.1"/>
    <n v="7"/>
    <n v="1"/>
    <n v="12"/>
    <n v="0"/>
    <s v="Band A"/>
    <n v="34800"/>
    <n v="9.3000000000000007"/>
    <n v="2.5"/>
    <n v="0.6"/>
    <n v="0"/>
    <n v="2.8"/>
    <n v="4.4000000000000004"/>
    <n v="3.8"/>
    <s v="Yes"/>
    <n v="0"/>
    <n v="0"/>
    <m/>
    <n v="0"/>
    <x v="0"/>
    <m/>
    <n v="1"/>
    <n v="0"/>
    <x v="1"/>
    <s v="3â€“5 years"/>
    <s v="Moderate"/>
    <s v="3.6666666666666665"/>
    <n v="0.25"/>
    <n v="0"/>
  </r>
  <r>
    <s v="EMP0417"/>
    <s v="Engineering"/>
    <x v="12"/>
    <n v="9.5"/>
    <s v="G5"/>
    <n v="32"/>
    <s v="Bachelor"/>
    <s v="Remote"/>
    <n v="6"/>
    <n v="7.4"/>
    <n v="10"/>
    <n v="1"/>
    <n v="12"/>
    <n v="0"/>
    <s v="Band E"/>
    <n v="113500"/>
    <n v="7.8"/>
    <n v="1.7"/>
    <n v="2.9"/>
    <n v="0"/>
    <n v="5"/>
    <n v="3.7"/>
    <n v="4.2"/>
    <s v="No"/>
    <n v="0"/>
    <n v="1"/>
    <n v="4.3"/>
    <n v="1"/>
    <x v="0"/>
    <m/>
    <n v="0"/>
    <n v="0"/>
    <x v="0"/>
    <s v="5+ years"/>
    <s v="Low"/>
    <n v="4.3"/>
    <n v="0.5"/>
    <n v="0"/>
  </r>
  <r>
    <s v="EMP0418"/>
    <s v="Operations"/>
    <x v="6"/>
    <n v="5.8"/>
    <s v="G1"/>
    <n v="30"/>
    <s v="Bachelor"/>
    <s v="Bengaluru"/>
    <n v="4"/>
    <n v="17.7"/>
    <n v="7"/>
    <n v="1"/>
    <n v="12"/>
    <n v="0"/>
    <s v="Band A"/>
    <n v="29300"/>
    <n v="6.3"/>
    <n v="2.2000000000000002"/>
    <n v="0.3"/>
    <n v="0"/>
    <n v="2.6"/>
    <n v="3.3"/>
    <n v="3.2"/>
    <s v="Yes"/>
    <n v="0"/>
    <n v="0"/>
    <m/>
    <n v="0"/>
    <x v="0"/>
    <m/>
    <n v="1"/>
    <n v="0"/>
    <x v="1"/>
    <s v="5+ years"/>
    <s v="Moderate"/>
    <s v="3.0333333333333337"/>
    <s v="0.3333333333333333"/>
    <n v="0"/>
  </r>
  <r>
    <s v="EMP0419"/>
    <s v="Engineering"/>
    <x v="10"/>
    <n v="3.6"/>
    <s v="G3"/>
    <n v="29"/>
    <s v="Diploma"/>
    <s v="Chennai"/>
    <n v="2"/>
    <n v="3.9"/>
    <n v="10"/>
    <n v="0"/>
    <n v="12"/>
    <n v="0"/>
    <s v="Band C"/>
    <n v="61200"/>
    <n v="15.8"/>
    <n v="3.3"/>
    <n v="5.7"/>
    <n v="0"/>
    <n v="1.3"/>
    <n v="2.4"/>
    <n v="4.0999999999999996"/>
    <s v="Yes"/>
    <n v="0"/>
    <n v="1"/>
    <n v="2.2999999999999998"/>
    <n v="0"/>
    <x v="0"/>
    <m/>
    <n v="0"/>
    <n v="0"/>
    <x v="0"/>
    <s v="3â€“5 years"/>
    <s v="Low"/>
    <n v="2.6"/>
    <s v="0.16666666666666666"/>
    <n v="0"/>
  </r>
  <r>
    <s v="EMP0420"/>
    <s v="Customer Support"/>
    <x v="2"/>
    <n v="1.3"/>
    <s v="G3"/>
    <n v="24"/>
    <s v="Master"/>
    <s v="Chennai"/>
    <n v="2"/>
    <n v="5.7"/>
    <n v="10"/>
    <n v="2"/>
    <n v="12"/>
    <n v="0"/>
    <s v="Band C"/>
    <n v="53200"/>
    <n v="7.2"/>
    <n v="3.2"/>
    <n v="0.9"/>
    <n v="0"/>
    <n v="2.7"/>
    <n v="2.2000000000000002"/>
    <n v="4.7"/>
    <s v="Yes"/>
    <n v="0"/>
    <n v="0"/>
    <m/>
    <n v="0"/>
    <x v="0"/>
    <m/>
    <n v="1"/>
    <n v="0"/>
    <x v="1"/>
    <s v="1â€“3 years"/>
    <s v="Low"/>
    <s v="3.2000000000000006"/>
    <s v="0.16666666666666666"/>
    <n v="0"/>
  </r>
  <r>
    <s v="EMP0421"/>
    <s v="Operations"/>
    <x v="6"/>
    <n v="4.2"/>
    <s v="G2"/>
    <n v="32"/>
    <s v="Doctorate"/>
    <s v="Chennai"/>
    <n v="3"/>
    <n v="8.6999999999999993"/>
    <n v="14"/>
    <n v="5"/>
    <n v="12"/>
    <n v="0"/>
    <s v="Band A"/>
    <n v="31500"/>
    <n v="5.5"/>
    <n v="2.4"/>
    <n v="0.8"/>
    <n v="0"/>
    <n v="1.5"/>
    <n v="3.4"/>
    <n v="2.2999999999999998"/>
    <s v="Yes"/>
    <n v="0"/>
    <n v="1"/>
    <n v="3"/>
    <n v="1"/>
    <x v="0"/>
    <m/>
    <n v="0"/>
    <n v="0"/>
    <x v="0"/>
    <s v="3â€“5 years"/>
    <s v="Low"/>
    <n v="2.4"/>
    <n v="0.25"/>
    <n v="0"/>
  </r>
  <r>
    <s v="EMP0422"/>
    <s v="Engineering"/>
    <x v="4"/>
    <n v="8.1"/>
    <s v="G2"/>
    <n v="36"/>
    <s v="Bachelor"/>
    <s v="Remote"/>
    <n v="3"/>
    <n v="7.1"/>
    <n v="13"/>
    <n v="2"/>
    <n v="12"/>
    <n v="0"/>
    <s v="Band B"/>
    <n v="49800"/>
    <n v="11.3"/>
    <n v="2.8"/>
    <n v="2.5"/>
    <n v="0"/>
    <n v="2.4"/>
    <n v="3.8"/>
    <n v="3.5"/>
    <s v="Yes"/>
    <n v="0"/>
    <n v="0"/>
    <m/>
    <n v="0"/>
    <x v="0"/>
    <m/>
    <n v="1"/>
    <n v="0"/>
    <x v="1"/>
    <s v="5+ years"/>
    <s v="Low"/>
    <s v="3.233333333333333"/>
    <n v="0.25"/>
    <n v="0"/>
  </r>
  <r>
    <s v="EMP0423"/>
    <s v="Engineering"/>
    <x v="16"/>
    <n v="9.9"/>
    <s v="G1"/>
    <n v="32"/>
    <s v="Bachelor"/>
    <s v="Remote"/>
    <n v="2"/>
    <n v="16.3"/>
    <n v="7"/>
    <n v="0"/>
    <n v="12"/>
    <n v="0"/>
    <s v="Band A"/>
    <n v="30700"/>
    <n v="11.4"/>
    <n v="3.2"/>
    <n v="1.8"/>
    <n v="0"/>
    <n v="2.5"/>
    <n v="3.4"/>
    <n v="5"/>
    <s v="Yes"/>
    <n v="0"/>
    <n v="0"/>
    <m/>
    <n v="1"/>
    <x v="0"/>
    <m/>
    <n v="1"/>
    <n v="0"/>
    <x v="1"/>
    <s v="5+ years"/>
    <s v="Moderate"/>
    <s v="3.6333333333333333"/>
    <s v="0.16666666666666666"/>
    <n v="0"/>
  </r>
  <r>
    <s v="EMP0424"/>
    <s v="Engineering"/>
    <x v="4"/>
    <n v="2.9"/>
    <s v="G3"/>
    <n v="34"/>
    <s v="Bachelor"/>
    <s v="Coimbatore"/>
    <n v="2"/>
    <n v="9.6999999999999993"/>
    <n v="12"/>
    <n v="2"/>
    <n v="12"/>
    <n v="0"/>
    <s v="Band B"/>
    <n v="38400"/>
    <n v="13.6"/>
    <n v="4.4000000000000004"/>
    <n v="0.9"/>
    <n v="0"/>
    <n v="3.3"/>
    <n v="4.7"/>
    <n v="2.4"/>
    <s v="Yes"/>
    <n v="0"/>
    <n v="0"/>
    <m/>
    <n v="0"/>
    <x v="0"/>
    <m/>
    <n v="1"/>
    <n v="0"/>
    <x v="1"/>
    <s v="1â€“3 years"/>
    <s v="Low"/>
    <s v="3.466666666666667"/>
    <s v="0.16666666666666666"/>
    <n v="0"/>
  </r>
  <r>
    <s v="EMP0425"/>
    <s v="Operations"/>
    <x v="3"/>
    <n v="15.8"/>
    <s v="G2"/>
    <n v="42"/>
    <s v="Diploma"/>
    <s v="Chennai"/>
    <n v="6"/>
    <n v="6.5"/>
    <n v="14"/>
    <n v="0"/>
    <n v="12"/>
    <n v="0"/>
    <s v="Band B"/>
    <n v="37100"/>
    <n v="15.7"/>
    <n v="3.5"/>
    <n v="0.8"/>
    <n v="0"/>
    <n v="1.5"/>
    <n v="2.6"/>
    <n v="3.3"/>
    <s v="Yes"/>
    <n v="0"/>
    <n v="2"/>
    <n v="10.5"/>
    <n v="0"/>
    <x v="0"/>
    <m/>
    <n v="0"/>
    <n v="0"/>
    <x v="0"/>
    <s v="5+ years"/>
    <s v="Low"/>
    <s v="2.4666666666666663"/>
    <n v="0.5"/>
    <n v="0"/>
  </r>
  <r>
    <s v="EMP0426"/>
    <s v="Operations"/>
    <x v="3"/>
    <n v="7.7"/>
    <s v="G1"/>
    <n v="27"/>
    <s v="Bachelor"/>
    <s v="Coimbatore"/>
    <n v="4"/>
    <n v="22.9"/>
    <n v="15"/>
    <n v="2"/>
    <n v="12"/>
    <n v="0"/>
    <s v="Band A"/>
    <n v="34500"/>
    <n v="9.4"/>
    <n v="2.7"/>
    <n v="4.4000000000000004"/>
    <n v="0"/>
    <n v="4.4000000000000004"/>
    <n v="3.4"/>
    <n v="3"/>
    <s v="Yes"/>
    <n v="0"/>
    <n v="0"/>
    <m/>
    <n v="1"/>
    <x v="0"/>
    <m/>
    <n v="1"/>
    <n v="0"/>
    <x v="1"/>
    <s v="5+ years"/>
    <s v="High"/>
    <n v="3.6"/>
    <s v="0.3333333333333333"/>
    <n v="0"/>
  </r>
  <r>
    <s v="EMP0427"/>
    <s v="Engineering"/>
    <x v="16"/>
    <n v="1.8"/>
    <s v="G2"/>
    <n v="28"/>
    <s v="Bachelor"/>
    <s v="Chennai"/>
    <n v="4"/>
    <n v="15.9"/>
    <n v="4"/>
    <n v="1"/>
    <n v="12"/>
    <n v="0"/>
    <s v="Band A"/>
    <n v="30800"/>
    <n v="6.8"/>
    <n v="3"/>
    <n v="1.1000000000000001"/>
    <n v="0"/>
    <n v="1.6"/>
    <n v="1.7"/>
    <n v="4.2"/>
    <s v="Yes"/>
    <n v="0"/>
    <n v="0"/>
    <m/>
    <n v="0"/>
    <x v="0"/>
    <m/>
    <n v="1"/>
    <n v="0"/>
    <x v="1"/>
    <s v="1â€“3 years"/>
    <s v="Moderate"/>
    <n v="2.5"/>
    <s v="0.3333333333333333"/>
    <n v="0"/>
  </r>
  <r>
    <s v="EMP0428"/>
    <s v="Customer Support"/>
    <x v="2"/>
    <n v="1.5"/>
    <s v="G4"/>
    <n v="29"/>
    <s v="Bachelor"/>
    <s v="Remote"/>
    <n v="1"/>
    <n v="2.4"/>
    <n v="8"/>
    <n v="2"/>
    <n v="12"/>
    <n v="0"/>
    <s v="Band D"/>
    <n v="81300"/>
    <n v="0.4"/>
    <n v="3.9"/>
    <n v="1.2"/>
    <n v="0"/>
    <n v="3.2"/>
    <n v="3.4"/>
    <n v="4.4000000000000004"/>
    <s v="Yes"/>
    <n v="0"/>
    <n v="2"/>
    <n v="0.9"/>
    <n v="0"/>
    <x v="0"/>
    <m/>
    <n v="0"/>
    <n v="0"/>
    <x v="0"/>
    <s v="1â€“3 years"/>
    <s v="Low"/>
    <s v="3.6666666666666665"/>
    <n v="8.3333333333333301E-2"/>
    <n v="0"/>
  </r>
  <r>
    <s v="EMP0429"/>
    <s v="Engineering"/>
    <x v="4"/>
    <n v="3.4"/>
    <s v="G4"/>
    <n v="33"/>
    <s v="Bachelor"/>
    <s v="Chennai"/>
    <n v="2"/>
    <n v="2.2999999999999998"/>
    <n v="12"/>
    <n v="0"/>
    <n v="12"/>
    <n v="0"/>
    <s v="Band C"/>
    <n v="72200"/>
    <n v="4.2"/>
    <n v="4.7"/>
    <n v="0.3"/>
    <n v="0"/>
    <n v="3"/>
    <n v="4.5"/>
    <n v="3.5"/>
    <s v="Yes"/>
    <n v="0"/>
    <n v="0"/>
    <m/>
    <n v="0"/>
    <x v="0"/>
    <m/>
    <n v="1"/>
    <n v="0"/>
    <x v="1"/>
    <s v="3â€“5 years"/>
    <s v="Low"/>
    <s v="3.6666666666666665"/>
    <s v="0.16666666666666666"/>
    <n v="0"/>
  </r>
  <r>
    <s v="EMP0430"/>
    <s v="Operations"/>
    <x v="6"/>
    <n v="2.8"/>
    <s v="G5"/>
    <n v="27"/>
    <s v="Master"/>
    <s v="Coimbatore"/>
    <n v="7"/>
    <n v="6.5"/>
    <n v="13"/>
    <n v="4"/>
    <n v="12"/>
    <n v="0"/>
    <s v="Band D"/>
    <n v="104400"/>
    <n v="8.8000000000000007"/>
    <n v="2.2000000000000002"/>
    <n v="3.7"/>
    <n v="0"/>
    <n v="4"/>
    <n v="2.2999999999999998"/>
    <n v="3.4"/>
    <s v="No"/>
    <n v="0"/>
    <n v="2"/>
    <n v="1.8"/>
    <n v="2"/>
    <x v="0"/>
    <m/>
    <n v="0"/>
    <n v="0"/>
    <x v="0"/>
    <s v="1â€“3 years"/>
    <s v="Low"/>
    <s v="3.233333333333333"/>
    <s v="0.5833333333333334"/>
    <n v="0"/>
  </r>
  <r>
    <s v="EMP0431"/>
    <s v="Customer Support"/>
    <x v="5"/>
    <n v="5.3"/>
    <s v="G3"/>
    <n v="35"/>
    <s v="Bachelor"/>
    <s v="Coimbatore"/>
    <n v="2"/>
    <n v="2.7"/>
    <n v="7"/>
    <n v="2"/>
    <n v="12"/>
    <n v="0"/>
    <s v="Band C"/>
    <n v="52900"/>
    <n v="3.3"/>
    <n v="4.2"/>
    <n v="0.5"/>
    <n v="0"/>
    <n v="3.6"/>
    <n v="4"/>
    <n v="2"/>
    <s v="No"/>
    <n v="0"/>
    <n v="0"/>
    <m/>
    <n v="0"/>
    <x v="0"/>
    <m/>
    <n v="1"/>
    <n v="0"/>
    <x v="1"/>
    <s v="5+ years"/>
    <s v="Low"/>
    <s v="3.1999999999999997"/>
    <s v="0.16666666666666666"/>
    <n v="0"/>
  </r>
  <r>
    <s v="EMP0432"/>
    <s v="Operations"/>
    <x v="3"/>
    <n v="3.9"/>
    <s v="G3"/>
    <n v="31"/>
    <s v="Diploma"/>
    <s v="Chennai"/>
    <n v="3"/>
    <n v="20.3"/>
    <n v="10"/>
    <n v="2"/>
    <n v="12"/>
    <n v="0"/>
    <s v="Band C"/>
    <n v="56800"/>
    <n v="1.7"/>
    <n v="2.9"/>
    <n v="0.4"/>
    <n v="0"/>
    <n v="4.4000000000000004"/>
    <n v="4.5"/>
    <n v="4.5"/>
    <s v="Yes"/>
    <n v="0"/>
    <n v="0"/>
    <m/>
    <n v="0"/>
    <x v="0"/>
    <m/>
    <n v="1"/>
    <n v="0"/>
    <x v="1"/>
    <s v="3â€“5 years"/>
    <s v="High"/>
    <s v="4.466666666666667"/>
    <n v="0.25"/>
    <n v="0"/>
  </r>
  <r>
    <s v="EMP0433"/>
    <s v="Operations"/>
    <x v="6"/>
    <n v="3"/>
    <s v="G2"/>
    <n v="24"/>
    <s v="Diploma"/>
    <s v="Coimbatore"/>
    <n v="2"/>
    <n v="5.9"/>
    <n v="7"/>
    <n v="1"/>
    <n v="12"/>
    <n v="0"/>
    <s v="Band B"/>
    <n v="40000"/>
    <n v="8.3000000000000007"/>
    <n v="1.7"/>
    <n v="2.8"/>
    <n v="0"/>
    <n v="3"/>
    <n v="2.6"/>
    <n v="3.1"/>
    <s v="Yes"/>
    <n v="0"/>
    <n v="1"/>
    <n v="0.6"/>
    <n v="0"/>
    <x v="0"/>
    <m/>
    <n v="0"/>
    <n v="0"/>
    <x v="0"/>
    <s v="1â€“3 years"/>
    <s v="Low"/>
    <n v="2.9"/>
    <s v="0.16666666666666666"/>
    <n v="0"/>
  </r>
  <r>
    <s v="EMP0434"/>
    <s v="Customer Support"/>
    <x v="5"/>
    <n v="0.9"/>
    <s v="G4"/>
    <n v="21"/>
    <s v="Bachelor"/>
    <s v="Hyderabad"/>
    <n v="5"/>
    <n v="14.9"/>
    <n v="6"/>
    <n v="5"/>
    <n v="12"/>
    <n v="0"/>
    <s v="Band C"/>
    <n v="69700"/>
    <n v="11.1"/>
    <n v="1.6"/>
    <n v="1.5"/>
    <n v="0"/>
    <n v="3.3"/>
    <n v="3.6"/>
    <n v="3.3"/>
    <s v="Yes"/>
    <n v="1"/>
    <n v="0"/>
    <m/>
    <n v="0"/>
    <x v="0"/>
    <m/>
    <n v="1"/>
    <n v="0"/>
    <x v="1"/>
    <s v="0â€“1 years"/>
    <s v="Moderate"/>
    <n v="3.4"/>
    <s v="0.4166666666666667"/>
    <n v="0"/>
  </r>
  <r>
    <s v="EMP0435"/>
    <s v="Engineering"/>
    <x v="10"/>
    <n v="5.9"/>
    <s v="G2"/>
    <n v="36"/>
    <s v="Bachelor"/>
    <s v="Chennai"/>
    <n v="4"/>
    <n v="17.399999999999999"/>
    <n v="14"/>
    <n v="2"/>
    <n v="12"/>
    <n v="0"/>
    <s v="Band B"/>
    <n v="35100"/>
    <n v="7"/>
    <n v="4.4000000000000004"/>
    <n v="0.8"/>
    <n v="0"/>
    <n v="3.7"/>
    <n v="4.5999999999999996"/>
    <n v="4.2"/>
    <s v="Yes"/>
    <n v="0"/>
    <n v="1"/>
    <n v="2.8"/>
    <n v="0"/>
    <x v="1"/>
    <d v="2024-02-20T00:00:00"/>
    <n v="0"/>
    <n v="0"/>
    <x v="0"/>
    <s v="5+ years"/>
    <s v="Moderate"/>
    <s v="4.166666666666667"/>
    <s v="0.3333333333333333"/>
    <n v="1"/>
  </r>
  <r>
    <s v="EMP0436"/>
    <s v="Engineering"/>
    <x v="12"/>
    <n v="0.8"/>
    <s v="G2"/>
    <n v="32"/>
    <s v="Master"/>
    <s v="Bengaluru"/>
    <n v="1"/>
    <n v="1.2"/>
    <n v="14"/>
    <n v="0"/>
    <n v="12"/>
    <n v="0"/>
    <s v="Band B"/>
    <n v="39600"/>
    <n v="11.6"/>
    <n v="4.5"/>
    <n v="1"/>
    <n v="0"/>
    <n v="4.2"/>
    <n v="3.4"/>
    <n v="3.6"/>
    <s v="Yes"/>
    <n v="0"/>
    <n v="0"/>
    <m/>
    <n v="0"/>
    <x v="0"/>
    <m/>
    <n v="1"/>
    <n v="0"/>
    <x v="1"/>
    <s v="0â€“1 years"/>
    <s v="Low"/>
    <s v="3.733333333333333"/>
    <n v="8.3333333333333301E-2"/>
    <n v="0"/>
  </r>
  <r>
    <s v="EMP0437"/>
    <s v="Engineering"/>
    <x v="12"/>
    <n v="7.7"/>
    <s v="G3"/>
    <n v="35"/>
    <s v="Master"/>
    <s v="Coimbatore"/>
    <n v="0"/>
    <n v="6.2"/>
    <n v="8"/>
    <n v="2"/>
    <n v="12"/>
    <n v="0"/>
    <s v="Band B"/>
    <n v="44100"/>
    <n v="10.5"/>
    <n v="2.7"/>
    <n v="0.5"/>
    <n v="0"/>
    <n v="4"/>
    <n v="3.9"/>
    <n v="4.2"/>
    <s v="Yes"/>
    <n v="0"/>
    <n v="0"/>
    <m/>
    <n v="1"/>
    <x v="0"/>
    <m/>
    <n v="1"/>
    <n v="0"/>
    <x v="1"/>
    <s v="5+ years"/>
    <s v="Low"/>
    <s v="4.033333333333334"/>
    <n v="0"/>
    <n v="0"/>
  </r>
  <r>
    <s v="EMP0438"/>
    <s v="Finance"/>
    <x v="17"/>
    <n v="0.5"/>
    <s v="G3"/>
    <n v="32"/>
    <s v="Bachelor"/>
    <s v="Chennai"/>
    <n v="6"/>
    <n v="8.4"/>
    <n v="9"/>
    <n v="1"/>
    <n v="12"/>
    <n v="0"/>
    <s v="Band C"/>
    <n v="57800"/>
    <n v="12.6"/>
    <n v="3"/>
    <n v="0.6"/>
    <n v="0"/>
    <n v="3.6"/>
    <n v="1.6"/>
    <n v="3.9"/>
    <s v="Yes"/>
    <n v="0"/>
    <n v="0"/>
    <m/>
    <n v="0"/>
    <x v="0"/>
    <m/>
    <n v="1"/>
    <n v="0"/>
    <x v="1"/>
    <s v="0â€“1 years"/>
    <s v="Low"/>
    <s v="3.033333333333333"/>
    <n v="0.5"/>
    <n v="0"/>
  </r>
  <r>
    <s v="EMP0439"/>
    <s v="Operations"/>
    <x v="0"/>
    <n v="0.8"/>
    <s v="G1"/>
    <n v="31"/>
    <s v="Bachelor"/>
    <s v="Chennai"/>
    <n v="2"/>
    <n v="12.4"/>
    <n v="6"/>
    <n v="2"/>
    <n v="12"/>
    <n v="0"/>
    <s v="Band A"/>
    <n v="28700"/>
    <n v="16.7"/>
    <n v="1.6"/>
    <n v="0.1"/>
    <n v="0"/>
    <n v="3.5"/>
    <n v="3.3"/>
    <n v="3.6"/>
    <s v="No"/>
    <n v="1"/>
    <n v="0"/>
    <m/>
    <n v="0"/>
    <x v="0"/>
    <m/>
    <n v="1"/>
    <n v="0"/>
    <x v="1"/>
    <s v="0â€“1 years"/>
    <s v="Moderate"/>
    <s v="3.466666666666667"/>
    <s v="0.16666666666666666"/>
    <n v="0"/>
  </r>
  <r>
    <s v="EMP0440"/>
    <s v="Operations"/>
    <x v="6"/>
    <n v="1.8"/>
    <s v="G2"/>
    <n v="31"/>
    <s v="Bachelor"/>
    <s v="Chennai"/>
    <n v="1"/>
    <n v="19.5"/>
    <n v="11"/>
    <n v="1"/>
    <n v="12"/>
    <n v="0"/>
    <s v="Band B"/>
    <n v="40100"/>
    <n v="18.5"/>
    <n v="3.9"/>
    <n v="2.5"/>
    <n v="0"/>
    <n v="3.3"/>
    <n v="3.7"/>
    <n v="3.6"/>
    <s v="Yes"/>
    <n v="0"/>
    <n v="1"/>
    <n v="1.6"/>
    <n v="0"/>
    <x v="0"/>
    <m/>
    <n v="0"/>
    <n v="0"/>
    <x v="0"/>
    <s v="1â€“3 years"/>
    <s v="Moderate"/>
    <s v="3.533333333333333"/>
    <n v="8.3333333333333301E-2"/>
    <n v="0"/>
  </r>
  <r>
    <s v="EMP0441"/>
    <s v="Customer Support"/>
    <x v="2"/>
    <n v="2.7"/>
    <s v="G2"/>
    <n v="25"/>
    <s v="Bachelor"/>
    <s v="Chennai"/>
    <n v="1"/>
    <n v="43.5"/>
    <n v="5"/>
    <n v="3"/>
    <n v="12"/>
    <n v="0"/>
    <s v="Band A"/>
    <n v="26300"/>
    <n v="10.9"/>
    <n v="3.2"/>
    <n v="0.9"/>
    <n v="0"/>
    <n v="3.7"/>
    <n v="2"/>
    <n v="2.5"/>
    <s v="No"/>
    <n v="0"/>
    <n v="3"/>
    <n v="1.5"/>
    <n v="0"/>
    <x v="0"/>
    <m/>
    <n v="0"/>
    <n v="0"/>
    <x v="0"/>
    <s v="1â€“3 years"/>
    <s v="High"/>
    <s v="2.733333333333333"/>
    <n v="8.3333333333333301E-2"/>
    <n v="0"/>
  </r>
  <r>
    <s v="EMP0442"/>
    <s v="Engineering"/>
    <x v="16"/>
    <n v="2.2000000000000002"/>
    <s v="G4"/>
    <n v="35"/>
    <s v="Bachelor"/>
    <s v="Coimbatore"/>
    <n v="3"/>
    <n v="31.3"/>
    <n v="14"/>
    <n v="1"/>
    <n v="12"/>
    <n v="0"/>
    <s v="Band C"/>
    <n v="60700"/>
    <n v="6.2"/>
    <n v="1.8"/>
    <n v="2.9"/>
    <n v="0"/>
    <n v="5"/>
    <n v="2.2999999999999998"/>
    <n v="3.3"/>
    <s v="Yes"/>
    <n v="0"/>
    <n v="0"/>
    <m/>
    <n v="0"/>
    <x v="1"/>
    <d v="2025-11-19T00:00:00"/>
    <n v="1"/>
    <n v="0"/>
    <x v="1"/>
    <s v="1â€“3 years"/>
    <s v="High"/>
    <s v="3.533333333333333"/>
    <n v="0.25"/>
    <n v="1"/>
  </r>
  <r>
    <s v="EMP0443"/>
    <s v="Operations"/>
    <x v="6"/>
    <n v="2.6"/>
    <s v="G2"/>
    <n v="31"/>
    <s v="Master"/>
    <s v="Hyderabad"/>
    <n v="6"/>
    <n v="9.6"/>
    <n v="8"/>
    <n v="2"/>
    <n v="12"/>
    <n v="0"/>
    <s v="Band B"/>
    <n v="36000"/>
    <n v="8.1999999999999993"/>
    <n v="3.4"/>
    <n v="0.3"/>
    <n v="0"/>
    <n v="3.1"/>
    <n v="3.7"/>
    <n v="4.3"/>
    <s v="Yes"/>
    <n v="0"/>
    <n v="3"/>
    <n v="1.2"/>
    <n v="1"/>
    <x v="0"/>
    <m/>
    <n v="0"/>
    <n v="0"/>
    <x v="0"/>
    <s v="1â€“3 years"/>
    <s v="Low"/>
    <s v="3.7000000000000006"/>
    <n v="0.5"/>
    <n v="0"/>
  </r>
  <r>
    <s v="EMP0444"/>
    <s v="Engineering"/>
    <x v="16"/>
    <n v="4.5999999999999996"/>
    <s v="G4"/>
    <n v="29"/>
    <s v="Bachelor"/>
    <s v="Bengaluru"/>
    <n v="1"/>
    <n v="9.5"/>
    <n v="15"/>
    <n v="1"/>
    <n v="12"/>
    <n v="0"/>
    <s v="Band D"/>
    <n v="78600"/>
    <n v="14.3"/>
    <n v="1.9"/>
    <n v="2.1"/>
    <n v="0"/>
    <n v="3"/>
    <n v="2.9"/>
    <n v="3.4"/>
    <s v="No"/>
    <n v="1"/>
    <n v="0"/>
    <m/>
    <n v="0"/>
    <x v="0"/>
    <m/>
    <n v="1"/>
    <n v="0"/>
    <x v="1"/>
    <s v="3â€“5 years"/>
    <s v="Low"/>
    <n v="3.1"/>
    <n v="8.3333333333333301E-2"/>
    <n v="0"/>
  </r>
  <r>
    <s v="EMP0445"/>
    <s v="Sales"/>
    <x v="8"/>
    <n v="1.8"/>
    <s v="G2"/>
    <n v="25"/>
    <s v="Bachelor"/>
    <s v="Remote"/>
    <n v="1"/>
    <n v="29"/>
    <n v="9"/>
    <n v="2"/>
    <n v="12"/>
    <n v="0"/>
    <s v="Band A"/>
    <n v="33700"/>
    <n v="4.4000000000000004"/>
    <n v="3.7"/>
    <n v="0.4"/>
    <n v="0"/>
    <n v="2.9"/>
    <n v="4.2"/>
    <n v="2.8"/>
    <s v="Yes"/>
    <n v="0"/>
    <n v="0"/>
    <m/>
    <n v="0"/>
    <x v="0"/>
    <m/>
    <n v="1"/>
    <n v="0"/>
    <x v="1"/>
    <s v="1â€“3 years"/>
    <s v="High"/>
    <s v="3.2999999999999994"/>
    <n v="8.3333333333333301E-2"/>
    <n v="0"/>
  </r>
  <r>
    <s v="EMP0446"/>
    <s v="Operations"/>
    <x v="0"/>
    <n v="4.5999999999999996"/>
    <s v="G3"/>
    <n v="32"/>
    <s v="Bachelor"/>
    <s v="Coimbatore"/>
    <n v="0"/>
    <n v="10"/>
    <n v="9"/>
    <n v="5"/>
    <n v="12"/>
    <n v="0"/>
    <s v="Band C"/>
    <n v="70500"/>
    <n v="13.8"/>
    <n v="2.2000000000000002"/>
    <n v="0.6"/>
    <n v="0"/>
    <n v="3.7"/>
    <n v="3.5"/>
    <n v="2.7"/>
    <s v="Yes"/>
    <n v="0"/>
    <n v="0"/>
    <m/>
    <n v="0"/>
    <x v="0"/>
    <m/>
    <n v="1"/>
    <n v="0"/>
    <x v="1"/>
    <s v="3â€“5 years"/>
    <s v="Low"/>
    <s v="3.3000000000000003"/>
    <n v="0"/>
    <n v="0"/>
  </r>
  <r>
    <s v="EMP0447"/>
    <s v="Customer Support"/>
    <x v="9"/>
    <n v="0.3"/>
    <s v="G1"/>
    <n v="21"/>
    <s v="Bachelor"/>
    <s v="Bengaluru"/>
    <n v="5"/>
    <n v="6.1"/>
    <n v="5"/>
    <n v="2"/>
    <n v="12"/>
    <n v="0"/>
    <s v="Band A"/>
    <n v="27100"/>
    <n v="7.3"/>
    <n v="3.5"/>
    <n v="1.1000000000000001"/>
    <n v="0"/>
    <n v="1.4"/>
    <n v="3.3"/>
    <n v="3.5"/>
    <s v="Yes"/>
    <n v="0"/>
    <n v="2"/>
    <n v="0.4"/>
    <n v="1"/>
    <x v="0"/>
    <m/>
    <n v="0"/>
    <n v="0"/>
    <x v="0"/>
    <s v="0â€“1 years"/>
    <s v="Low"/>
    <s v="2.733333333333333"/>
    <s v="0.4166666666666667"/>
    <n v="0"/>
  </r>
  <r>
    <s v="EMP0448"/>
    <s v="Operations"/>
    <x v="3"/>
    <n v="1.8"/>
    <s v="G5"/>
    <n v="31"/>
    <s v="Master"/>
    <s v="Bengaluru"/>
    <n v="2"/>
    <n v="20.5"/>
    <n v="4"/>
    <n v="3"/>
    <n v="12"/>
    <n v="0"/>
    <s v="Band D"/>
    <n v="83400"/>
    <n v="8.9"/>
    <n v="2.6"/>
    <n v="5.5"/>
    <n v="0"/>
    <n v="3.2"/>
    <n v="3"/>
    <n v="4.5"/>
    <s v="Yes"/>
    <n v="0"/>
    <n v="1"/>
    <n v="0.4"/>
    <n v="1"/>
    <x v="0"/>
    <m/>
    <n v="0"/>
    <n v="0"/>
    <x v="0"/>
    <s v="1â€“3 years"/>
    <s v="High"/>
    <s v="3.5666666666666664"/>
    <s v="0.16666666666666666"/>
    <n v="0"/>
  </r>
  <r>
    <s v="EMP0449"/>
    <s v="Engineering"/>
    <x v="4"/>
    <n v="0.7"/>
    <s v="G2"/>
    <n v="23"/>
    <s v="Diploma"/>
    <s v="Chennai"/>
    <n v="5"/>
    <n v="12.9"/>
    <n v="5"/>
    <n v="4"/>
    <n v="12"/>
    <n v="0"/>
    <s v="Band B"/>
    <n v="37100"/>
    <n v="4.8"/>
    <n v="1.1000000000000001"/>
    <n v="0.8"/>
    <n v="0"/>
    <n v="4.0999999999999996"/>
    <n v="3.5"/>
    <n v="3.8"/>
    <s v="Yes"/>
    <n v="0"/>
    <n v="0"/>
    <m/>
    <n v="0"/>
    <x v="0"/>
    <m/>
    <n v="1"/>
    <n v="0"/>
    <x v="1"/>
    <s v="0â€“1 years"/>
    <s v="Moderate"/>
    <s v="3.7999999999999994"/>
    <s v="0.4166666666666667"/>
    <n v="0"/>
  </r>
  <r>
    <s v="EMP0450"/>
    <s v="Operations"/>
    <x v="6"/>
    <n v="7.7"/>
    <s v="G2"/>
    <n v="35"/>
    <s v="Diploma"/>
    <s v="Chennai"/>
    <n v="0"/>
    <n v="2.2999999999999998"/>
    <n v="10"/>
    <n v="4"/>
    <n v="12"/>
    <n v="0"/>
    <s v="Band B"/>
    <n v="36500"/>
    <n v="2.7"/>
    <n v="4.0999999999999996"/>
    <n v="1.1000000000000001"/>
    <n v="0"/>
    <n v="2.8"/>
    <n v="3.9"/>
    <n v="1.7"/>
    <s v="No"/>
    <n v="0"/>
    <n v="0"/>
    <m/>
    <n v="0"/>
    <x v="1"/>
    <d v="2024-12-02T00:00:00"/>
    <n v="1"/>
    <n v="0"/>
    <x v="1"/>
    <s v="5+ years"/>
    <s v="Low"/>
    <s v="2.7999999999999994"/>
    <n v="0"/>
    <n v="1"/>
  </r>
  <r>
    <s v="EMP0451"/>
    <s v="Engineering"/>
    <x v="4"/>
    <n v="2"/>
    <s v="G2"/>
    <n v="26"/>
    <s v="Bachelor"/>
    <s v="Coimbatore"/>
    <n v="0"/>
    <n v="7.7"/>
    <n v="4"/>
    <n v="0"/>
    <n v="12"/>
    <n v="0"/>
    <s v="Band A"/>
    <n v="32600"/>
    <n v="6.9"/>
    <n v="4.0999999999999996"/>
    <n v="1.5"/>
    <n v="0"/>
    <n v="3.5"/>
    <n v="3.7"/>
    <n v="3.9"/>
    <s v="Yes"/>
    <n v="0"/>
    <n v="2"/>
    <n v="0.1"/>
    <n v="0"/>
    <x v="0"/>
    <m/>
    <n v="0"/>
    <n v="0"/>
    <x v="0"/>
    <s v="1â€“3 years"/>
    <s v="Low"/>
    <s v="3.6999999999999997"/>
    <n v="0"/>
    <n v="0"/>
  </r>
  <r>
    <s v="EMP0452"/>
    <s v="Customer Support"/>
    <x v="9"/>
    <n v="5.7"/>
    <s v="G2"/>
    <n v="31"/>
    <s v="Master"/>
    <s v="Hyderabad"/>
    <n v="2"/>
    <n v="2.8"/>
    <n v="10"/>
    <n v="1"/>
    <n v="12"/>
    <n v="0"/>
    <s v="Band B"/>
    <n v="45000"/>
    <n v="13.2"/>
    <n v="2.7"/>
    <n v="1"/>
    <n v="0"/>
    <n v="5"/>
    <n v="2.8"/>
    <n v="3"/>
    <s v="Yes"/>
    <n v="0"/>
    <n v="1"/>
    <n v="1.6"/>
    <n v="0"/>
    <x v="0"/>
    <m/>
    <n v="0"/>
    <n v="0"/>
    <x v="0"/>
    <s v="5+ years"/>
    <s v="Low"/>
    <n v="3.6"/>
    <s v="0.16666666666666666"/>
    <n v="0"/>
  </r>
  <r>
    <s v="EMP0453"/>
    <s v="Operations"/>
    <x v="6"/>
    <n v="0.6"/>
    <s v="G2"/>
    <n v="24"/>
    <s v="Bachelor"/>
    <s v="Coimbatore"/>
    <n v="0"/>
    <n v="0.4"/>
    <n v="9"/>
    <n v="2"/>
    <n v="12"/>
    <n v="0"/>
    <s v="Band B"/>
    <n v="40300"/>
    <n v="5.2"/>
    <n v="3.4"/>
    <n v="0.3"/>
    <n v="0"/>
    <n v="3.6"/>
    <n v="4.3"/>
    <n v="3.8"/>
    <s v="Yes"/>
    <n v="0"/>
    <n v="2"/>
    <n v="0.1"/>
    <n v="0"/>
    <x v="0"/>
    <m/>
    <n v="0"/>
    <n v="0"/>
    <x v="0"/>
    <s v="0â€“1 years"/>
    <s v="Low"/>
    <n v="3.9"/>
    <n v="0"/>
    <n v="0"/>
  </r>
  <r>
    <s v="EMP0454"/>
    <s v="Engineering"/>
    <x v="10"/>
    <n v="9.8000000000000007"/>
    <s v="G3"/>
    <n v="35"/>
    <s v="Bachelor"/>
    <s v="Chennai"/>
    <n v="5"/>
    <n v="34.299999999999997"/>
    <n v="8"/>
    <n v="2"/>
    <n v="12"/>
    <n v="0"/>
    <s v="Band C"/>
    <n v="61700"/>
    <n v="14.5"/>
    <n v="3.6"/>
    <n v="3.1"/>
    <n v="0"/>
    <n v="1.3"/>
    <n v="3.8"/>
    <n v="3.3"/>
    <s v="Yes"/>
    <n v="0"/>
    <n v="1"/>
    <n v="0.8"/>
    <n v="0"/>
    <x v="0"/>
    <m/>
    <n v="0"/>
    <n v="0"/>
    <x v="0"/>
    <s v="5+ years"/>
    <s v="High"/>
    <s v="2.7999999999999994"/>
    <s v="0.4166666666666667"/>
    <n v="0"/>
  </r>
  <r>
    <s v="EMP0455"/>
    <s v="Engineering"/>
    <x v="4"/>
    <n v="4"/>
    <s v="G5"/>
    <n v="38"/>
    <s v="Bachelor"/>
    <s v="Remote"/>
    <n v="4"/>
    <n v="11.1"/>
    <n v="11"/>
    <n v="1"/>
    <n v="12"/>
    <n v="0"/>
    <s v="Band E"/>
    <n v="112800"/>
    <n v="5.7"/>
    <n v="3.6"/>
    <n v="0.7"/>
    <n v="0"/>
    <n v="2"/>
    <n v="3.5"/>
    <n v="2.7"/>
    <s v="Yes"/>
    <n v="0"/>
    <n v="1"/>
    <n v="0.6"/>
    <n v="1"/>
    <x v="0"/>
    <m/>
    <n v="0"/>
    <n v="0"/>
    <x v="0"/>
    <s v="3â€“5 years"/>
    <s v="Moderate"/>
    <s v="2.733333333333333"/>
    <s v="0.3333333333333333"/>
    <n v="0"/>
  </r>
  <r>
    <s v="EMP0456"/>
    <s v="Engineering"/>
    <x v="10"/>
    <n v="3.7"/>
    <s v="G3"/>
    <n v="35"/>
    <s v="Diploma"/>
    <s v="Chennai"/>
    <n v="4"/>
    <n v="7.9"/>
    <n v="8"/>
    <n v="1"/>
    <n v="12"/>
    <n v="0"/>
    <s v="Band C"/>
    <n v="56400"/>
    <n v="3.7"/>
    <n v="4.8"/>
    <n v="0.2"/>
    <n v="0"/>
    <n v="3.1"/>
    <n v="3.3"/>
    <n v="3.3"/>
    <s v="Yes"/>
    <n v="0"/>
    <n v="0"/>
    <m/>
    <n v="0"/>
    <x v="0"/>
    <m/>
    <n v="1"/>
    <n v="0"/>
    <x v="1"/>
    <s v="3â€“5 years"/>
    <s v="Low"/>
    <s v="3.233333333333333"/>
    <s v="0.3333333333333333"/>
    <n v="0"/>
  </r>
  <r>
    <s v="EMP0457"/>
    <s v="Customer Support"/>
    <x v="9"/>
    <n v="0.9"/>
    <s v="G3"/>
    <n v="28"/>
    <s v="Master"/>
    <s v="Remote"/>
    <n v="1"/>
    <n v="6.5"/>
    <n v="8"/>
    <n v="2"/>
    <n v="12"/>
    <n v="0"/>
    <s v="Band B"/>
    <n v="45300"/>
    <n v="9"/>
    <n v="3.6"/>
    <n v="1.6"/>
    <n v="0"/>
    <n v="2.6"/>
    <n v="3.7"/>
    <n v="3"/>
    <s v="Yes"/>
    <n v="0"/>
    <n v="1"/>
    <n v="0.3"/>
    <n v="1"/>
    <x v="0"/>
    <m/>
    <n v="0"/>
    <n v="0"/>
    <x v="0"/>
    <s v="0â€“1 years"/>
    <s v="Low"/>
    <n v="3.1"/>
    <n v="8.3333333333333301E-2"/>
    <n v="0"/>
  </r>
  <r>
    <s v="EMP0458"/>
    <s v="Hr"/>
    <x v="15"/>
    <n v="1.6"/>
    <s v="G2"/>
    <n v="27"/>
    <s v="Bachelor"/>
    <s v="Hyderabad"/>
    <n v="3"/>
    <n v="10.199999999999999"/>
    <n v="12"/>
    <n v="4"/>
    <n v="12"/>
    <n v="0"/>
    <s v="Band B"/>
    <n v="41200"/>
    <n v="10.7"/>
    <n v="2.9"/>
    <n v="3.3"/>
    <n v="0"/>
    <n v="3.4"/>
    <n v="1.6"/>
    <n v="3.6"/>
    <s v="Yes"/>
    <n v="0"/>
    <n v="0"/>
    <m/>
    <n v="0"/>
    <x v="0"/>
    <m/>
    <n v="1"/>
    <n v="0"/>
    <x v="1"/>
    <s v="1â€“3 years"/>
    <s v="Moderate"/>
    <s v="2.8666666666666667"/>
    <n v="0.25"/>
    <n v="0"/>
  </r>
  <r>
    <s v="EMP0459"/>
    <s v="Operations"/>
    <x v="3"/>
    <n v="3.1"/>
    <s v="G4"/>
    <n v="32"/>
    <s v="Diploma"/>
    <s v="Hyderabad"/>
    <n v="2"/>
    <n v="6.4"/>
    <n v="9"/>
    <n v="3"/>
    <n v="12"/>
    <n v="0"/>
    <s v="Band C"/>
    <n v="61500"/>
    <n v="8.8000000000000007"/>
    <n v="3.6"/>
    <n v="0.5"/>
    <n v="0"/>
    <n v="3"/>
    <n v="3.4"/>
    <n v="2.7"/>
    <s v="Yes"/>
    <n v="0"/>
    <n v="1"/>
    <m/>
    <n v="0"/>
    <x v="0"/>
    <m/>
    <n v="1"/>
    <n v="0"/>
    <x v="0"/>
    <s v="3â€“5 years"/>
    <s v="Low"/>
    <s v="3.0333333333333337"/>
    <s v="0.16666666666666666"/>
    <n v="0"/>
  </r>
  <r>
    <s v="EMP0460"/>
    <s v="Operations"/>
    <x v="6"/>
    <n v="1.6"/>
    <s v="G4"/>
    <n v="32"/>
    <s v="Bachelor"/>
    <s v="Hyderabad"/>
    <n v="1"/>
    <n v="4"/>
    <n v="4"/>
    <n v="1"/>
    <n v="12"/>
    <n v="0"/>
    <s v="Band C"/>
    <n v="66000"/>
    <n v="8.6"/>
    <n v="2.8"/>
    <n v="0.9"/>
    <n v="0"/>
    <n v="4.3"/>
    <n v="4.7"/>
    <n v="2.5"/>
    <s v="Yes"/>
    <n v="0"/>
    <n v="1"/>
    <n v="0.1"/>
    <n v="0"/>
    <x v="0"/>
    <m/>
    <n v="0"/>
    <n v="0"/>
    <x v="0"/>
    <s v="1â€“3 years"/>
    <s v="Low"/>
    <s v="3.8333333333333335"/>
    <n v="8.3333333333333301E-2"/>
    <n v="0"/>
  </r>
  <r>
    <s v="EMP0461"/>
    <s v="Finance"/>
    <x v="11"/>
    <n v="7.2"/>
    <s v="G2"/>
    <n v="30"/>
    <s v="Diploma"/>
    <s v="Chennai"/>
    <n v="3"/>
    <n v="6.8"/>
    <n v="8"/>
    <n v="1"/>
    <n v="12"/>
    <n v="0"/>
    <s v="Band B"/>
    <n v="40700"/>
    <n v="14.4"/>
    <n v="2.2000000000000002"/>
    <n v="1.1000000000000001"/>
    <n v="0"/>
    <n v="2.2999999999999998"/>
    <n v="3.4"/>
    <n v="4"/>
    <s v="Yes"/>
    <n v="0"/>
    <n v="0"/>
    <m/>
    <n v="0"/>
    <x v="0"/>
    <m/>
    <n v="1"/>
    <n v="0"/>
    <x v="1"/>
    <s v="5+ years"/>
    <s v="Low"/>
    <s v="3.233333333333333"/>
    <n v="0.25"/>
    <n v="0"/>
  </r>
  <r>
    <s v="EMP0462"/>
    <s v="Engineering"/>
    <x v="16"/>
    <n v="3.9"/>
    <s v="G5"/>
    <n v="30"/>
    <s v="Diploma"/>
    <s v="Bengaluru"/>
    <n v="3"/>
    <n v="27"/>
    <n v="8"/>
    <n v="0"/>
    <n v="12"/>
    <n v="0"/>
    <s v="Band D"/>
    <n v="96000"/>
    <n v="8.4"/>
    <n v="4.3"/>
    <n v="0.7"/>
    <n v="0"/>
    <n v="3.1"/>
    <n v="3.3"/>
    <n v="4.3"/>
    <s v="Yes"/>
    <n v="0"/>
    <n v="1"/>
    <n v="1.7"/>
    <n v="0"/>
    <x v="0"/>
    <m/>
    <n v="0"/>
    <n v="0"/>
    <x v="0"/>
    <s v="3â€“5 years"/>
    <s v="High"/>
    <s v="3.5666666666666664"/>
    <n v="0.25"/>
    <n v="0"/>
  </r>
  <r>
    <s v="EMP0463"/>
    <s v="Customer Support"/>
    <x v="2"/>
    <n v="1.7"/>
    <s v="G2"/>
    <n v="21"/>
    <s v="Master"/>
    <s v="Bengaluru"/>
    <n v="1"/>
    <n v="20.2"/>
    <n v="12"/>
    <n v="0"/>
    <n v="12"/>
    <n v="0"/>
    <s v="Band A"/>
    <n v="29800"/>
    <n v="6.1"/>
    <n v="3.7"/>
    <n v="1.2"/>
    <n v="0"/>
    <n v="3.5"/>
    <n v="2.7"/>
    <n v="3.9"/>
    <s v="Yes"/>
    <n v="0"/>
    <n v="0"/>
    <m/>
    <n v="1"/>
    <x v="0"/>
    <m/>
    <n v="1"/>
    <n v="0"/>
    <x v="1"/>
    <s v="1â€“3 years"/>
    <s v="High"/>
    <s v="3.3666666666666667"/>
    <n v="8.3333333333333301E-2"/>
    <n v="0"/>
  </r>
  <r>
    <s v="EMP0464"/>
    <s v="Sales"/>
    <x v="8"/>
    <n v="6.4"/>
    <s v="G4"/>
    <n v="37"/>
    <s v="Bachelor"/>
    <s v="Bengaluru"/>
    <n v="1"/>
    <n v="6.8"/>
    <n v="7"/>
    <n v="2"/>
    <n v="12"/>
    <n v="0"/>
    <s v="Band C"/>
    <n v="66000"/>
    <n v="3.5"/>
    <n v="1.5"/>
    <n v="4.3"/>
    <n v="0"/>
    <n v="3.6"/>
    <n v="3.6"/>
    <n v="2.9"/>
    <s v="Yes"/>
    <n v="0"/>
    <n v="0"/>
    <m/>
    <n v="0"/>
    <x v="0"/>
    <m/>
    <n v="1"/>
    <n v="0"/>
    <x v="1"/>
    <s v="5+ years"/>
    <s v="Low"/>
    <s v="3.3666666666666667"/>
    <n v="8.3333333333333301E-2"/>
    <n v="0"/>
  </r>
  <r>
    <s v="EMP0465"/>
    <s v="Finance"/>
    <x v="11"/>
    <n v="2.8"/>
    <s v="G5"/>
    <n v="37"/>
    <s v="Bachelor"/>
    <s v="Chennai"/>
    <n v="4"/>
    <n v="36.700000000000003"/>
    <n v="3"/>
    <n v="3"/>
    <n v="12"/>
    <n v="0"/>
    <s v="Band D"/>
    <n v="95900"/>
    <n v="13.1"/>
    <n v="2.6"/>
    <n v="1.2"/>
    <n v="0"/>
    <n v="3.4"/>
    <n v="3"/>
    <n v="2.8"/>
    <s v="Yes"/>
    <n v="0"/>
    <n v="1"/>
    <n v="0.9"/>
    <n v="0"/>
    <x v="1"/>
    <d v="2025-02-17T00:00:00"/>
    <n v="0"/>
    <n v="0"/>
    <x v="0"/>
    <s v="1â€“3 years"/>
    <s v="High"/>
    <s v="3.0666666666666664"/>
    <s v="0.3333333333333333"/>
    <n v="1"/>
  </r>
  <r>
    <s v="EMP0466"/>
    <s v="Operations"/>
    <x v="6"/>
    <n v="6.3"/>
    <s v="G3"/>
    <n v="33"/>
    <s v="Bachelor"/>
    <s v="Chennai"/>
    <n v="0"/>
    <n v="9.5"/>
    <n v="8"/>
    <n v="2"/>
    <n v="12"/>
    <n v="0"/>
    <s v="Band C"/>
    <n v="51300"/>
    <n v="6.3"/>
    <n v="3.9"/>
    <n v="1.9"/>
    <n v="0"/>
    <n v="1.1000000000000001"/>
    <n v="4.4000000000000004"/>
    <n v="2.9"/>
    <s v="Yes"/>
    <n v="0"/>
    <n v="0"/>
    <m/>
    <n v="0"/>
    <x v="0"/>
    <m/>
    <n v="1"/>
    <n v="0"/>
    <x v="1"/>
    <s v="5+ years"/>
    <s v="Low"/>
    <s v="2.8000000000000003"/>
    <n v="0"/>
    <n v="0"/>
  </r>
  <r>
    <s v="EMP0467"/>
    <s v="Operations"/>
    <x v="6"/>
    <n v="2.5"/>
    <s v="G1"/>
    <n v="21"/>
    <s v="Master"/>
    <s v="Chennai"/>
    <n v="5"/>
    <n v="4.9000000000000004"/>
    <n v="8"/>
    <n v="2"/>
    <n v="12"/>
    <n v="0"/>
    <s v="Band A"/>
    <n v="32000"/>
    <n v="6.7"/>
    <n v="1.8"/>
    <n v="0.8"/>
    <n v="0"/>
    <n v="3.4"/>
    <n v="2.4"/>
    <n v="4.0999999999999996"/>
    <s v="Yes"/>
    <n v="0"/>
    <n v="1"/>
    <n v="1.7"/>
    <n v="0"/>
    <x v="0"/>
    <m/>
    <n v="0"/>
    <n v="0"/>
    <x v="0"/>
    <s v="1â€“3 years"/>
    <s v="Low"/>
    <s v="3.2999999999999994"/>
    <s v="0.4166666666666667"/>
    <n v="0"/>
  </r>
  <r>
    <s v="EMP0468"/>
    <s v="Customer Support"/>
    <x v="9"/>
    <n v="5.4"/>
    <s v="G3"/>
    <n v="34"/>
    <s v="Diploma"/>
    <s v="Coimbatore"/>
    <n v="2"/>
    <n v="13.3"/>
    <n v="9"/>
    <n v="1"/>
    <n v="12"/>
    <n v="0"/>
    <s v="Band C"/>
    <n v="63200"/>
    <n v="12.2"/>
    <n v="2.5"/>
    <n v="1.5"/>
    <n v="0"/>
    <n v="3.2"/>
    <n v="2.8"/>
    <n v="2.7"/>
    <s v="Yes"/>
    <n v="0"/>
    <n v="0"/>
    <m/>
    <n v="0"/>
    <x v="0"/>
    <m/>
    <n v="1"/>
    <n v="0"/>
    <x v="1"/>
    <s v="5+ years"/>
    <s v="Moderate"/>
    <n v="2.9"/>
    <s v="0.16666666666666666"/>
    <n v="0"/>
  </r>
  <r>
    <s v="EMP0469"/>
    <s v="Engineering"/>
    <x v="16"/>
    <n v="2.7"/>
    <s v="G1"/>
    <n v="25"/>
    <s v="Diploma"/>
    <s v="Bengaluru"/>
    <n v="3"/>
    <n v="30.1"/>
    <n v="11"/>
    <n v="2"/>
    <n v="12"/>
    <n v="0"/>
    <s v="Band A"/>
    <n v="24500"/>
    <n v="16.2"/>
    <n v="5"/>
    <n v="1.7"/>
    <n v="0"/>
    <n v="4.0999999999999996"/>
    <n v="2.7"/>
    <n v="4.0999999999999996"/>
    <s v="Yes"/>
    <n v="0"/>
    <n v="0"/>
    <m/>
    <n v="0"/>
    <x v="0"/>
    <m/>
    <n v="1"/>
    <n v="0"/>
    <x v="1"/>
    <s v="1â€“3 years"/>
    <s v="High"/>
    <s v="3.633333333333333"/>
    <n v="0.25"/>
    <n v="0"/>
  </r>
  <r>
    <s v="EMP0470"/>
    <s v="Finance"/>
    <x v="18"/>
    <n v="7.2"/>
    <s v="G4"/>
    <n v="31"/>
    <s v="Bachelor"/>
    <s v="Hyderabad"/>
    <n v="4"/>
    <n v="26.1"/>
    <n v="6"/>
    <n v="2"/>
    <n v="12"/>
    <n v="0"/>
    <s v="Band D"/>
    <n v="76000"/>
    <n v="9"/>
    <n v="2.9"/>
    <n v="2.4"/>
    <n v="0"/>
    <n v="4"/>
    <n v="4.9000000000000004"/>
    <n v="3.9"/>
    <s v="Yes"/>
    <n v="0"/>
    <n v="0"/>
    <m/>
    <n v="0"/>
    <x v="0"/>
    <m/>
    <n v="1"/>
    <n v="0"/>
    <x v="1"/>
    <s v="5+ years"/>
    <s v="High"/>
    <s v="4.266666666666667"/>
    <s v="0.3333333333333333"/>
    <n v="0"/>
  </r>
  <r>
    <s v="EMP0471"/>
    <s v="Sales"/>
    <x v="14"/>
    <n v="0.6"/>
    <s v="G2"/>
    <n v="29"/>
    <s v="Bachelor"/>
    <s v="Hyderabad"/>
    <n v="3"/>
    <n v="5.2"/>
    <n v="7"/>
    <n v="0"/>
    <n v="12"/>
    <n v="0"/>
    <s v="Band B"/>
    <n v="45200"/>
    <n v="7.5"/>
    <n v="4.2"/>
    <n v="0.7"/>
    <n v="0"/>
    <n v="3.5"/>
    <n v="3"/>
    <n v="4.4000000000000004"/>
    <s v="Yes"/>
    <n v="0"/>
    <n v="0"/>
    <m/>
    <n v="0"/>
    <x v="0"/>
    <m/>
    <n v="1"/>
    <n v="0"/>
    <x v="1"/>
    <s v="0â€“1 years"/>
    <s v="Low"/>
    <s v="3.6333333333333333"/>
    <n v="0.25"/>
    <n v="0"/>
  </r>
  <r>
    <s v="EMP0472"/>
    <s v="Hr"/>
    <x v="1"/>
    <n v="1.2"/>
    <s v="G3"/>
    <n v="28"/>
    <s v="Doctorate"/>
    <s v="Bengaluru"/>
    <n v="2"/>
    <n v="3.2"/>
    <n v="8"/>
    <n v="2"/>
    <n v="12"/>
    <n v="0"/>
    <s v="Band C"/>
    <n v="51200"/>
    <n v="8"/>
    <n v="4.5999999999999996"/>
    <n v="1"/>
    <n v="0"/>
    <n v="3.6"/>
    <n v="2.7"/>
    <n v="4.3"/>
    <s v="Yes"/>
    <n v="0"/>
    <n v="1"/>
    <m/>
    <n v="0"/>
    <x v="0"/>
    <m/>
    <n v="1"/>
    <n v="0"/>
    <x v="0"/>
    <s v="1â€“3 years"/>
    <s v="Low"/>
    <s v="3.5333333333333337"/>
    <s v="0.16666666666666666"/>
    <n v="0"/>
  </r>
  <r>
    <s v="EMP0473"/>
    <s v="Engineering"/>
    <x v="10"/>
    <n v="3.3"/>
    <s v="G4"/>
    <n v="27"/>
    <s v="Bachelor"/>
    <s v="Chennai"/>
    <n v="6"/>
    <n v="7.3"/>
    <n v="14"/>
    <n v="4"/>
    <n v="12"/>
    <n v="0"/>
    <s v="Band C"/>
    <n v="67900"/>
    <n v="6.2"/>
    <n v="2.4"/>
    <n v="2.6"/>
    <n v="0"/>
    <n v="4.5"/>
    <n v="1.3"/>
    <n v="3.8"/>
    <s v="No"/>
    <n v="0"/>
    <n v="0"/>
    <m/>
    <n v="0"/>
    <x v="0"/>
    <m/>
    <n v="1"/>
    <n v="0"/>
    <x v="1"/>
    <s v="3â€“5 years"/>
    <s v="Low"/>
    <s v="3.1999999999999997"/>
    <n v="0.5"/>
    <n v="0"/>
  </r>
  <r>
    <s v="EMP0474"/>
    <s v="Engineering"/>
    <x v="16"/>
    <n v="2.1"/>
    <s v="G1"/>
    <n v="26"/>
    <s v="Diploma"/>
    <s v="Coimbatore"/>
    <n v="2"/>
    <n v="15.1"/>
    <n v="6"/>
    <n v="1"/>
    <n v="12"/>
    <n v="0"/>
    <s v="Band A"/>
    <n v="30900"/>
    <n v="6.6"/>
    <n v="3.4"/>
    <n v="0.8"/>
    <n v="0"/>
    <n v="4.3"/>
    <n v="2.4"/>
    <n v="2.2000000000000002"/>
    <s v="Yes"/>
    <n v="0"/>
    <n v="0"/>
    <m/>
    <n v="0"/>
    <x v="0"/>
    <m/>
    <n v="1"/>
    <n v="0"/>
    <x v="1"/>
    <s v="1â€“3 years"/>
    <s v="Moderate"/>
    <s v="2.9666666666666663"/>
    <s v="0.16666666666666666"/>
    <n v="0"/>
  </r>
  <r>
    <s v="EMP0475"/>
    <s v="Sales"/>
    <x v="13"/>
    <n v="2.7"/>
    <s v="G2"/>
    <n v="29"/>
    <s v="Bachelor"/>
    <s v="Chennai"/>
    <n v="3"/>
    <n v="18.3"/>
    <n v="11"/>
    <n v="3"/>
    <n v="12"/>
    <n v="0"/>
    <s v="Band B"/>
    <n v="37100"/>
    <n v="6.6"/>
    <n v="5"/>
    <n v="0.3"/>
    <n v="0"/>
    <n v="3.5"/>
    <n v="3.7"/>
    <n v="3.9"/>
    <s v="Yes"/>
    <n v="0"/>
    <n v="1"/>
    <n v="1.5"/>
    <n v="0"/>
    <x v="0"/>
    <m/>
    <n v="0"/>
    <n v="0"/>
    <x v="0"/>
    <s v="1â€“3 years"/>
    <s v="Moderate"/>
    <s v="3.6999999999999997"/>
    <n v="0.25"/>
    <n v="0"/>
  </r>
  <r>
    <s v="EMP0476"/>
    <s v="Sales"/>
    <x v="8"/>
    <n v="5.8"/>
    <s v="G3"/>
    <n v="30"/>
    <s v="Bachelor"/>
    <s v="Chennai"/>
    <n v="6"/>
    <n v="23.6"/>
    <n v="9"/>
    <n v="2"/>
    <n v="12"/>
    <n v="0"/>
    <s v="Band C"/>
    <n v="63300"/>
    <n v="11.6"/>
    <n v="3.6"/>
    <n v="0.7"/>
    <n v="0"/>
    <n v="5"/>
    <n v="3.7"/>
    <n v="3.5"/>
    <s v="Yes"/>
    <n v="0"/>
    <n v="0"/>
    <m/>
    <n v="0"/>
    <x v="0"/>
    <m/>
    <n v="1"/>
    <n v="0"/>
    <x v="1"/>
    <s v="5+ years"/>
    <s v="High"/>
    <s v="4.066666666666666"/>
    <n v="0.5"/>
    <n v="0"/>
  </r>
  <r>
    <s v="EMP0477"/>
    <s v="Hr"/>
    <x v="7"/>
    <n v="2.6"/>
    <s v="G2"/>
    <n v="24"/>
    <s v="Bachelor"/>
    <s v="Chennai"/>
    <n v="1"/>
    <n v="11.6"/>
    <n v="13"/>
    <n v="1"/>
    <n v="12"/>
    <n v="0"/>
    <s v="Band B"/>
    <n v="35600"/>
    <n v="7.6"/>
    <n v="5"/>
    <n v="2.5"/>
    <n v="0"/>
    <n v="2.7"/>
    <n v="2.6"/>
    <n v="3.1"/>
    <s v="Yes"/>
    <n v="0"/>
    <n v="1"/>
    <n v="1.9"/>
    <n v="0"/>
    <x v="0"/>
    <m/>
    <n v="0"/>
    <n v="0"/>
    <x v="0"/>
    <s v="1â€“3 years"/>
    <s v="Moderate"/>
    <s v="2.8000000000000003"/>
    <n v="8.3333333333333301E-2"/>
    <n v="0"/>
  </r>
  <r>
    <s v="EMP0478"/>
    <s v="Operations"/>
    <x v="6"/>
    <n v="4.7"/>
    <s v="G1"/>
    <n v="29"/>
    <s v="Bachelor"/>
    <s v="Chennai"/>
    <n v="4"/>
    <n v="11.9"/>
    <n v="10"/>
    <n v="2"/>
    <n v="12"/>
    <n v="0"/>
    <s v="Band A"/>
    <n v="27500"/>
    <n v="13.4"/>
    <n v="2.6"/>
    <n v="2.8"/>
    <n v="0"/>
    <n v="2.2000000000000002"/>
    <n v="2.7"/>
    <n v="4.5"/>
    <s v="Yes"/>
    <n v="0"/>
    <n v="0"/>
    <m/>
    <n v="0"/>
    <x v="0"/>
    <m/>
    <n v="1"/>
    <n v="0"/>
    <x v="1"/>
    <s v="3â€“5 years"/>
    <s v="Moderate"/>
    <s v="3.1333333333333333"/>
    <s v="0.3333333333333333"/>
    <n v="0"/>
  </r>
  <r>
    <s v="EMP0479"/>
    <s v="Operations"/>
    <x v="6"/>
    <n v="1.8"/>
    <s v="G1"/>
    <n v="29"/>
    <s v="Bachelor"/>
    <s v="Chennai"/>
    <n v="2"/>
    <n v="11.2"/>
    <n v="11"/>
    <n v="4"/>
    <n v="12"/>
    <n v="0"/>
    <s v="Band A"/>
    <n v="30700"/>
    <n v="7.5"/>
    <n v="4.8"/>
    <n v="2.1"/>
    <n v="0"/>
    <n v="3.3"/>
    <n v="4.9000000000000004"/>
    <n v="3.3"/>
    <s v="Yes"/>
    <n v="0"/>
    <n v="0"/>
    <m/>
    <n v="0"/>
    <x v="0"/>
    <m/>
    <n v="1"/>
    <n v="0"/>
    <x v="1"/>
    <s v="1â€“3 years"/>
    <s v="Moderate"/>
    <s v="3.8333333333333335"/>
    <s v="0.16666666666666666"/>
    <n v="0"/>
  </r>
  <r>
    <s v="EMP0480"/>
    <s v="Sales"/>
    <x v="13"/>
    <n v="0.5"/>
    <s v="G2"/>
    <n v="26"/>
    <s v="Master"/>
    <s v="Bengaluru"/>
    <n v="3"/>
    <n v="21.4"/>
    <n v="15"/>
    <n v="0"/>
    <n v="12"/>
    <n v="0"/>
    <s v="Band B"/>
    <n v="38500"/>
    <n v="6.5"/>
    <n v="3.2"/>
    <n v="3.2"/>
    <n v="0"/>
    <n v="3"/>
    <n v="5"/>
    <n v="3"/>
    <s v="Yes"/>
    <n v="0"/>
    <n v="0"/>
    <m/>
    <n v="2"/>
    <x v="0"/>
    <m/>
    <n v="1"/>
    <n v="0"/>
    <x v="1"/>
    <s v="0â€“1 years"/>
    <s v="High"/>
    <s v="3.6666666666666665"/>
    <n v="0.25"/>
    <n v="0"/>
  </r>
  <r>
    <s v="EMP0481"/>
    <s v="Sales"/>
    <x v="8"/>
    <n v="6.2"/>
    <s v="G3"/>
    <n v="27"/>
    <s v="Master"/>
    <s v="Chennai"/>
    <n v="2"/>
    <n v="18.5"/>
    <n v="6"/>
    <n v="2"/>
    <n v="12"/>
    <n v="0"/>
    <s v="Band C"/>
    <n v="56000"/>
    <n v="13.1"/>
    <n v="2.9"/>
    <n v="4.0999999999999996"/>
    <n v="0"/>
    <n v="1.1000000000000001"/>
    <n v="4.2"/>
    <n v="4.3"/>
    <s v="Yes"/>
    <n v="0"/>
    <n v="1"/>
    <n v="0.2"/>
    <n v="0"/>
    <x v="0"/>
    <m/>
    <n v="0"/>
    <n v="0"/>
    <x v="0"/>
    <s v="5+ years"/>
    <s v="Moderate"/>
    <s v="3.2000000000000006"/>
    <s v="0.16666666666666666"/>
    <n v="0"/>
  </r>
  <r>
    <s v="EMP0482"/>
    <s v="Engineering"/>
    <x v="4"/>
    <n v="11.2"/>
    <s v="G3"/>
    <n v="41"/>
    <s v="Bachelor"/>
    <s v="Chennai"/>
    <n v="2"/>
    <n v="5"/>
    <n v="7"/>
    <n v="2"/>
    <n v="12"/>
    <n v="0"/>
    <s v="Band B"/>
    <n v="45600"/>
    <n v="8.1"/>
    <n v="3.8"/>
    <n v="2.2000000000000002"/>
    <n v="0"/>
    <n v="2.7"/>
    <n v="4.5999999999999996"/>
    <n v="3.1"/>
    <s v="Yes"/>
    <n v="0"/>
    <n v="0"/>
    <m/>
    <n v="1"/>
    <x v="0"/>
    <m/>
    <n v="1"/>
    <n v="0"/>
    <x v="1"/>
    <s v="5+ years"/>
    <s v="Low"/>
    <s v="3.466666666666667"/>
    <s v="0.16666666666666666"/>
    <n v="0"/>
  </r>
  <r>
    <s v="EMP0483"/>
    <s v="Finance"/>
    <x v="18"/>
    <n v="4.4000000000000004"/>
    <s v="G1"/>
    <n v="21"/>
    <s v="Doctorate"/>
    <s v="Chennai"/>
    <n v="1"/>
    <n v="16.899999999999999"/>
    <n v="13"/>
    <n v="2"/>
    <n v="12"/>
    <n v="0"/>
    <s v="Band A"/>
    <n v="27800"/>
    <n v="7.5"/>
    <n v="3.1"/>
    <n v="1"/>
    <n v="0"/>
    <n v="3.6"/>
    <n v="4.8"/>
    <n v="2.9"/>
    <s v="Yes"/>
    <n v="0"/>
    <n v="1"/>
    <n v="1.7"/>
    <n v="0"/>
    <x v="0"/>
    <m/>
    <n v="0"/>
    <n v="0"/>
    <x v="0"/>
    <s v="3â€“5 years"/>
    <s v="Moderate"/>
    <s v="3.766666666666667"/>
    <n v="8.3333333333333301E-2"/>
    <n v="0"/>
  </r>
  <r>
    <s v="EMP0484"/>
    <s v="Sales"/>
    <x v="13"/>
    <n v="3.5"/>
    <s v="G2"/>
    <n v="28"/>
    <s v="Doctorate"/>
    <s v="Bengaluru"/>
    <n v="1"/>
    <n v="20.399999999999999"/>
    <n v="12"/>
    <n v="2"/>
    <n v="12"/>
    <n v="0"/>
    <s v="Band B"/>
    <n v="42900"/>
    <n v="8.1"/>
    <n v="3.1"/>
    <n v="0.2"/>
    <n v="0"/>
    <n v="3.2"/>
    <n v="5"/>
    <n v="2.5"/>
    <s v="Yes"/>
    <n v="0"/>
    <n v="1"/>
    <n v="2.1"/>
    <n v="0"/>
    <x v="0"/>
    <m/>
    <n v="0"/>
    <n v="0"/>
    <x v="0"/>
    <s v="3â€“5 years"/>
    <s v="High"/>
    <s v="3.5666666666666664"/>
    <n v="8.3333333333333301E-2"/>
    <n v="0"/>
  </r>
  <r>
    <s v="EMP0485"/>
    <s v="Engineering"/>
    <x v="10"/>
    <n v="4"/>
    <s v="G2"/>
    <n v="28"/>
    <s v="Bachelor"/>
    <s v="Bengaluru"/>
    <n v="3"/>
    <n v="21.6"/>
    <n v="7"/>
    <n v="0"/>
    <n v="12"/>
    <n v="0"/>
    <s v="Band B"/>
    <n v="35500"/>
    <n v="13.9"/>
    <n v="3.6"/>
    <n v="0.3"/>
    <n v="0"/>
    <n v="2.6"/>
    <n v="2.9"/>
    <n v="2.7"/>
    <s v="Yes"/>
    <n v="0"/>
    <n v="0"/>
    <m/>
    <n v="0"/>
    <x v="0"/>
    <m/>
    <n v="1"/>
    <n v="0"/>
    <x v="1"/>
    <s v="3â€“5 years"/>
    <s v="High"/>
    <s v="2.733333333333333"/>
    <n v="0.25"/>
    <n v="0"/>
  </r>
  <r>
    <s v="EMP0486"/>
    <s v="Sales"/>
    <x v="8"/>
    <n v="8.9"/>
    <s v="G2"/>
    <n v="35"/>
    <s v="Bachelor"/>
    <s v="Chennai"/>
    <n v="1"/>
    <n v="12.9"/>
    <n v="11"/>
    <n v="5"/>
    <n v="12"/>
    <n v="0"/>
    <s v="Band B"/>
    <n v="45500"/>
    <n v="9.1999999999999993"/>
    <n v="1.6"/>
    <n v="0.5"/>
    <n v="0"/>
    <n v="3.3"/>
    <n v="2.4"/>
    <n v="2.8"/>
    <s v="Yes"/>
    <n v="0"/>
    <n v="1"/>
    <n v="1"/>
    <n v="0"/>
    <x v="0"/>
    <m/>
    <n v="0"/>
    <n v="0"/>
    <x v="0"/>
    <s v="5+ years"/>
    <s v="Moderate"/>
    <s v="2.8333333333333335"/>
    <n v="8.3333333333333301E-2"/>
    <n v="0"/>
  </r>
  <r>
    <s v="EMP0487"/>
    <s v="Hr"/>
    <x v="1"/>
    <n v="4.4000000000000004"/>
    <s v="G3"/>
    <n v="33"/>
    <s v="Bachelor"/>
    <s v="Chennai"/>
    <n v="3"/>
    <n v="12.4"/>
    <n v="5"/>
    <n v="1"/>
    <n v="12"/>
    <n v="0"/>
    <s v="Band C"/>
    <n v="55600"/>
    <n v="13"/>
    <n v="2.5"/>
    <n v="2.9"/>
    <n v="0"/>
    <n v="3.4"/>
    <n v="4.9000000000000004"/>
    <n v="3.9"/>
    <s v="No"/>
    <n v="0"/>
    <n v="2"/>
    <m/>
    <n v="0"/>
    <x v="0"/>
    <m/>
    <n v="1"/>
    <n v="0"/>
    <x v="0"/>
    <s v="3â€“5 years"/>
    <s v="Moderate"/>
    <s v="4.066666666666667"/>
    <n v="0.25"/>
    <n v="0"/>
  </r>
  <r>
    <s v="EMP0488"/>
    <s v="Engineering"/>
    <x v="16"/>
    <n v="6.4"/>
    <s v="G2"/>
    <n v="37"/>
    <s v="Diploma"/>
    <s v="Remote"/>
    <n v="4"/>
    <n v="9.8000000000000007"/>
    <n v="4"/>
    <n v="1"/>
    <n v="12"/>
    <n v="0"/>
    <s v="Band B"/>
    <n v="39500"/>
    <n v="7.1"/>
    <n v="3.9"/>
    <n v="0.6"/>
    <n v="0"/>
    <n v="3.9"/>
    <n v="2.2999999999999998"/>
    <n v="2.6"/>
    <s v="Yes"/>
    <n v="0"/>
    <n v="0"/>
    <m/>
    <n v="0"/>
    <x v="1"/>
    <d v="2026-09-19T00:00:00"/>
    <n v="1"/>
    <n v="0"/>
    <x v="1"/>
    <s v="5+ years"/>
    <s v="Low"/>
    <s v="2.933333333333333"/>
    <s v="0.3333333333333333"/>
    <n v="1"/>
  </r>
  <r>
    <s v="EMP0489"/>
    <s v="Finance"/>
    <x v="11"/>
    <n v="6.2"/>
    <s v="G3"/>
    <n v="29"/>
    <s v="Bachelor"/>
    <s v="Bengaluru"/>
    <n v="5"/>
    <n v="10.7"/>
    <n v="4"/>
    <n v="2"/>
    <n v="12"/>
    <n v="0"/>
    <s v="Band C"/>
    <n v="64300"/>
    <n v="12.4"/>
    <n v="4.0999999999999996"/>
    <n v="0.6"/>
    <n v="0"/>
    <n v="2.7"/>
    <n v="2.2999999999999998"/>
    <n v="1.9"/>
    <s v="Yes"/>
    <n v="0"/>
    <n v="2"/>
    <n v="4.9000000000000004"/>
    <n v="0"/>
    <x v="0"/>
    <m/>
    <n v="0"/>
    <n v="0"/>
    <x v="0"/>
    <s v="5+ years"/>
    <s v="Moderate"/>
    <s v="2.3000000000000003"/>
    <s v="0.4166666666666667"/>
    <n v="0"/>
  </r>
  <r>
    <s v="EMP0490"/>
    <s v="Finance"/>
    <x v="11"/>
    <n v="7.6"/>
    <s v="G5"/>
    <n v="36"/>
    <s v="Bachelor"/>
    <s v="Bengaluru"/>
    <n v="2"/>
    <n v="32.9"/>
    <n v="10"/>
    <n v="6"/>
    <n v="12"/>
    <n v="0"/>
    <s v="Band D"/>
    <n v="98800"/>
    <n v="9"/>
    <n v="3.5"/>
    <n v="0.6"/>
    <n v="0"/>
    <n v="4.0999999999999996"/>
    <n v="2.2999999999999998"/>
    <n v="3.6"/>
    <s v="Yes"/>
    <n v="0"/>
    <n v="0"/>
    <m/>
    <n v="0"/>
    <x v="0"/>
    <m/>
    <n v="1"/>
    <n v="0"/>
    <x v="1"/>
    <s v="5+ years"/>
    <s v="High"/>
    <s v="3.3333333333333335"/>
    <s v="0.16666666666666666"/>
    <n v="0"/>
  </r>
  <r>
    <s v="EMP0491"/>
    <s v="Operations"/>
    <x v="3"/>
    <n v="3.4"/>
    <s v="G3"/>
    <n v="30"/>
    <s v="Master"/>
    <s v="Coimbatore"/>
    <n v="5"/>
    <n v="11"/>
    <n v="8"/>
    <n v="5"/>
    <n v="12"/>
    <n v="0"/>
    <s v="Band C"/>
    <n v="51400"/>
    <n v="11.5"/>
    <n v="3.4"/>
    <n v="1.2"/>
    <n v="0"/>
    <n v="2.2999999999999998"/>
    <n v="3.1"/>
    <n v="2.9"/>
    <s v="Yes"/>
    <n v="0"/>
    <n v="1"/>
    <n v="1.4"/>
    <n v="0"/>
    <x v="1"/>
    <d v="2025-11-18T00:00:00"/>
    <n v="0"/>
    <n v="0"/>
    <x v="0"/>
    <s v="3â€“5 years"/>
    <s v="Moderate"/>
    <s v="2.766666666666667"/>
    <s v="0.4166666666666667"/>
    <n v="1"/>
  </r>
  <r>
    <s v="EMP0492"/>
    <s v="Operations"/>
    <x v="6"/>
    <n v="2.4"/>
    <s v="G3"/>
    <n v="22"/>
    <s v="Bachelor"/>
    <s v="Hyderabad"/>
    <n v="3"/>
    <n v="5.4"/>
    <n v="7"/>
    <n v="0"/>
    <n v="12"/>
    <n v="0"/>
    <s v="Band C"/>
    <n v="51000"/>
    <n v="11.9"/>
    <n v="3.6"/>
    <n v="1.6"/>
    <n v="0"/>
    <n v="2.8"/>
    <n v="1.4"/>
    <n v="3.4"/>
    <s v="Yes"/>
    <n v="0"/>
    <n v="1"/>
    <n v="1.1000000000000001"/>
    <n v="0"/>
    <x v="0"/>
    <m/>
    <n v="0"/>
    <n v="0"/>
    <x v="0"/>
    <s v="1â€“3 years"/>
    <s v="Low"/>
    <s v="2.533333333333333"/>
    <n v="0.25"/>
    <n v="0"/>
  </r>
  <r>
    <s v="EMP0493"/>
    <s v="Operations"/>
    <x v="0"/>
    <n v="5.5"/>
    <s v="G1"/>
    <n v="39"/>
    <s v="Master"/>
    <s v="Hyderabad"/>
    <n v="4"/>
    <n v="13.1"/>
    <n v="7"/>
    <n v="4"/>
    <n v="12"/>
    <n v="0"/>
    <s v="Band A"/>
    <n v="29800"/>
    <n v="4.2"/>
    <n v="4.0999999999999996"/>
    <n v="1.6"/>
    <n v="0"/>
    <n v="4.8"/>
    <n v="1.9"/>
    <n v="4.4000000000000004"/>
    <s v="Yes"/>
    <n v="0"/>
    <n v="0"/>
    <m/>
    <n v="0"/>
    <x v="0"/>
    <m/>
    <n v="1"/>
    <n v="0"/>
    <x v="1"/>
    <s v="5+ years"/>
    <s v="Moderate"/>
    <s v="3.6999999999999997"/>
    <s v="0.3333333333333333"/>
    <n v="0"/>
  </r>
  <r>
    <s v="EMP0494"/>
    <s v="Sales"/>
    <x v="8"/>
    <n v="7.2"/>
    <s v="G1"/>
    <n v="27"/>
    <s v="Bachelor"/>
    <s v="Coimbatore"/>
    <n v="3"/>
    <n v="18"/>
    <n v="11"/>
    <n v="2"/>
    <n v="12"/>
    <n v="0"/>
    <s v="Band A"/>
    <n v="33000"/>
    <n v="8.3000000000000007"/>
    <n v="1.9"/>
    <n v="0.6"/>
    <n v="0"/>
    <n v="2.4"/>
    <n v="2.6"/>
    <n v="3.5"/>
    <s v="Yes"/>
    <n v="0"/>
    <n v="2"/>
    <n v="1"/>
    <n v="0"/>
    <x v="0"/>
    <m/>
    <n v="0"/>
    <n v="0"/>
    <x v="0"/>
    <s v="5+ years"/>
    <s v="Moderate"/>
    <s v="2.8333333333333335"/>
    <n v="0.25"/>
    <n v="0"/>
  </r>
  <r>
    <s v="EMP0495"/>
    <s v="Operations"/>
    <x v="3"/>
    <n v="8.1"/>
    <s v="G1"/>
    <n v="36"/>
    <s v="Bachelor"/>
    <s v="Bengaluru"/>
    <n v="3"/>
    <n v="21"/>
    <n v="10"/>
    <n v="3"/>
    <n v="12"/>
    <n v="0"/>
    <s v="Band A"/>
    <n v="25200"/>
    <n v="11.8"/>
    <n v="2.7"/>
    <n v="2.8"/>
    <n v="0"/>
    <n v="2.7"/>
    <n v="2.1"/>
    <n v="4.5999999999999996"/>
    <s v="Yes"/>
    <n v="0"/>
    <n v="0"/>
    <m/>
    <n v="1"/>
    <x v="0"/>
    <m/>
    <n v="1"/>
    <n v="0"/>
    <x v="1"/>
    <s v="5+ years"/>
    <s v="High"/>
    <s v="3.1333333333333333"/>
    <n v="0.25"/>
    <n v="0"/>
  </r>
  <r>
    <s v="EMP0496"/>
    <s v="Finance"/>
    <x v="18"/>
    <n v="9.6"/>
    <s v="G3"/>
    <n v="37"/>
    <s v="Master"/>
    <s v="Chennai"/>
    <n v="4"/>
    <n v="4"/>
    <n v="10"/>
    <n v="3"/>
    <n v="12"/>
    <n v="0"/>
    <s v="Band C"/>
    <n v="64000"/>
    <n v="12.5"/>
    <n v="3.1"/>
    <n v="1.1000000000000001"/>
    <n v="0"/>
    <n v="2.2000000000000002"/>
    <n v="4.2"/>
    <n v="3.3"/>
    <s v="Yes"/>
    <n v="0"/>
    <n v="1"/>
    <n v="8.3000000000000007"/>
    <n v="0"/>
    <x v="0"/>
    <m/>
    <n v="0"/>
    <n v="0"/>
    <x v="0"/>
    <s v="5+ years"/>
    <s v="Low"/>
    <s v="3.233333333333333"/>
    <s v="0.3333333333333333"/>
    <n v="0"/>
  </r>
  <r>
    <s v="EMP0497"/>
    <s v="Hr"/>
    <x v="15"/>
    <n v="6.8"/>
    <s v="G4"/>
    <n v="34"/>
    <s v="Diploma"/>
    <s v="Bengaluru"/>
    <n v="6"/>
    <n v="28.3"/>
    <n v="9"/>
    <n v="1"/>
    <n v="12"/>
    <n v="0"/>
    <s v="Band D"/>
    <n v="75700"/>
    <n v="13"/>
    <n v="3.4"/>
    <n v="2.5"/>
    <n v="0"/>
    <n v="2.6"/>
    <n v="3.2"/>
    <n v="4.2"/>
    <s v="Yes"/>
    <n v="0"/>
    <n v="1"/>
    <n v="3.4"/>
    <n v="0"/>
    <x v="0"/>
    <m/>
    <n v="0"/>
    <n v="0"/>
    <x v="0"/>
    <s v="5+ years"/>
    <s v="High"/>
    <s v="3.3333333333333335"/>
    <n v="0.5"/>
    <n v="0"/>
  </r>
  <r>
    <s v="EMP0498"/>
    <s v="Operations"/>
    <x v="0"/>
    <n v="2.2999999999999998"/>
    <s v="G1"/>
    <n v="26"/>
    <s v="Diploma"/>
    <s v="Coimbatore"/>
    <n v="3"/>
    <n v="17.5"/>
    <n v="7"/>
    <n v="2"/>
    <n v="12"/>
    <n v="0"/>
    <s v="Band A"/>
    <n v="30000"/>
    <n v="8.4"/>
    <n v="1.3"/>
    <n v="1.3"/>
    <n v="0"/>
    <n v="3.4"/>
    <n v="3.7"/>
    <n v="3"/>
    <s v="Yes"/>
    <n v="0"/>
    <n v="1"/>
    <n v="0"/>
    <n v="0"/>
    <x v="0"/>
    <m/>
    <n v="0"/>
    <n v="0"/>
    <x v="0"/>
    <s v="1â€“3 years"/>
    <s v="Moderate"/>
    <s v="3.3666666666666667"/>
    <n v="0.25"/>
    <n v="0"/>
  </r>
  <r>
    <s v="EMP0499"/>
    <s v="Sales"/>
    <x v="13"/>
    <n v="4.4000000000000004"/>
    <s v="G1"/>
    <n v="34"/>
    <s v="Bachelor"/>
    <s v="Chennai"/>
    <n v="3"/>
    <n v="27.2"/>
    <n v="9"/>
    <n v="1"/>
    <n v="12"/>
    <n v="0"/>
    <s v="Band B"/>
    <n v="37300"/>
    <n v="14.2"/>
    <n v="2.1"/>
    <n v="0.6"/>
    <n v="0"/>
    <n v="3.9"/>
    <n v="3.6"/>
    <n v="3.5"/>
    <s v="Yes"/>
    <n v="0"/>
    <n v="0"/>
    <m/>
    <n v="0"/>
    <x v="0"/>
    <m/>
    <n v="1"/>
    <n v="0"/>
    <x v="1"/>
    <s v="3â€“5 years"/>
    <s v="High"/>
    <s v="3.6666666666666665"/>
    <n v="0.25"/>
    <n v="0"/>
  </r>
  <r>
    <s v="EMP0500"/>
    <s v="Finance"/>
    <x v="17"/>
    <n v="4.0999999999999996"/>
    <s v="G2"/>
    <n v="24"/>
    <s v="Master"/>
    <s v="Remote"/>
    <n v="5"/>
    <n v="2.6"/>
    <n v="10"/>
    <n v="0"/>
    <n v="12"/>
    <n v="0"/>
    <s v="Band B"/>
    <n v="36800"/>
    <n v="5.4"/>
    <n v="3.2"/>
    <n v="0.8"/>
    <n v="0"/>
    <n v="3.3"/>
    <n v="3"/>
    <n v="2.7"/>
    <s v="Yes"/>
    <n v="0"/>
    <n v="1"/>
    <n v="1.1000000000000001"/>
    <n v="0"/>
    <x v="0"/>
    <m/>
    <n v="0"/>
    <n v="0"/>
    <x v="0"/>
    <s v="3â€“5 years"/>
    <s v="Low"/>
    <n v="3"/>
    <s v="0.4166666666666667"/>
    <n v="0"/>
  </r>
  <r>
    <s v="EMP0501"/>
    <s v="Operations"/>
    <x v="0"/>
    <n v="3.8"/>
    <s v="G3"/>
    <n v="30"/>
    <s v="Bachelor"/>
    <s v="Hyderabad"/>
    <n v="2"/>
    <n v="22.2"/>
    <n v="10"/>
    <n v="1"/>
    <n v="12"/>
    <n v="0"/>
    <s v="Band B"/>
    <n v="45600"/>
    <n v="2"/>
    <n v="4.0999999999999996"/>
    <n v="0.5"/>
    <n v="0"/>
    <n v="3"/>
    <n v="4.0999999999999996"/>
    <n v="2.7"/>
    <s v="Yes"/>
    <n v="0"/>
    <n v="0"/>
    <m/>
    <n v="1"/>
    <x v="0"/>
    <m/>
    <n v="1"/>
    <n v="0"/>
    <x v="1"/>
    <s v="3â€“5 years"/>
    <s v="High"/>
    <s v="3.266666666666667"/>
    <s v="0.16666666666666666"/>
    <n v="0"/>
  </r>
  <r>
    <s v="EMP0502"/>
    <s v="Customer Support"/>
    <x v="5"/>
    <n v="5.5"/>
    <s v="G3"/>
    <n v="29"/>
    <s v="Diploma"/>
    <s v="Chennai"/>
    <n v="4"/>
    <n v="3.8"/>
    <n v="12"/>
    <n v="2"/>
    <n v="12"/>
    <n v="0"/>
    <s v="Band C"/>
    <n v="56000"/>
    <n v="6.9"/>
    <n v="2.8"/>
    <n v="0.2"/>
    <n v="0"/>
    <n v="2.2000000000000002"/>
    <n v="3.6"/>
    <n v="3.2"/>
    <s v="Yes"/>
    <n v="0"/>
    <n v="0"/>
    <m/>
    <n v="0"/>
    <x v="0"/>
    <m/>
    <n v="1"/>
    <n v="0"/>
    <x v="1"/>
    <s v="5+ years"/>
    <s v="Low"/>
    <n v="3"/>
    <s v="0.3333333333333333"/>
    <n v="0"/>
  </r>
  <r>
    <s v="EMP0503"/>
    <s v="Customer Support"/>
    <x v="9"/>
    <n v="3.2"/>
    <s v="G3"/>
    <n v="26"/>
    <s v="Bachelor"/>
    <s v="Remote"/>
    <n v="4"/>
    <n v="8.1"/>
    <n v="7"/>
    <n v="2"/>
    <n v="12"/>
    <n v="0"/>
    <s v="Band C"/>
    <n v="55200"/>
    <n v="12.8"/>
    <n v="2.6"/>
    <n v="1.4"/>
    <n v="0"/>
    <n v="2.6"/>
    <n v="2.9"/>
    <n v="2.2999999999999998"/>
    <s v="Yes"/>
    <n v="0"/>
    <n v="0"/>
    <m/>
    <n v="1"/>
    <x v="0"/>
    <m/>
    <n v="1"/>
    <n v="0"/>
    <x v="1"/>
    <s v="3â€“5 years"/>
    <s v="Low"/>
    <n v="2.6"/>
    <s v="0.3333333333333333"/>
    <n v="0"/>
  </r>
  <r>
    <s v="EMP0504"/>
    <s v="Finance"/>
    <x v="18"/>
    <n v="3.2"/>
    <s v="G4"/>
    <n v="31"/>
    <s v="Bachelor"/>
    <s v="Chennai"/>
    <n v="4"/>
    <n v="17.899999999999999"/>
    <n v="8"/>
    <n v="1"/>
    <n v="12"/>
    <n v="0"/>
    <s v="Band D"/>
    <n v="78700"/>
    <n v="3.7"/>
    <n v="3.7"/>
    <n v="0.4"/>
    <n v="0"/>
    <n v="1.9"/>
    <n v="1.7"/>
    <n v="3.5"/>
    <s v="Yes"/>
    <n v="0"/>
    <n v="0"/>
    <m/>
    <n v="0"/>
    <x v="0"/>
    <m/>
    <n v="1"/>
    <n v="0"/>
    <x v="1"/>
    <s v="3â€“5 years"/>
    <s v="Moderate"/>
    <s v="2.3666666666666667"/>
    <s v="0.3333333333333333"/>
    <n v="0"/>
  </r>
  <r>
    <s v="EMP0505"/>
    <s v="Finance"/>
    <x v="18"/>
    <n v="11.7"/>
    <s v="G2"/>
    <n v="42"/>
    <s v="Diploma"/>
    <s v="Coimbatore"/>
    <n v="2"/>
    <n v="3.4"/>
    <n v="7"/>
    <n v="4"/>
    <n v="12"/>
    <n v="0"/>
    <s v="Band B"/>
    <n v="40700"/>
    <n v="2.1"/>
    <n v="2.9"/>
    <n v="0.3"/>
    <n v="0"/>
    <n v="4"/>
    <n v="3.7"/>
    <n v="3.2"/>
    <s v="Yes"/>
    <n v="0"/>
    <n v="0"/>
    <m/>
    <n v="0"/>
    <x v="0"/>
    <m/>
    <n v="1"/>
    <n v="0"/>
    <x v="1"/>
    <s v="5+ years"/>
    <s v="Low"/>
    <s v="3.6333333333333333"/>
    <s v="0.16666666666666666"/>
    <n v="0"/>
  </r>
  <r>
    <s v="EMP0506"/>
    <s v="Operations"/>
    <x v="6"/>
    <n v="3.5"/>
    <s v="G3"/>
    <n v="28"/>
    <s v="Bachelor"/>
    <s v="Hyderabad"/>
    <n v="1"/>
    <n v="6.4"/>
    <n v="5"/>
    <n v="1"/>
    <n v="12"/>
    <n v="0"/>
    <s v="Band B"/>
    <n v="47900"/>
    <n v="1.1000000000000001"/>
    <n v="4"/>
    <n v="2.4"/>
    <n v="0"/>
    <n v="4"/>
    <n v="2.1"/>
    <n v="3.6"/>
    <s v="Yes"/>
    <n v="0"/>
    <n v="0"/>
    <m/>
    <n v="0"/>
    <x v="0"/>
    <m/>
    <n v="1"/>
    <n v="0"/>
    <x v="1"/>
    <s v="3â€“5 years"/>
    <s v="Low"/>
    <s v="3.233333333333333"/>
    <n v="8.3333333333333301E-2"/>
    <n v="0"/>
  </r>
  <r>
    <s v="EMP0507"/>
    <s v="Sales"/>
    <x v="8"/>
    <n v="7.5"/>
    <s v="G3"/>
    <n v="37"/>
    <s v="Diploma"/>
    <s v="Chennai"/>
    <n v="3"/>
    <n v="2.6"/>
    <n v="11"/>
    <n v="5"/>
    <n v="12"/>
    <n v="0"/>
    <s v="Band B"/>
    <n v="45900"/>
    <n v="10.9"/>
    <n v="3"/>
    <n v="3.4"/>
    <n v="0"/>
    <n v="3.3"/>
    <n v="3.5"/>
    <n v="2.2999999999999998"/>
    <s v="Yes"/>
    <n v="0"/>
    <n v="0"/>
    <m/>
    <n v="0"/>
    <x v="1"/>
    <d v="2024-03-08T00:00:00"/>
    <n v="1"/>
    <n v="0"/>
    <x v="1"/>
    <s v="5+ years"/>
    <s v="Low"/>
    <s v="3.033333333333333"/>
    <n v="0.25"/>
    <n v="1"/>
  </r>
  <r>
    <s v="EMP0508"/>
    <s v="Customer Support"/>
    <x v="2"/>
    <n v="7.8"/>
    <s v="G2"/>
    <n v="34"/>
    <s v="Bachelor"/>
    <s v="Coimbatore"/>
    <n v="1"/>
    <n v="17.600000000000001"/>
    <n v="4"/>
    <n v="1"/>
    <n v="12"/>
    <n v="0"/>
    <s v="Band A"/>
    <n v="34500"/>
    <n v="2.2000000000000002"/>
    <n v="2.2000000000000002"/>
    <n v="0.6"/>
    <n v="0"/>
    <n v="3.7"/>
    <n v="3.3"/>
    <n v="4"/>
    <s v="Yes"/>
    <n v="0"/>
    <n v="0"/>
    <m/>
    <n v="1"/>
    <x v="0"/>
    <m/>
    <n v="1"/>
    <n v="0"/>
    <x v="1"/>
    <s v="5+ years"/>
    <s v="Moderate"/>
    <s v="3.6666666666666665"/>
    <n v="8.3333333333333301E-2"/>
    <n v="0"/>
  </r>
  <r>
    <s v="EMP0509"/>
    <s v="Hr"/>
    <x v="7"/>
    <n v="4.4000000000000004"/>
    <s v="G4"/>
    <n v="27"/>
    <s v="Bachelor"/>
    <s v="Bengaluru"/>
    <n v="6"/>
    <n v="4.9000000000000004"/>
    <n v="7"/>
    <n v="2"/>
    <n v="12"/>
    <n v="0"/>
    <s v="Band C"/>
    <n v="68900"/>
    <n v="10.199999999999999"/>
    <n v="4.5"/>
    <n v="8"/>
    <n v="0"/>
    <n v="4.0999999999999996"/>
    <n v="2"/>
    <n v="4.8"/>
    <s v="Yes"/>
    <n v="0"/>
    <n v="1"/>
    <n v="1.4"/>
    <n v="0"/>
    <x v="0"/>
    <m/>
    <n v="0"/>
    <n v="0"/>
    <x v="0"/>
    <s v="3â€“5 years"/>
    <s v="Low"/>
    <s v="3.633333333333333"/>
    <n v="0.5"/>
    <n v="0"/>
  </r>
  <r>
    <s v="EMP0510"/>
    <s v="Engineering"/>
    <x v="16"/>
    <n v="3.3"/>
    <s v="G1"/>
    <n v="28"/>
    <s v="Master"/>
    <s v="Chennai"/>
    <n v="3"/>
    <n v="10.4"/>
    <n v="13"/>
    <n v="1"/>
    <n v="12"/>
    <n v="0"/>
    <s v="Band A"/>
    <n v="28100"/>
    <n v="6.7"/>
    <n v="4.3"/>
    <n v="2.2999999999999998"/>
    <n v="0"/>
    <n v="3.4"/>
    <n v="3.4"/>
    <n v="4.5999999999999996"/>
    <s v="Yes"/>
    <n v="0"/>
    <n v="1"/>
    <n v="2.6"/>
    <n v="0"/>
    <x v="0"/>
    <m/>
    <n v="0"/>
    <n v="0"/>
    <x v="0"/>
    <s v="3â€“5 years"/>
    <s v="Moderate"/>
    <s v="3.7999999999999994"/>
    <n v="0.25"/>
    <n v="0"/>
  </r>
  <r>
    <s v="EMP0511"/>
    <s v="Engineering"/>
    <x v="16"/>
    <n v="1.8"/>
    <s v="G3"/>
    <n v="27"/>
    <s v="Bachelor"/>
    <s v="Coimbatore"/>
    <n v="1"/>
    <n v="14.1"/>
    <n v="6"/>
    <n v="1"/>
    <n v="12"/>
    <n v="0"/>
    <s v="Band C"/>
    <n v="64900"/>
    <n v="4.9000000000000004"/>
    <n v="2.2999999999999998"/>
    <n v="1.4"/>
    <n v="0"/>
    <n v="4.5999999999999996"/>
    <n v="3.4"/>
    <n v="4.9000000000000004"/>
    <s v="Yes"/>
    <n v="0"/>
    <n v="0"/>
    <m/>
    <n v="0"/>
    <x v="0"/>
    <m/>
    <n v="1"/>
    <n v="0"/>
    <x v="1"/>
    <s v="1â€“3 years"/>
    <s v="Moderate"/>
    <n v="4.3"/>
    <n v="8.3333333333333301E-2"/>
    <n v="0"/>
  </r>
  <r>
    <s v="EMP0512"/>
    <s v="Customer Support"/>
    <x v="9"/>
    <n v="0.8"/>
    <s v="G3"/>
    <n v="24"/>
    <s v="Bachelor"/>
    <s v="Chennai"/>
    <n v="4"/>
    <n v="13"/>
    <n v="12"/>
    <n v="5"/>
    <n v="12"/>
    <n v="0"/>
    <s v="Band B"/>
    <n v="41400"/>
    <n v="4"/>
    <n v="3.6"/>
    <n v="0.1"/>
    <n v="0"/>
    <n v="2.4"/>
    <n v="3.4"/>
    <n v="3.4"/>
    <s v="Yes"/>
    <n v="0"/>
    <n v="0"/>
    <m/>
    <n v="1"/>
    <x v="0"/>
    <m/>
    <n v="1"/>
    <n v="0"/>
    <x v="1"/>
    <s v="0â€“1 years"/>
    <s v="Moderate"/>
    <s v="3.0666666666666664"/>
    <s v="0.3333333333333333"/>
    <n v="0"/>
  </r>
  <r>
    <s v="EMP0513"/>
    <s v="Engineering"/>
    <x v="4"/>
    <n v="5.7"/>
    <s v="G4"/>
    <n v="33"/>
    <s v="Bachelor"/>
    <s v="Bengaluru"/>
    <n v="6"/>
    <n v="12.1"/>
    <n v="14"/>
    <n v="1"/>
    <n v="12"/>
    <n v="0"/>
    <s v="Band D"/>
    <n v="76900"/>
    <n v="8.8000000000000007"/>
    <n v="2.9"/>
    <n v="1.9"/>
    <n v="0"/>
    <n v="3"/>
    <n v="3.3"/>
    <n v="3.1"/>
    <s v="Yes"/>
    <n v="0"/>
    <n v="0"/>
    <m/>
    <n v="0"/>
    <x v="0"/>
    <m/>
    <n v="1"/>
    <n v="0"/>
    <x v="1"/>
    <s v="5+ years"/>
    <s v="Moderate"/>
    <s v="3.1333333333333333"/>
    <n v="0.5"/>
    <n v="0"/>
  </r>
  <r>
    <s v="EMP0514"/>
    <s v="Sales"/>
    <x v="14"/>
    <n v="5"/>
    <s v="G2"/>
    <n v="32"/>
    <s v="Master"/>
    <s v="Chennai"/>
    <n v="5"/>
    <n v="12.1"/>
    <n v="7"/>
    <n v="1"/>
    <n v="12"/>
    <n v="0"/>
    <s v="Band B"/>
    <n v="36300"/>
    <n v="5"/>
    <n v="3.8"/>
    <n v="0.3"/>
    <n v="0"/>
    <n v="2.9"/>
    <n v="2.6"/>
    <n v="3.8"/>
    <s v="Yes"/>
    <n v="0"/>
    <n v="1"/>
    <n v="1.3"/>
    <n v="0"/>
    <x v="0"/>
    <m/>
    <n v="0"/>
    <n v="0"/>
    <x v="0"/>
    <s v="3â€“5 years"/>
    <s v="Moderate"/>
    <n v="3.1"/>
    <s v="0.4166666666666667"/>
    <n v="0"/>
  </r>
  <r>
    <s v="EMP0515"/>
    <s v="Sales"/>
    <x v="13"/>
    <n v="6.3"/>
    <s v="G2"/>
    <n v="26"/>
    <s v="Bachelor"/>
    <s v="Chennai"/>
    <n v="2"/>
    <n v="2.8"/>
    <n v="13"/>
    <n v="2"/>
    <n v="12"/>
    <n v="0"/>
    <s v="Band B"/>
    <n v="41500"/>
    <n v="8"/>
    <n v="2.4"/>
    <n v="0.4"/>
    <n v="0"/>
    <n v="3.9"/>
    <n v="3.7"/>
    <n v="3.2"/>
    <s v="Yes"/>
    <n v="0"/>
    <n v="0"/>
    <m/>
    <n v="1"/>
    <x v="0"/>
    <m/>
    <n v="1"/>
    <n v="0"/>
    <x v="1"/>
    <s v="5+ years"/>
    <s v="Low"/>
    <n v="3.6"/>
    <s v="0.16666666666666666"/>
    <n v="0"/>
  </r>
  <r>
    <s v="EMP0516"/>
    <s v="Engineering"/>
    <x v="4"/>
    <n v="2.6"/>
    <s v="G4"/>
    <n v="22"/>
    <s v="Bachelor"/>
    <s v="Bengaluru"/>
    <n v="3"/>
    <n v="8.5"/>
    <n v="9"/>
    <n v="3"/>
    <n v="12"/>
    <n v="0"/>
    <s v="Band C"/>
    <n v="65900"/>
    <n v="9.6"/>
    <n v="4"/>
    <n v="2"/>
    <n v="0"/>
    <n v="2"/>
    <n v="2.6"/>
    <n v="2"/>
    <s v="Yes"/>
    <n v="0"/>
    <n v="0"/>
    <m/>
    <n v="0"/>
    <x v="0"/>
    <m/>
    <n v="1"/>
    <n v="0"/>
    <x v="1"/>
    <s v="1â€“3 years"/>
    <s v="Low"/>
    <s v="2.1999999999999997"/>
    <n v="0.25"/>
    <n v="0"/>
  </r>
  <r>
    <s v="EMP0517"/>
    <s v="Sales"/>
    <x v="14"/>
    <n v="12.4"/>
    <s v="G4"/>
    <n v="40"/>
    <s v="Bachelor"/>
    <s v="Chennai"/>
    <n v="6"/>
    <n v="12"/>
    <n v="4"/>
    <n v="4"/>
    <n v="12"/>
    <n v="0"/>
    <s v="Band D"/>
    <n v="91000"/>
    <n v="10.5"/>
    <n v="4.3"/>
    <n v="5.2"/>
    <n v="0"/>
    <n v="4.5999999999999996"/>
    <n v="2.2000000000000002"/>
    <n v="4.0999999999999996"/>
    <s v="Yes"/>
    <n v="0"/>
    <n v="1"/>
    <n v="0.3"/>
    <n v="0"/>
    <x v="0"/>
    <m/>
    <n v="0"/>
    <n v="0"/>
    <x v="0"/>
    <s v="5+ years"/>
    <s v="Moderate"/>
    <s v="3.633333333333333"/>
    <n v="0.5"/>
    <n v="0"/>
  </r>
  <r>
    <s v="EMP0518"/>
    <s v="Operations"/>
    <x v="3"/>
    <n v="5.3"/>
    <s v="G2"/>
    <n v="28"/>
    <s v="Bachelor"/>
    <s v="Coimbatore"/>
    <n v="3"/>
    <n v="11"/>
    <n v="4"/>
    <n v="1"/>
    <n v="12"/>
    <n v="0"/>
    <s v="Band B"/>
    <n v="44800"/>
    <n v="11.7"/>
    <n v="2.2999999999999998"/>
    <n v="1.4"/>
    <n v="0"/>
    <n v="3.3"/>
    <n v="3.8"/>
    <n v="3.2"/>
    <s v="Yes"/>
    <n v="1"/>
    <n v="1"/>
    <n v="1.7"/>
    <n v="0"/>
    <x v="0"/>
    <m/>
    <n v="0"/>
    <n v="0"/>
    <x v="0"/>
    <s v="5+ years"/>
    <s v="Moderate"/>
    <s v="3.4333333333333336"/>
    <n v="0.25"/>
    <n v="0"/>
  </r>
  <r>
    <s v="EMP0519"/>
    <s v="Engineering"/>
    <x v="16"/>
    <n v="3.4"/>
    <s v="G3"/>
    <n v="31"/>
    <s v="Bachelor"/>
    <s v="Bengaluru"/>
    <n v="2"/>
    <n v="9.3000000000000007"/>
    <n v="11"/>
    <n v="3"/>
    <n v="12"/>
    <n v="0"/>
    <s v="Band C"/>
    <n v="52400"/>
    <n v="8.6999999999999993"/>
    <n v="3.3"/>
    <n v="2.7"/>
    <n v="0"/>
    <n v="4.9000000000000004"/>
    <n v="4"/>
    <n v="2.2000000000000002"/>
    <s v="Yes"/>
    <n v="0"/>
    <n v="0"/>
    <m/>
    <n v="0"/>
    <x v="0"/>
    <m/>
    <n v="1"/>
    <n v="0"/>
    <x v="1"/>
    <s v="3â€“5 years"/>
    <s v="Low"/>
    <s v="3.7000000000000006"/>
    <s v="0.16666666666666666"/>
    <n v="0"/>
  </r>
  <r>
    <s v="EMP0520"/>
    <s v="Customer Support"/>
    <x v="9"/>
    <n v="0.4"/>
    <s v="G2"/>
    <n v="30"/>
    <s v="Diploma"/>
    <s v="Hyderabad"/>
    <n v="2"/>
    <n v="5.6"/>
    <n v="14"/>
    <n v="0"/>
    <n v="12"/>
    <n v="0"/>
    <s v="Band B"/>
    <n v="44600"/>
    <n v="3.8"/>
    <n v="4.3"/>
    <n v="5.0999999999999996"/>
    <n v="0"/>
    <n v="3.3"/>
    <n v="3.7"/>
    <n v="3"/>
    <s v="Yes"/>
    <n v="0"/>
    <n v="0"/>
    <m/>
    <n v="0"/>
    <x v="0"/>
    <m/>
    <n v="1"/>
    <n v="0"/>
    <x v="1"/>
    <s v="0â€“1 years"/>
    <s v="Low"/>
    <s v="3.3333333333333335"/>
    <s v="0.16666666666666666"/>
    <n v="0"/>
  </r>
  <r>
    <s v="EMP0521"/>
    <s v="Customer Support"/>
    <x v="2"/>
    <n v="2.8"/>
    <s v="G3"/>
    <n v="24"/>
    <s v="Bachelor"/>
    <s v="Chennai"/>
    <n v="2"/>
    <n v="12.8"/>
    <n v="4"/>
    <n v="3"/>
    <n v="12"/>
    <n v="0"/>
    <s v="Band C"/>
    <n v="57400"/>
    <n v="9.9"/>
    <n v="2.2999999999999998"/>
    <n v="0.2"/>
    <n v="0"/>
    <n v="2.8"/>
    <n v="3"/>
    <n v="3.2"/>
    <s v="Yes"/>
    <n v="0"/>
    <n v="0"/>
    <m/>
    <n v="2"/>
    <x v="0"/>
    <m/>
    <n v="1"/>
    <n v="0"/>
    <x v="1"/>
    <s v="1â€“3 years"/>
    <s v="Moderate"/>
    <n v="3"/>
    <s v="0.16666666666666666"/>
    <n v="0"/>
  </r>
  <r>
    <s v="EMP0522"/>
    <s v="Sales"/>
    <x v="13"/>
    <n v="6.5"/>
    <s v="G4"/>
    <n v="27"/>
    <s v="Bachelor"/>
    <s v="Hyderabad"/>
    <n v="3"/>
    <n v="14.7"/>
    <n v="8"/>
    <n v="1"/>
    <n v="12"/>
    <n v="0"/>
    <s v="Band D"/>
    <n v="87200"/>
    <n v="10.6"/>
    <n v="2.6"/>
    <n v="2.1"/>
    <n v="0"/>
    <n v="3.9"/>
    <n v="3.3"/>
    <n v="3.4"/>
    <s v="Yes"/>
    <n v="1"/>
    <n v="2"/>
    <n v="3.3"/>
    <n v="0"/>
    <x v="0"/>
    <m/>
    <n v="0"/>
    <n v="0"/>
    <x v="0"/>
    <s v="5+ years"/>
    <s v="Moderate"/>
    <s v="3.533333333333333"/>
    <n v="0.25"/>
    <n v="0"/>
  </r>
  <r>
    <s v="EMP0523"/>
    <s v="Engineering"/>
    <x v="16"/>
    <n v="9.5"/>
    <s v="G2"/>
    <n v="42"/>
    <s v="Bachelor"/>
    <s v="Bengaluru"/>
    <n v="0"/>
    <n v="7.1"/>
    <n v="9"/>
    <n v="1"/>
    <n v="12"/>
    <n v="0"/>
    <s v="Band B"/>
    <n v="42100"/>
    <n v="7.3"/>
    <n v="3.8"/>
    <n v="3.5"/>
    <n v="0"/>
    <n v="4.2"/>
    <n v="4.5"/>
    <n v="3.4"/>
    <s v="Yes"/>
    <n v="0"/>
    <n v="1"/>
    <n v="4.9000000000000004"/>
    <n v="1"/>
    <x v="0"/>
    <m/>
    <n v="0"/>
    <n v="0"/>
    <x v="0"/>
    <s v="5+ years"/>
    <s v="Low"/>
    <s v="4.033333333333333"/>
    <n v="0"/>
    <n v="0"/>
  </r>
  <r>
    <s v="EMP0524"/>
    <s v="Operations"/>
    <x v="3"/>
    <n v="3.9"/>
    <s v="G2"/>
    <n v="31"/>
    <s v="Master"/>
    <s v="Chennai"/>
    <n v="3"/>
    <n v="21.1"/>
    <n v="12"/>
    <n v="1"/>
    <n v="12"/>
    <n v="0"/>
    <s v="Band B"/>
    <n v="43500"/>
    <n v="6.8"/>
    <n v="3.1"/>
    <n v="3"/>
    <n v="0"/>
    <n v="2.7"/>
    <n v="1.4"/>
    <n v="4.5"/>
    <s v="Yes"/>
    <n v="0"/>
    <n v="0"/>
    <m/>
    <n v="0"/>
    <x v="0"/>
    <m/>
    <n v="1"/>
    <n v="0"/>
    <x v="1"/>
    <s v="3â€“5 years"/>
    <s v="High"/>
    <s v="2.8666666666666667"/>
    <n v="0.25"/>
    <n v="0"/>
  </r>
  <r>
    <s v="EMP0525"/>
    <s v="Engineering"/>
    <x v="16"/>
    <n v="10.5"/>
    <s v="G5"/>
    <n v="35"/>
    <s v="Bachelor"/>
    <s v="Hyderabad"/>
    <n v="4"/>
    <n v="28.8"/>
    <n v="11"/>
    <n v="2"/>
    <n v="12"/>
    <n v="0"/>
    <s v="Band D"/>
    <n v="97200"/>
    <n v="17.899999999999999"/>
    <n v="1.8"/>
    <n v="3.3"/>
    <n v="0"/>
    <n v="1.5"/>
    <n v="3.7"/>
    <n v="2.4"/>
    <s v="Yes"/>
    <n v="0"/>
    <n v="2"/>
    <n v="5.4"/>
    <n v="2"/>
    <x v="0"/>
    <m/>
    <n v="0"/>
    <n v="0"/>
    <x v="0"/>
    <s v="5+ years"/>
    <s v="High"/>
    <s v="2.533333333333333"/>
    <s v="0.3333333333333333"/>
    <n v="0"/>
  </r>
  <r>
    <s v="EMP0526"/>
    <s v="Sales"/>
    <x v="13"/>
    <n v="1.7"/>
    <s v="G4"/>
    <n v="24"/>
    <s v="Master"/>
    <s v="Bengaluru"/>
    <n v="3"/>
    <n v="10.6"/>
    <n v="6"/>
    <n v="2"/>
    <n v="12"/>
    <n v="0"/>
    <s v="Band C"/>
    <n v="62700"/>
    <n v="2.8"/>
    <n v="2.9"/>
    <n v="0.7"/>
    <n v="0"/>
    <n v="1.7"/>
    <n v="5"/>
    <n v="3.3"/>
    <s v="Yes"/>
    <n v="0"/>
    <n v="1"/>
    <n v="1.2"/>
    <n v="0"/>
    <x v="0"/>
    <m/>
    <n v="0"/>
    <n v="0"/>
    <x v="0"/>
    <s v="1â€“3 years"/>
    <s v="Moderate"/>
    <s v="3.3333333333333335"/>
    <n v="0.25"/>
    <n v="0"/>
  </r>
  <r>
    <s v="EMP0527"/>
    <s v="Customer Support"/>
    <x v="2"/>
    <n v="5.0999999999999996"/>
    <s v="G4"/>
    <n v="29"/>
    <s v="Master"/>
    <s v="Bengaluru"/>
    <n v="4"/>
    <n v="5.0999999999999996"/>
    <n v="10"/>
    <n v="0"/>
    <n v="12"/>
    <n v="0"/>
    <s v="Band D"/>
    <n v="92400"/>
    <n v="10"/>
    <n v="4.8"/>
    <n v="1.6"/>
    <n v="0"/>
    <n v="3.5"/>
    <n v="3.3"/>
    <n v="2.7"/>
    <s v="Yes"/>
    <n v="0"/>
    <n v="2"/>
    <n v="0.5"/>
    <n v="0"/>
    <x v="0"/>
    <m/>
    <n v="0"/>
    <n v="0"/>
    <x v="0"/>
    <s v="5+ years"/>
    <s v="Low"/>
    <s v="3.1666666666666665"/>
    <s v="0.3333333333333333"/>
    <n v="0"/>
  </r>
  <r>
    <s v="EMP0528"/>
    <s v="Customer Support"/>
    <x v="9"/>
    <n v="5.2"/>
    <s v="G2"/>
    <n v="26"/>
    <s v="Master"/>
    <s v="Coimbatore"/>
    <n v="3"/>
    <n v="3.4"/>
    <n v="7"/>
    <n v="1"/>
    <n v="12"/>
    <n v="0"/>
    <s v="Band A"/>
    <n v="34600"/>
    <n v="12.2"/>
    <n v="5"/>
    <n v="3.5"/>
    <n v="0"/>
    <n v="4.7"/>
    <n v="3.5"/>
    <n v="4.4000000000000004"/>
    <s v="No"/>
    <n v="0"/>
    <n v="1"/>
    <n v="0.1"/>
    <n v="2"/>
    <x v="0"/>
    <m/>
    <n v="0"/>
    <n v="0"/>
    <x v="0"/>
    <s v="5+ years"/>
    <s v="Low"/>
    <n v="4.2"/>
    <n v="0.25"/>
    <n v="0"/>
  </r>
  <r>
    <s v="EMP0529"/>
    <s v="Operations"/>
    <x v="6"/>
    <n v="5.8"/>
    <s v="G5"/>
    <n v="35"/>
    <s v="Master"/>
    <s v="Bengaluru"/>
    <n v="4"/>
    <n v="8"/>
    <n v="2"/>
    <n v="0"/>
    <n v="12"/>
    <n v="0"/>
    <s v="Band D"/>
    <n v="95200"/>
    <n v="6.6"/>
    <n v="2.6"/>
    <n v="2"/>
    <n v="0"/>
    <n v="2.1"/>
    <n v="3.5"/>
    <n v="3"/>
    <s v="Yes"/>
    <n v="0"/>
    <n v="2"/>
    <n v="4.8"/>
    <n v="0"/>
    <x v="1"/>
    <d v="2026-01-11T00:00:00"/>
    <n v="0"/>
    <n v="0"/>
    <x v="0"/>
    <s v="5+ years"/>
    <s v="Low"/>
    <s v="2.8666666666666667"/>
    <s v="0.3333333333333333"/>
    <n v="1"/>
  </r>
  <r>
    <s v="EMP0530"/>
    <s v="Sales"/>
    <x v="8"/>
    <n v="4.3"/>
    <s v="G1"/>
    <n v="27"/>
    <s v="Bachelor"/>
    <s v="Remote"/>
    <n v="4"/>
    <n v="10"/>
    <n v="8"/>
    <n v="0"/>
    <n v="12"/>
    <n v="0"/>
    <s v="Band A"/>
    <n v="22400"/>
    <n v="7.3"/>
    <n v="2.4"/>
    <n v="0.3"/>
    <n v="0"/>
    <n v="3.1"/>
    <n v="3.4"/>
    <n v="3.1"/>
    <s v="Yes"/>
    <n v="0"/>
    <n v="2"/>
    <n v="2.1"/>
    <n v="0"/>
    <x v="0"/>
    <m/>
    <n v="0"/>
    <n v="0"/>
    <x v="0"/>
    <s v="3â€“5 years"/>
    <s v="Low"/>
    <s v="3.1999999999999997"/>
    <s v="0.3333333333333333"/>
    <n v="0"/>
  </r>
  <r>
    <s v="EMP0531"/>
    <s v="Operations"/>
    <x v="0"/>
    <n v="4.9000000000000004"/>
    <s v="G2"/>
    <n v="35"/>
    <s v="Bachelor"/>
    <s v="Bengaluru"/>
    <n v="8"/>
    <n v="3.2"/>
    <n v="10"/>
    <n v="3"/>
    <n v="12"/>
    <n v="0"/>
    <s v="Band B"/>
    <n v="35600"/>
    <n v="6.4"/>
    <n v="2.8"/>
    <n v="0.4"/>
    <n v="0"/>
    <n v="3"/>
    <n v="5"/>
    <n v="4.2"/>
    <s v="Yes"/>
    <n v="0"/>
    <n v="1"/>
    <n v="1.5"/>
    <n v="0"/>
    <x v="0"/>
    <m/>
    <n v="0"/>
    <n v="0"/>
    <x v="0"/>
    <s v="3â€“5 years"/>
    <s v="Low"/>
    <s v="4.066666666666666"/>
    <s v="0.6666666666666666"/>
    <n v="0"/>
  </r>
  <r>
    <s v="EMP0532"/>
    <s v="Operations"/>
    <x v="0"/>
    <n v="1.7"/>
    <s v="G2"/>
    <n v="26"/>
    <s v="Bachelor"/>
    <s v="Hyderabad"/>
    <n v="0"/>
    <n v="7.8"/>
    <n v="8"/>
    <n v="4"/>
    <n v="12"/>
    <n v="0"/>
    <s v="Band A"/>
    <n v="33500"/>
    <n v="8"/>
    <n v="4.8"/>
    <n v="3.1"/>
    <n v="0"/>
    <n v="5"/>
    <n v="2.4"/>
    <n v="4.5"/>
    <s v="No"/>
    <n v="0"/>
    <n v="0"/>
    <m/>
    <n v="0"/>
    <x v="0"/>
    <m/>
    <n v="1"/>
    <n v="0"/>
    <x v="1"/>
    <s v="1â€“3 years"/>
    <s v="Low"/>
    <s v="3.966666666666667"/>
    <n v="0"/>
    <n v="0"/>
  </r>
  <r>
    <s v="EMP0533"/>
    <s v="Sales"/>
    <x v="14"/>
    <n v="8.9"/>
    <s v="G4"/>
    <n v="31"/>
    <s v="Diploma"/>
    <s v="Bengaluru"/>
    <n v="5"/>
    <n v="20.3"/>
    <n v="9"/>
    <n v="2"/>
    <n v="12"/>
    <n v="0"/>
    <s v="Band C"/>
    <n v="71000"/>
    <n v="11.6"/>
    <n v="4"/>
    <n v="2.1"/>
    <n v="0"/>
    <n v="5"/>
    <n v="2.2999999999999998"/>
    <n v="4.5999999999999996"/>
    <s v="Yes"/>
    <n v="0"/>
    <n v="0"/>
    <m/>
    <n v="1"/>
    <x v="0"/>
    <m/>
    <n v="1"/>
    <n v="0"/>
    <x v="1"/>
    <s v="5+ years"/>
    <s v="High"/>
    <s v="3.9666666666666663"/>
    <s v="0.4166666666666667"/>
    <n v="0"/>
  </r>
  <r>
    <s v="EMP0534"/>
    <s v="Operations"/>
    <x v="6"/>
    <n v="7.1"/>
    <s v="G4"/>
    <n v="31"/>
    <s v="Bachelor"/>
    <s v="Hyderabad"/>
    <n v="2"/>
    <n v="1"/>
    <n v="5"/>
    <n v="2"/>
    <n v="12"/>
    <n v="0"/>
    <s v="Band D"/>
    <n v="78100"/>
    <n v="7.2"/>
    <n v="4.5"/>
    <n v="2.5"/>
    <n v="0"/>
    <n v="3.7"/>
    <n v="2.9"/>
    <n v="2.1"/>
    <s v="Yes"/>
    <n v="0"/>
    <n v="2"/>
    <n v="0.9"/>
    <n v="1"/>
    <x v="0"/>
    <m/>
    <n v="0"/>
    <n v="0"/>
    <x v="0"/>
    <s v="5+ years"/>
    <s v="Low"/>
    <n v="2.9"/>
    <s v="0.16666666666666666"/>
    <n v="0"/>
  </r>
  <r>
    <s v="EMP0535"/>
    <s v="Engineering"/>
    <x v="4"/>
    <n v="4.7"/>
    <s v="G3"/>
    <n v="21"/>
    <s v="Diploma"/>
    <s v="Remote"/>
    <n v="1"/>
    <n v="11.1"/>
    <n v="14"/>
    <n v="0"/>
    <n v="12"/>
    <n v="0"/>
    <s v="Band C"/>
    <n v="57600"/>
    <n v="20.399999999999999"/>
    <n v="4.0999999999999996"/>
    <n v="1.8"/>
    <n v="0"/>
    <n v="4.0999999999999996"/>
    <n v="4.8"/>
    <n v="3.8"/>
    <s v="Yes"/>
    <n v="0"/>
    <n v="0"/>
    <m/>
    <n v="0"/>
    <x v="0"/>
    <m/>
    <n v="1"/>
    <n v="0"/>
    <x v="1"/>
    <s v="3â€“5 years"/>
    <s v="Moderate"/>
    <s v="4.233333333333333"/>
    <n v="8.3333333333333301E-2"/>
    <n v="0"/>
  </r>
  <r>
    <s v="EMP0536"/>
    <s v="Engineering"/>
    <x v="4"/>
    <n v="7.2"/>
    <s v="G3"/>
    <n v="33"/>
    <s v="Diploma"/>
    <s v="Chennai"/>
    <n v="1"/>
    <n v="6.3"/>
    <n v="10"/>
    <n v="4"/>
    <n v="12"/>
    <n v="0"/>
    <s v="Band B"/>
    <n v="49300"/>
    <n v="6.2"/>
    <n v="2"/>
    <n v="2.5"/>
    <n v="0"/>
    <n v="4.0999999999999996"/>
    <n v="2.7"/>
    <n v="3.6"/>
    <s v="No"/>
    <n v="0"/>
    <n v="1"/>
    <n v="0.8"/>
    <n v="0"/>
    <x v="0"/>
    <m/>
    <n v="0"/>
    <n v="0"/>
    <x v="0"/>
    <s v="5+ years"/>
    <s v="Low"/>
    <s v="3.466666666666667"/>
    <n v="8.3333333333333301E-2"/>
    <n v="0"/>
  </r>
  <r>
    <s v="EMP0537"/>
    <s v="Finance"/>
    <x v="18"/>
    <n v="9.1"/>
    <s v="G2"/>
    <n v="34"/>
    <s v="Master"/>
    <s v="Chennai"/>
    <n v="4"/>
    <n v="10.199999999999999"/>
    <n v="14"/>
    <n v="1"/>
    <n v="12"/>
    <n v="0"/>
    <s v="Band B"/>
    <n v="38100"/>
    <n v="13.5"/>
    <n v="2.2999999999999998"/>
    <n v="2.5"/>
    <n v="0"/>
    <n v="2.1"/>
    <n v="3.6"/>
    <n v="3.4"/>
    <s v="Yes"/>
    <n v="0"/>
    <n v="0"/>
    <m/>
    <n v="0"/>
    <x v="0"/>
    <m/>
    <n v="1"/>
    <n v="0"/>
    <x v="1"/>
    <s v="5+ years"/>
    <s v="Moderate"/>
    <s v="3.033333333333333"/>
    <s v="0.3333333333333333"/>
    <n v="0"/>
  </r>
  <r>
    <s v="EMP0538"/>
    <s v="Engineering"/>
    <x v="10"/>
    <n v="5.7"/>
    <s v="G2"/>
    <n v="35"/>
    <s v="Master"/>
    <s v="Bengaluru"/>
    <n v="2"/>
    <n v="29.8"/>
    <n v="6"/>
    <n v="3"/>
    <n v="12"/>
    <n v="0"/>
    <s v="Band B"/>
    <n v="45300"/>
    <n v="10.199999999999999"/>
    <n v="2.6"/>
    <n v="0"/>
    <n v="0"/>
    <n v="3.9"/>
    <n v="4.2"/>
    <n v="3.5"/>
    <s v="Yes"/>
    <n v="0"/>
    <n v="3"/>
    <n v="3.2"/>
    <n v="1"/>
    <x v="0"/>
    <m/>
    <n v="0"/>
    <n v="0"/>
    <x v="0"/>
    <s v="5+ years"/>
    <s v="High"/>
    <s v="3.8666666666666667"/>
    <s v="0.16666666666666666"/>
    <n v="0"/>
  </r>
  <r>
    <s v="EMP0539"/>
    <s v="Engineering"/>
    <x v="12"/>
    <n v="13.3"/>
    <s v="G2"/>
    <n v="32"/>
    <s v="Bachelor"/>
    <s v="Coimbatore"/>
    <n v="6"/>
    <n v="9.8000000000000007"/>
    <n v="8"/>
    <n v="2"/>
    <n v="12"/>
    <n v="0"/>
    <s v="Band C"/>
    <n v="53500"/>
    <n v="8.4"/>
    <n v="2.7"/>
    <n v="0.1"/>
    <n v="0"/>
    <n v="2.4"/>
    <n v="3.9"/>
    <n v="4.4000000000000004"/>
    <s v="Yes"/>
    <n v="0"/>
    <n v="0"/>
    <m/>
    <n v="1"/>
    <x v="0"/>
    <m/>
    <n v="1"/>
    <n v="0"/>
    <x v="1"/>
    <s v="5+ years"/>
    <s v="Low"/>
    <s v="3.5666666666666664"/>
    <n v="0.5"/>
    <n v="0"/>
  </r>
  <r>
    <s v="EMP0540"/>
    <s v="Customer Support"/>
    <x v="2"/>
    <n v="6"/>
    <s v="G1"/>
    <n v="37"/>
    <s v="Bachelor"/>
    <s v="Bengaluru"/>
    <n v="2"/>
    <n v="8.6999999999999993"/>
    <n v="9"/>
    <n v="1"/>
    <n v="12"/>
    <n v="0"/>
    <s v="Band A"/>
    <n v="34200"/>
    <n v="13.9"/>
    <n v="2.6"/>
    <n v="0.6"/>
    <n v="0"/>
    <n v="3.1"/>
    <n v="4.0999999999999996"/>
    <n v="4.2"/>
    <s v="Yes"/>
    <n v="0"/>
    <n v="0"/>
    <m/>
    <n v="1"/>
    <x v="0"/>
    <m/>
    <n v="1"/>
    <n v="0"/>
    <x v="1"/>
    <s v="5+ years"/>
    <s v="Low"/>
    <s v="3.7999999999999994"/>
    <s v="0.16666666666666666"/>
    <n v="0"/>
  </r>
  <r>
    <s v="EMP0541"/>
    <s v="Customer Support"/>
    <x v="5"/>
    <n v="1.9"/>
    <s v="G2"/>
    <n v="31"/>
    <s v="Bachelor"/>
    <s v="Hyderabad"/>
    <n v="1"/>
    <n v="16.8"/>
    <n v="4"/>
    <n v="2"/>
    <n v="12"/>
    <n v="0"/>
    <s v="Band A"/>
    <n v="30500"/>
    <n v="1.6"/>
    <n v="2.7"/>
    <n v="1.8"/>
    <n v="0"/>
    <n v="4.3"/>
    <n v="4.5"/>
    <n v="3.4"/>
    <s v="Yes"/>
    <n v="1"/>
    <n v="1"/>
    <m/>
    <n v="0"/>
    <x v="0"/>
    <m/>
    <n v="1"/>
    <n v="0"/>
    <x v="0"/>
    <s v="1â€“3 years"/>
    <s v="Moderate"/>
    <s v="4.066666666666667"/>
    <n v="8.3333333333333301E-2"/>
    <n v="0"/>
  </r>
  <r>
    <s v="EMP0542"/>
    <s v="Finance"/>
    <x v="17"/>
    <n v="4.5999999999999996"/>
    <s v="G4"/>
    <n v="36"/>
    <s v="Master"/>
    <s v="Remote"/>
    <n v="3"/>
    <n v="12.9"/>
    <n v="8"/>
    <n v="3"/>
    <n v="12"/>
    <n v="0"/>
    <s v="Band D"/>
    <n v="83100"/>
    <n v="9.6999999999999993"/>
    <n v="3.8"/>
    <n v="1.6"/>
    <n v="0"/>
    <n v="3.4"/>
    <n v="3.5"/>
    <n v="3.6"/>
    <s v="Yes"/>
    <n v="0"/>
    <n v="1"/>
    <n v="1.6"/>
    <n v="0"/>
    <x v="0"/>
    <m/>
    <n v="0"/>
    <n v="0"/>
    <x v="0"/>
    <s v="3â€“5 years"/>
    <s v="Moderate"/>
    <n v="3.5"/>
    <n v="0.25"/>
    <n v="0"/>
  </r>
  <r>
    <s v="EMP0543"/>
    <s v="Customer Support"/>
    <x v="9"/>
    <n v="7.3"/>
    <s v="G3"/>
    <n v="33"/>
    <s v="Bachelor"/>
    <s v="Coimbatore"/>
    <n v="3"/>
    <n v="11.1"/>
    <n v="5"/>
    <n v="5"/>
    <n v="12"/>
    <n v="0"/>
    <s v="Band C"/>
    <n v="68600"/>
    <n v="5.0999999999999996"/>
    <n v="3.3"/>
    <n v="0.4"/>
    <n v="0"/>
    <n v="4.3"/>
    <n v="2.8"/>
    <n v="5"/>
    <s v="Yes"/>
    <n v="0"/>
    <n v="0"/>
    <m/>
    <n v="0"/>
    <x v="0"/>
    <m/>
    <n v="1"/>
    <n v="0"/>
    <x v="1"/>
    <s v="5+ years"/>
    <s v="Moderate"/>
    <s v="4.033333333333333"/>
    <n v="0.25"/>
    <n v="0"/>
  </r>
  <r>
    <s v="EMP0544"/>
    <s v="Customer Support"/>
    <x v="2"/>
    <n v="9.1"/>
    <s v="G4"/>
    <n v="39"/>
    <s v="Bachelor"/>
    <s v="Bengaluru"/>
    <n v="6"/>
    <n v="13.3"/>
    <n v="7"/>
    <n v="2"/>
    <n v="12"/>
    <n v="0"/>
    <s v="Band C"/>
    <n v="61700"/>
    <n v="6.3"/>
    <n v="4.3"/>
    <n v="4.0999999999999996"/>
    <n v="0"/>
    <n v="4.5"/>
    <n v="3.3"/>
    <n v="3.1"/>
    <s v="Yes"/>
    <n v="0"/>
    <n v="2"/>
    <n v="8.1"/>
    <n v="0"/>
    <x v="0"/>
    <m/>
    <n v="0"/>
    <n v="0"/>
    <x v="0"/>
    <s v="5+ years"/>
    <s v="Moderate"/>
    <s v="3.6333333333333333"/>
    <n v="0.5"/>
    <n v="0"/>
  </r>
  <r>
    <s v="EMP0545"/>
    <s v="Engineering"/>
    <x v="4"/>
    <n v="4.3"/>
    <s v="G2"/>
    <n v="24"/>
    <s v="Bachelor"/>
    <s v="Chennai"/>
    <n v="2"/>
    <n v="24.3"/>
    <n v="9"/>
    <n v="1"/>
    <n v="12"/>
    <n v="0"/>
    <s v="Band B"/>
    <n v="44400"/>
    <n v="6.1"/>
    <n v="3.4"/>
    <n v="2.4"/>
    <n v="0"/>
    <n v="1.7"/>
    <n v="2.9"/>
    <n v="3.4"/>
    <s v="Yes"/>
    <n v="1"/>
    <n v="0"/>
    <m/>
    <n v="2"/>
    <x v="0"/>
    <m/>
    <n v="1"/>
    <n v="0"/>
    <x v="1"/>
    <s v="3â€“5 years"/>
    <s v="High"/>
    <s v="2.6666666666666665"/>
    <s v="0.16666666666666666"/>
    <n v="0"/>
  </r>
  <r>
    <s v="EMP0546"/>
    <s v="Hr"/>
    <x v="7"/>
    <n v="1.8"/>
    <s v="G3"/>
    <n v="31"/>
    <s v="Bachelor"/>
    <s v="Coimbatore"/>
    <n v="0"/>
    <n v="19.399999999999999"/>
    <n v="14"/>
    <n v="3"/>
    <n v="12"/>
    <n v="0"/>
    <s v="Band C"/>
    <n v="53400"/>
    <n v="4.0999999999999996"/>
    <n v="2.6"/>
    <n v="0.1"/>
    <n v="0"/>
    <n v="3.3"/>
    <n v="5"/>
    <n v="3.2"/>
    <s v="Yes"/>
    <n v="1"/>
    <n v="0"/>
    <m/>
    <n v="0"/>
    <x v="0"/>
    <m/>
    <n v="1"/>
    <n v="0"/>
    <x v="1"/>
    <s v="1â€“3 years"/>
    <s v="Moderate"/>
    <s v="3.8333333333333335"/>
    <n v="0"/>
    <n v="0"/>
  </r>
  <r>
    <s v="EMP0547"/>
    <s v="Sales"/>
    <x v="14"/>
    <n v="3.2"/>
    <s v="G1"/>
    <n v="26"/>
    <s v="Master"/>
    <s v="Chennai"/>
    <n v="2"/>
    <n v="8.1999999999999993"/>
    <n v="10"/>
    <n v="1"/>
    <n v="12"/>
    <n v="0"/>
    <s v="Band A"/>
    <n v="27400"/>
    <n v="1.4"/>
    <n v="3.4"/>
    <n v="1.5"/>
    <n v="0"/>
    <n v="4.3"/>
    <n v="2.7"/>
    <n v="3.4"/>
    <s v="Yes"/>
    <n v="0"/>
    <n v="0"/>
    <m/>
    <n v="0"/>
    <x v="0"/>
    <m/>
    <n v="1"/>
    <n v="0"/>
    <x v="1"/>
    <s v="3â€“5 years"/>
    <s v="Low"/>
    <s v="3.466666666666667"/>
    <s v="0.16666666666666666"/>
    <n v="0"/>
  </r>
  <r>
    <s v="EMP0548"/>
    <s v="Engineering"/>
    <x v="12"/>
    <n v="1.1000000000000001"/>
    <s v="G2"/>
    <n v="21"/>
    <s v="Doctorate"/>
    <s v="Coimbatore"/>
    <n v="3"/>
    <n v="28.7"/>
    <n v="12"/>
    <n v="2"/>
    <n v="12"/>
    <n v="0"/>
    <s v="Band B"/>
    <n v="38500"/>
    <n v="9.6"/>
    <n v="1.8"/>
    <n v="0.3"/>
    <n v="0"/>
    <n v="4.4000000000000004"/>
    <n v="3.3"/>
    <n v="4.4000000000000004"/>
    <s v="Yes"/>
    <n v="1"/>
    <n v="1"/>
    <m/>
    <n v="1"/>
    <x v="1"/>
    <d v="2024-10-20T00:00:00"/>
    <n v="1"/>
    <n v="0"/>
    <x v="0"/>
    <s v="1â€“3 years"/>
    <s v="High"/>
    <s v="4.033333333333334"/>
    <n v="0.25"/>
    <n v="1"/>
  </r>
  <r>
    <s v="EMP0549"/>
    <s v="Operations"/>
    <x v="3"/>
    <n v="6.5"/>
    <s v="G2"/>
    <n v="28"/>
    <s v="Bachelor"/>
    <s v="Coimbatore"/>
    <n v="0"/>
    <n v="6.7"/>
    <n v="9"/>
    <n v="1"/>
    <n v="12"/>
    <n v="0"/>
    <s v="Band B"/>
    <n v="42700"/>
    <n v="7.7"/>
    <n v="1.1000000000000001"/>
    <n v="1.7"/>
    <n v="0"/>
    <n v="3.5"/>
    <n v="1.8"/>
    <n v="3"/>
    <s v="Yes"/>
    <n v="0"/>
    <n v="0"/>
    <m/>
    <n v="0"/>
    <x v="0"/>
    <m/>
    <n v="1"/>
    <n v="0"/>
    <x v="1"/>
    <s v="5+ years"/>
    <s v="Low"/>
    <s v="2.766666666666667"/>
    <n v="0"/>
    <n v="0"/>
  </r>
  <r>
    <s v="EMP0550"/>
    <s v="Hr"/>
    <x v="1"/>
    <n v="2.8"/>
    <s v="G2"/>
    <n v="29"/>
    <s v="Bachelor"/>
    <s v="Bengaluru"/>
    <n v="6"/>
    <n v="11.1"/>
    <n v="17"/>
    <n v="4"/>
    <n v="12"/>
    <n v="0"/>
    <s v="Band B"/>
    <n v="43800"/>
    <n v="6.8"/>
    <n v="3.8"/>
    <n v="1.2"/>
    <n v="0"/>
    <n v="3.7"/>
    <n v="3.3"/>
    <n v="3.8"/>
    <s v="Yes"/>
    <n v="0"/>
    <n v="2"/>
    <n v="2.2000000000000002"/>
    <n v="0"/>
    <x v="0"/>
    <m/>
    <n v="0"/>
    <n v="0"/>
    <x v="0"/>
    <s v="1â€“3 years"/>
    <s v="Moderate"/>
    <n v="3.6"/>
    <n v="0.5"/>
    <n v="0"/>
  </r>
  <r>
    <s v="EMP0551"/>
    <s v="Hr"/>
    <x v="7"/>
    <n v="2.2000000000000002"/>
    <s v="G1"/>
    <n v="25"/>
    <s v="Bachelor"/>
    <s v="Bengaluru"/>
    <n v="3"/>
    <n v="12.1"/>
    <n v="5"/>
    <n v="3"/>
    <n v="12"/>
    <n v="0"/>
    <s v="Band A"/>
    <n v="31800"/>
    <n v="11"/>
    <n v="4.0999999999999996"/>
    <n v="0.9"/>
    <n v="0"/>
    <n v="4.0999999999999996"/>
    <n v="2.9"/>
    <n v="2.2000000000000002"/>
    <s v="Yes"/>
    <n v="0"/>
    <n v="1"/>
    <n v="0.2"/>
    <n v="0"/>
    <x v="0"/>
    <m/>
    <n v="0"/>
    <n v="0"/>
    <x v="0"/>
    <s v="1â€“3 years"/>
    <s v="Moderate"/>
    <s v="3.0666666666666664"/>
    <n v="0.25"/>
    <n v="0"/>
  </r>
  <r>
    <s v="EMP0552"/>
    <s v="Engineering"/>
    <x v="10"/>
    <n v="6.9"/>
    <s v="G3"/>
    <n v="34"/>
    <s v="Bachelor"/>
    <s v="Chennai"/>
    <n v="2"/>
    <n v="7.9"/>
    <n v="14"/>
    <n v="2"/>
    <n v="12"/>
    <n v="0"/>
    <s v="Band B"/>
    <n v="45700"/>
    <n v="9.8000000000000007"/>
    <n v="3.3"/>
    <n v="2.8"/>
    <n v="0"/>
    <n v="4.0999999999999996"/>
    <n v="3.8"/>
    <n v="4.3"/>
    <s v="Yes"/>
    <n v="0"/>
    <n v="0"/>
    <m/>
    <n v="0"/>
    <x v="0"/>
    <m/>
    <n v="1"/>
    <n v="0"/>
    <x v="1"/>
    <s v="5+ years"/>
    <s v="Low"/>
    <s v="4.066666666666666"/>
    <s v="0.16666666666666666"/>
    <n v="0"/>
  </r>
  <r>
    <s v="EMP0553"/>
    <s v="Engineering"/>
    <x v="16"/>
    <n v="10.3"/>
    <s v="G2"/>
    <n v="29"/>
    <s v="Doctorate"/>
    <s v="Chennai"/>
    <n v="1"/>
    <n v="26.6"/>
    <n v="7"/>
    <n v="2"/>
    <n v="12"/>
    <n v="0"/>
    <s v="Band B"/>
    <n v="39400"/>
    <n v="6.9"/>
    <n v="2.8"/>
    <n v="2.8"/>
    <n v="0"/>
    <n v="3"/>
    <n v="3.8"/>
    <n v="3.5"/>
    <s v="Yes"/>
    <n v="0"/>
    <n v="1"/>
    <n v="8.4"/>
    <n v="0"/>
    <x v="0"/>
    <m/>
    <n v="0"/>
    <n v="0"/>
    <x v="0"/>
    <s v="5+ years"/>
    <s v="High"/>
    <s v="3.4333333333333336"/>
    <n v="8.3333333333333301E-2"/>
    <n v="0"/>
  </r>
  <r>
    <s v="EMP0554"/>
    <s v="Customer Support"/>
    <x v="5"/>
    <n v="2.2000000000000002"/>
    <s v="G2"/>
    <n v="21"/>
    <s v="Master"/>
    <s v="Chennai"/>
    <n v="2"/>
    <n v="7.6"/>
    <n v="13"/>
    <n v="0"/>
    <n v="12"/>
    <n v="0"/>
    <s v="Band B"/>
    <n v="38500"/>
    <n v="20.2"/>
    <n v="2"/>
    <n v="0.7"/>
    <n v="0"/>
    <n v="4.2"/>
    <n v="4.5"/>
    <n v="3.2"/>
    <s v="Yes"/>
    <n v="0"/>
    <n v="3"/>
    <n v="1.3"/>
    <n v="0"/>
    <x v="0"/>
    <m/>
    <n v="0"/>
    <n v="0"/>
    <x v="0"/>
    <s v="1â€“3 years"/>
    <s v="Low"/>
    <s v="3.9666666666666663"/>
    <s v="0.16666666666666666"/>
    <n v="0"/>
  </r>
  <r>
    <s v="EMP0555"/>
    <s v="Engineering"/>
    <x v="4"/>
    <n v="4.3"/>
    <s v="G2"/>
    <n v="36"/>
    <s v="Bachelor"/>
    <s v="Remote"/>
    <n v="2"/>
    <n v="9.1999999999999993"/>
    <n v="5"/>
    <n v="1"/>
    <n v="12"/>
    <n v="0"/>
    <s v="Band B"/>
    <n v="46700"/>
    <n v="12.1"/>
    <n v="4.3"/>
    <n v="3.1"/>
    <n v="0"/>
    <n v="3"/>
    <n v="4.4000000000000004"/>
    <n v="5"/>
    <s v="Yes"/>
    <n v="0"/>
    <n v="0"/>
    <m/>
    <n v="1"/>
    <x v="0"/>
    <m/>
    <n v="1"/>
    <n v="0"/>
    <x v="1"/>
    <s v="3â€“5 years"/>
    <s v="Low"/>
    <s v="4.133333333333334"/>
    <s v="0.16666666666666666"/>
    <n v="0"/>
  </r>
  <r>
    <s v="EMP0556"/>
    <s v="Engineering"/>
    <x v="16"/>
    <n v="3.3"/>
    <s v="G3"/>
    <n v="33"/>
    <s v="Bachelor"/>
    <s v="Remote"/>
    <n v="3"/>
    <n v="21.4"/>
    <n v="5"/>
    <n v="2"/>
    <n v="12"/>
    <n v="0"/>
    <s v="Band B"/>
    <n v="35700"/>
    <n v="17.8"/>
    <n v="3.6"/>
    <n v="0.7"/>
    <n v="0"/>
    <n v="3.5"/>
    <n v="3.1"/>
    <n v="4.3"/>
    <s v="Yes"/>
    <n v="0"/>
    <n v="3"/>
    <n v="2.2000000000000002"/>
    <n v="2"/>
    <x v="0"/>
    <m/>
    <n v="0"/>
    <n v="0"/>
    <x v="0"/>
    <s v="3â€“5 years"/>
    <s v="High"/>
    <s v="3.633333333333333"/>
    <n v="0.25"/>
    <n v="0"/>
  </r>
  <r>
    <s v="EMP0557"/>
    <s v="Sales"/>
    <x v="14"/>
    <n v="9.3000000000000007"/>
    <s v="G2"/>
    <n v="31"/>
    <s v="Bachelor"/>
    <s v="Chennai"/>
    <n v="8"/>
    <n v="6.9"/>
    <n v="11"/>
    <n v="2"/>
    <n v="12"/>
    <n v="0"/>
    <s v="Band B"/>
    <n v="39100"/>
    <n v="6.3"/>
    <n v="3.5"/>
    <n v="0.2"/>
    <n v="0"/>
    <n v="3.5"/>
    <n v="2.4"/>
    <n v="2.6"/>
    <s v="Yes"/>
    <n v="0"/>
    <n v="1"/>
    <n v="8.5"/>
    <n v="0"/>
    <x v="0"/>
    <m/>
    <n v="0"/>
    <n v="0"/>
    <x v="0"/>
    <s v="5+ years"/>
    <s v="Low"/>
    <s v="2.8333333333333335"/>
    <s v="0.6666666666666666"/>
    <n v="0"/>
  </r>
  <r>
    <s v="EMP0558"/>
    <s v="Hr"/>
    <x v="15"/>
    <n v="3.6"/>
    <s v="G2"/>
    <n v="30"/>
    <s v="Diploma"/>
    <s v="Chennai"/>
    <n v="10"/>
    <n v="3.1"/>
    <n v="3"/>
    <n v="2"/>
    <n v="12"/>
    <n v="0"/>
    <s v="Band A"/>
    <n v="31800"/>
    <n v="9"/>
    <n v="3.2"/>
    <n v="0.1"/>
    <n v="0"/>
    <n v="2.5"/>
    <n v="2.5"/>
    <n v="3.3"/>
    <s v="Yes"/>
    <n v="0"/>
    <n v="0"/>
    <m/>
    <n v="0"/>
    <x v="0"/>
    <m/>
    <n v="1"/>
    <n v="0"/>
    <x v="1"/>
    <s v="3â€“5 years"/>
    <s v="Low"/>
    <s v="2.766666666666667"/>
    <s v="0.8333333333333334"/>
    <n v="0"/>
  </r>
  <r>
    <s v="EMP0559"/>
    <s v="Finance"/>
    <x v="18"/>
    <n v="1.6"/>
    <s v="G3"/>
    <n v="32"/>
    <s v="Bachelor"/>
    <s v="Coimbatore"/>
    <n v="5"/>
    <n v="11.4"/>
    <n v="4"/>
    <n v="3"/>
    <n v="12"/>
    <n v="0"/>
    <s v="Band B"/>
    <n v="43500"/>
    <n v="3"/>
    <n v="2.8"/>
    <n v="0.8"/>
    <n v="0"/>
    <n v="2.6"/>
    <n v="3.5"/>
    <n v="5"/>
    <s v="Yes"/>
    <n v="0"/>
    <n v="1"/>
    <n v="0.5"/>
    <n v="1"/>
    <x v="0"/>
    <m/>
    <n v="0"/>
    <n v="0"/>
    <x v="0"/>
    <s v="1â€“3 years"/>
    <s v="Moderate"/>
    <s v="3.6999999999999997"/>
    <s v="0.4166666666666667"/>
    <n v="0"/>
  </r>
  <r>
    <s v="EMP0560"/>
    <s v="Hr"/>
    <x v="7"/>
    <n v="3.7"/>
    <s v="G1"/>
    <n v="31"/>
    <s v="Master"/>
    <s v="Bengaluru"/>
    <n v="3"/>
    <n v="4.0999999999999996"/>
    <n v="11"/>
    <n v="1"/>
    <n v="12"/>
    <n v="0"/>
    <s v="Band A"/>
    <n v="32100"/>
    <n v="6.7"/>
    <n v="2.2000000000000002"/>
    <n v="0.8"/>
    <n v="0"/>
    <n v="5"/>
    <n v="3.3"/>
    <n v="5"/>
    <s v="Yes"/>
    <n v="0"/>
    <n v="1"/>
    <n v="2.5"/>
    <n v="1"/>
    <x v="0"/>
    <m/>
    <n v="0"/>
    <n v="0"/>
    <x v="0"/>
    <s v="3â€“5 years"/>
    <s v="Low"/>
    <s v="4.433333333333334"/>
    <n v="0.25"/>
    <n v="0"/>
  </r>
  <r>
    <s v="EMP0561"/>
    <s v="Engineering"/>
    <x v="12"/>
    <n v="8.1"/>
    <s v="G4"/>
    <n v="35"/>
    <s v="Bachelor"/>
    <s v="Chennai"/>
    <n v="6"/>
    <n v="3.6"/>
    <n v="4"/>
    <n v="2"/>
    <n v="12"/>
    <n v="0"/>
    <s v="Band C"/>
    <n v="71500"/>
    <n v="5.7"/>
    <n v="3.4"/>
    <n v="1.5"/>
    <n v="0"/>
    <n v="2.5"/>
    <n v="3.4"/>
    <n v="4.0999999999999996"/>
    <s v="Yes"/>
    <n v="0"/>
    <n v="2"/>
    <n v="6.7"/>
    <n v="0"/>
    <x v="0"/>
    <m/>
    <n v="0"/>
    <n v="0"/>
    <x v="0"/>
    <s v="5+ years"/>
    <s v="Low"/>
    <s v="3.3333333333333335"/>
    <n v="0.5"/>
    <n v="0"/>
  </r>
  <r>
    <s v="EMP0562"/>
    <s v="Sales"/>
    <x v="8"/>
    <n v="3.2"/>
    <s v="G1"/>
    <n v="34"/>
    <s v="Bachelor"/>
    <s v="Chennai"/>
    <n v="2"/>
    <n v="1"/>
    <n v="12"/>
    <n v="0"/>
    <n v="12"/>
    <n v="0"/>
    <s v="Band A"/>
    <n v="20500"/>
    <n v="20"/>
    <n v="2.7"/>
    <n v="0.6"/>
    <n v="0"/>
    <n v="3.6"/>
    <n v="2.7"/>
    <n v="1.9"/>
    <s v="Yes"/>
    <n v="0"/>
    <n v="2"/>
    <n v="2.1"/>
    <n v="0"/>
    <x v="0"/>
    <m/>
    <n v="0"/>
    <n v="0"/>
    <x v="0"/>
    <s v="3â€“5 years"/>
    <s v="Low"/>
    <s v="2.733333333333334"/>
    <s v="0.16666666666666666"/>
    <n v="0"/>
  </r>
  <r>
    <s v="EMP0563"/>
    <s v="Customer Support"/>
    <x v="9"/>
    <n v="2.4"/>
    <s v="G2"/>
    <n v="25"/>
    <s v="Master"/>
    <s v="Coimbatore"/>
    <n v="2"/>
    <n v="1.2"/>
    <n v="9"/>
    <n v="1"/>
    <n v="12"/>
    <n v="0"/>
    <s v="Band B"/>
    <n v="37500"/>
    <n v="5.2"/>
    <n v="2.8"/>
    <n v="3"/>
    <n v="0"/>
    <n v="3.8"/>
    <n v="4.5"/>
    <n v="4.5"/>
    <s v="Yes"/>
    <n v="0"/>
    <n v="2"/>
    <m/>
    <n v="0"/>
    <x v="0"/>
    <m/>
    <n v="1"/>
    <n v="0"/>
    <x v="0"/>
    <s v="1â€“3 years"/>
    <s v="Low"/>
    <s v="4.266666666666667"/>
    <s v="0.16666666666666666"/>
    <n v="0"/>
  </r>
  <r>
    <s v="EMP0564"/>
    <s v="Operations"/>
    <x v="3"/>
    <n v="3.5"/>
    <s v="G1"/>
    <n v="30"/>
    <s v="Master"/>
    <s v="Chennai"/>
    <n v="4"/>
    <n v="1.3"/>
    <n v="8"/>
    <n v="1"/>
    <n v="12"/>
    <n v="0"/>
    <s v="Band B"/>
    <n v="35600"/>
    <n v="7.1"/>
    <n v="4.7"/>
    <n v="0.1"/>
    <n v="0"/>
    <n v="3.3"/>
    <n v="1.9"/>
    <n v="2.9"/>
    <s v="Yes"/>
    <n v="0"/>
    <n v="0"/>
    <m/>
    <n v="0"/>
    <x v="0"/>
    <m/>
    <n v="1"/>
    <n v="0"/>
    <x v="1"/>
    <s v="3â€“5 years"/>
    <s v="Low"/>
    <s v="2.6999999999999997"/>
    <s v="0.3333333333333333"/>
    <n v="0"/>
  </r>
  <r>
    <s v="EMP0565"/>
    <s v="Operations"/>
    <x v="3"/>
    <n v="1.7"/>
    <s v="G3"/>
    <n v="28"/>
    <s v="Bachelor"/>
    <s v="Chennai"/>
    <n v="5"/>
    <n v="31.4"/>
    <n v="4"/>
    <n v="1"/>
    <n v="12"/>
    <n v="0"/>
    <s v="Band B"/>
    <n v="40700"/>
    <n v="2.2000000000000002"/>
    <n v="3.2"/>
    <n v="0.7"/>
    <n v="0"/>
    <n v="3.9"/>
    <n v="2.7"/>
    <n v="4.5"/>
    <s v="Yes"/>
    <n v="0"/>
    <n v="1"/>
    <n v="0.7"/>
    <n v="0"/>
    <x v="0"/>
    <m/>
    <n v="0"/>
    <n v="0"/>
    <x v="0"/>
    <s v="1â€“3 years"/>
    <s v="High"/>
    <s v="3.6999999999999997"/>
    <s v="0.4166666666666667"/>
    <n v="0"/>
  </r>
  <r>
    <s v="EMP0566"/>
    <s v="Operations"/>
    <x v="3"/>
    <n v="3.3"/>
    <s v="G2"/>
    <n v="28"/>
    <s v="Bachelor"/>
    <s v="Chennai"/>
    <n v="2"/>
    <n v="1.3"/>
    <n v="16"/>
    <n v="2"/>
    <n v="12"/>
    <n v="0"/>
    <s v="Band B"/>
    <n v="41200"/>
    <n v="10.1"/>
    <n v="1"/>
    <n v="0.3"/>
    <n v="0"/>
    <n v="3.6"/>
    <n v="2.2000000000000002"/>
    <n v="2.8"/>
    <s v="Yes"/>
    <n v="0"/>
    <n v="1"/>
    <n v="2.9"/>
    <n v="1"/>
    <x v="0"/>
    <m/>
    <n v="0"/>
    <n v="0"/>
    <x v="0"/>
    <s v="3â€“5 years"/>
    <s v="Low"/>
    <s v="2.866666666666667"/>
    <s v="0.16666666666666666"/>
    <n v="0"/>
  </r>
  <r>
    <s v="EMP0567"/>
    <s v="Operations"/>
    <x v="0"/>
    <n v="2.5"/>
    <s v="G4"/>
    <n v="27"/>
    <s v="Bachelor"/>
    <s v="Bengaluru"/>
    <n v="2"/>
    <n v="4"/>
    <n v="7"/>
    <n v="2"/>
    <n v="12"/>
    <n v="0"/>
    <s v="Band D"/>
    <n v="83800"/>
    <n v="4.4000000000000004"/>
    <n v="2.7"/>
    <n v="1.2"/>
    <n v="0"/>
    <n v="2.5"/>
    <n v="3"/>
    <n v="3.8"/>
    <s v="Yes"/>
    <n v="0"/>
    <n v="0"/>
    <m/>
    <n v="0"/>
    <x v="0"/>
    <m/>
    <n v="1"/>
    <n v="0"/>
    <x v="1"/>
    <s v="1â€“3 years"/>
    <s v="Low"/>
    <n v="3.1"/>
    <s v="0.16666666666666666"/>
    <n v="0"/>
  </r>
  <r>
    <s v="EMP0568"/>
    <s v="Engineering"/>
    <x v="12"/>
    <n v="14.8"/>
    <s v="G2"/>
    <n v="41"/>
    <s v="Master"/>
    <s v="Coimbatore"/>
    <n v="2"/>
    <n v="9.3000000000000007"/>
    <n v="8"/>
    <n v="2"/>
    <n v="12"/>
    <n v="0"/>
    <s v="Band B"/>
    <n v="45000"/>
    <n v="11.7"/>
    <n v="2.2999999999999998"/>
    <n v="0.1"/>
    <n v="0"/>
    <n v="3.8"/>
    <n v="4.3"/>
    <n v="2.9"/>
    <s v="Yes"/>
    <n v="0"/>
    <n v="1"/>
    <n v="5.6"/>
    <n v="1"/>
    <x v="0"/>
    <m/>
    <n v="0"/>
    <n v="0"/>
    <x v="0"/>
    <s v="5+ years"/>
    <s v="Low"/>
    <s v="3.6666666666666665"/>
    <s v="0.16666666666666666"/>
    <n v="0"/>
  </r>
  <r>
    <s v="EMP0569"/>
    <s v="Sales"/>
    <x v="8"/>
    <n v="0.6"/>
    <s v="G3"/>
    <n v="27"/>
    <s v="Bachelor"/>
    <s v="Chennai"/>
    <n v="3"/>
    <n v="16.2"/>
    <n v="15"/>
    <n v="3"/>
    <n v="12"/>
    <n v="0"/>
    <s v="Band C"/>
    <n v="64000"/>
    <n v="0.8"/>
    <n v="3.1"/>
    <n v="0.9"/>
    <n v="0"/>
    <n v="2.8"/>
    <n v="2.9"/>
    <n v="3.1"/>
    <s v="Yes"/>
    <n v="0"/>
    <n v="1"/>
    <n v="0.2"/>
    <n v="0"/>
    <x v="0"/>
    <m/>
    <n v="0"/>
    <n v="0"/>
    <x v="0"/>
    <s v="0â€“1 years"/>
    <s v="Moderate"/>
    <s v="2.933333333333333"/>
    <n v="0.25"/>
    <n v="0"/>
  </r>
  <r>
    <s v="EMP0570"/>
    <s v="Finance"/>
    <x v="17"/>
    <n v="1.9"/>
    <s v="G2"/>
    <n v="24"/>
    <s v="Bachelor"/>
    <s v="Coimbatore"/>
    <n v="2"/>
    <n v="17.5"/>
    <n v="9"/>
    <n v="3"/>
    <n v="12"/>
    <n v="0"/>
    <s v="Band A"/>
    <n v="35000"/>
    <n v="7.5"/>
    <n v="1.9"/>
    <n v="0.7"/>
    <n v="0"/>
    <n v="4.9000000000000004"/>
    <n v="3.3"/>
    <n v="3.9"/>
    <s v="Yes"/>
    <n v="0"/>
    <n v="1"/>
    <n v="0.7"/>
    <n v="0"/>
    <x v="0"/>
    <m/>
    <n v="0"/>
    <n v="0"/>
    <x v="0"/>
    <s v="1â€“3 years"/>
    <s v="Moderate"/>
    <s v="4.033333333333333"/>
    <s v="0.16666666666666666"/>
    <n v="0"/>
  </r>
  <r>
    <s v="EMP0571"/>
    <s v="Sales"/>
    <x v="14"/>
    <n v="2.4"/>
    <s v="G1"/>
    <n v="32"/>
    <s v="Bachelor"/>
    <s v="Coimbatore"/>
    <n v="1"/>
    <n v="5.0999999999999996"/>
    <n v="8"/>
    <n v="2"/>
    <n v="12"/>
    <n v="0"/>
    <s v="Band A"/>
    <n v="33100"/>
    <n v="0.6"/>
    <n v="3.6"/>
    <n v="0.9"/>
    <n v="0"/>
    <n v="3.7"/>
    <n v="3.8"/>
    <n v="2.2999999999999998"/>
    <s v="No"/>
    <n v="0"/>
    <n v="2"/>
    <n v="1"/>
    <n v="0"/>
    <x v="0"/>
    <m/>
    <n v="0"/>
    <n v="0"/>
    <x v="0"/>
    <s v="1â€“3 years"/>
    <s v="Low"/>
    <s v="3.266666666666667"/>
    <n v="8.3333333333333301E-2"/>
    <n v="0"/>
  </r>
  <r>
    <s v="EMP0572"/>
    <s v="Customer Support"/>
    <x v="9"/>
    <n v="1.7"/>
    <s v="G2"/>
    <n v="24"/>
    <s v="Diploma"/>
    <s v="Hyderabad"/>
    <n v="4"/>
    <n v="10.9"/>
    <n v="14"/>
    <n v="1"/>
    <n v="12"/>
    <n v="0"/>
    <s v="Band B"/>
    <n v="43500"/>
    <n v="6"/>
    <n v="2.9"/>
    <n v="1"/>
    <n v="0"/>
    <n v="2.7"/>
    <n v="2.9"/>
    <n v="5"/>
    <s v="Yes"/>
    <n v="0"/>
    <n v="0"/>
    <m/>
    <n v="0"/>
    <x v="0"/>
    <m/>
    <n v="1"/>
    <n v="0"/>
    <x v="1"/>
    <s v="1â€“3 years"/>
    <s v="Moderate"/>
    <s v="3.533333333333333"/>
    <s v="0.3333333333333333"/>
    <n v="0"/>
  </r>
  <r>
    <s v="EMP0573"/>
    <s v="Hr"/>
    <x v="15"/>
    <n v="5.0999999999999996"/>
    <s v="G3"/>
    <n v="30"/>
    <s v="Bachelor"/>
    <s v="Remote"/>
    <n v="2"/>
    <n v="9.1"/>
    <n v="15"/>
    <n v="1"/>
    <n v="12"/>
    <n v="0"/>
    <s v="Band C"/>
    <n v="54200"/>
    <n v="6.9"/>
    <n v="2.8"/>
    <n v="4.7"/>
    <n v="0"/>
    <n v="3.6"/>
    <n v="3.5"/>
    <n v="2.6"/>
    <s v="Yes"/>
    <n v="0"/>
    <n v="2"/>
    <n v="2.2999999999999998"/>
    <n v="0"/>
    <x v="0"/>
    <m/>
    <n v="0"/>
    <n v="0"/>
    <x v="0"/>
    <s v="5+ years"/>
    <s v="Low"/>
    <s v="3.233333333333333"/>
    <s v="0.16666666666666666"/>
    <n v="0"/>
  </r>
  <r>
    <s v="EMP0574"/>
    <s v="Operations"/>
    <x v="3"/>
    <n v="2.1"/>
    <s v="G2"/>
    <n v="27"/>
    <s v="Master"/>
    <s v="Chennai"/>
    <n v="1"/>
    <n v="10.5"/>
    <n v="9"/>
    <n v="4"/>
    <n v="12"/>
    <n v="0"/>
    <s v="Band A"/>
    <n v="31300"/>
    <n v="5.6"/>
    <n v="3.3"/>
    <n v="1.8"/>
    <n v="0"/>
    <n v="2.5"/>
    <n v="3.4"/>
    <n v="2.5"/>
    <s v="Yes"/>
    <n v="0"/>
    <n v="0"/>
    <m/>
    <n v="0"/>
    <x v="0"/>
    <m/>
    <n v="1"/>
    <n v="0"/>
    <x v="1"/>
    <s v="1â€“3 years"/>
    <s v="Moderate"/>
    <s v="2.8000000000000003"/>
    <n v="8.3333333333333301E-2"/>
    <n v="0"/>
  </r>
  <r>
    <s v="EMP0575"/>
    <s v="Customer Support"/>
    <x v="9"/>
    <n v="1"/>
    <s v="G5"/>
    <n v="28"/>
    <s v="Bachelor"/>
    <s v="Hyderabad"/>
    <n v="4"/>
    <n v="11.6"/>
    <n v="9"/>
    <n v="4"/>
    <n v="12"/>
    <n v="0"/>
    <s v="Band D"/>
    <n v="83600"/>
    <n v="6"/>
    <n v="3.1"/>
    <n v="1.8"/>
    <n v="0"/>
    <n v="3.5"/>
    <n v="2.2000000000000002"/>
    <n v="3.9"/>
    <s v="No"/>
    <n v="0"/>
    <n v="2"/>
    <n v="0.4"/>
    <n v="0"/>
    <x v="0"/>
    <m/>
    <n v="0"/>
    <n v="0"/>
    <x v="0"/>
    <s v="0â€“1 years"/>
    <s v="Moderate"/>
    <s v="3.1999999999999997"/>
    <s v="0.3333333333333333"/>
    <n v="0"/>
  </r>
  <r>
    <s v="EMP0576"/>
    <s v="Finance"/>
    <x v="18"/>
    <n v="4.0999999999999996"/>
    <s v="G3"/>
    <n v="22"/>
    <s v="Bachelor"/>
    <s v="Bengaluru"/>
    <n v="2"/>
    <n v="14.1"/>
    <n v="9"/>
    <n v="4"/>
    <n v="12"/>
    <n v="0"/>
    <s v="Band B"/>
    <n v="38500"/>
    <n v="11.9"/>
    <n v="3.1"/>
    <n v="0.6"/>
    <n v="0"/>
    <n v="3.1"/>
    <n v="2.8"/>
    <n v="4.4000000000000004"/>
    <s v="No"/>
    <n v="0"/>
    <n v="1"/>
    <n v="3.6"/>
    <n v="0"/>
    <x v="0"/>
    <m/>
    <n v="0"/>
    <n v="0"/>
    <x v="0"/>
    <s v="3â€“5 years"/>
    <s v="Moderate"/>
    <s v="3.4333333333333336"/>
    <s v="0.16666666666666666"/>
    <n v="0"/>
  </r>
  <r>
    <s v="EMP0577"/>
    <s v="Customer Support"/>
    <x v="5"/>
    <n v="3"/>
    <s v="G5"/>
    <n v="33"/>
    <s v="Doctorate"/>
    <s v="Bengaluru"/>
    <n v="1"/>
    <n v="6.2"/>
    <n v="9"/>
    <n v="2"/>
    <n v="12"/>
    <n v="0"/>
    <s v="Band D"/>
    <n v="103300"/>
    <n v="16.7"/>
    <n v="3"/>
    <n v="2.7"/>
    <n v="0"/>
    <n v="2.6"/>
    <n v="3.5"/>
    <n v="3.1"/>
    <s v="No"/>
    <n v="0"/>
    <n v="2"/>
    <n v="0.5"/>
    <n v="0"/>
    <x v="0"/>
    <m/>
    <n v="0"/>
    <n v="0"/>
    <x v="0"/>
    <s v="1â€“3 years"/>
    <s v="Low"/>
    <s v="3.0666666666666664"/>
    <n v="8.3333333333333301E-2"/>
    <n v="0"/>
  </r>
  <r>
    <s v="EMP0578"/>
    <s v="Finance"/>
    <x v="11"/>
    <n v="2.2000000000000002"/>
    <s v="G2"/>
    <n v="25"/>
    <s v="Bachelor"/>
    <s v="Coimbatore"/>
    <n v="4"/>
    <n v="7.6"/>
    <n v="10"/>
    <n v="0"/>
    <n v="12"/>
    <n v="0"/>
    <s v="Band B"/>
    <n v="40300"/>
    <n v="9.4"/>
    <n v="3.2"/>
    <n v="3"/>
    <n v="0"/>
    <n v="2.5"/>
    <n v="4.4000000000000004"/>
    <n v="2.5"/>
    <s v="Yes"/>
    <n v="0"/>
    <n v="0"/>
    <m/>
    <n v="0"/>
    <x v="0"/>
    <m/>
    <n v="1"/>
    <n v="0"/>
    <x v="1"/>
    <s v="1â€“3 years"/>
    <s v="Low"/>
    <s v="3.1333333333333333"/>
    <s v="0.3333333333333333"/>
    <n v="0"/>
  </r>
  <r>
    <s v="EMP0579"/>
    <s v="Customer Support"/>
    <x v="9"/>
    <n v="9.1999999999999993"/>
    <s v="G4"/>
    <n v="40"/>
    <s v="Bachelor"/>
    <s v="Chennai"/>
    <n v="2"/>
    <n v="42.2"/>
    <n v="14"/>
    <n v="6"/>
    <n v="12"/>
    <n v="0"/>
    <s v="Band D"/>
    <n v="78300"/>
    <n v="4.5999999999999996"/>
    <n v="3.5"/>
    <n v="2.1"/>
    <n v="0"/>
    <n v="5"/>
    <n v="4.4000000000000004"/>
    <n v="2.7"/>
    <s v="No"/>
    <n v="0"/>
    <n v="0"/>
    <m/>
    <n v="0"/>
    <x v="0"/>
    <m/>
    <n v="1"/>
    <n v="0"/>
    <x v="1"/>
    <s v="5+ years"/>
    <s v="High"/>
    <s v="4.033333333333334"/>
    <s v="0.16666666666666666"/>
    <n v="0"/>
  </r>
  <r>
    <s v="EMP0580"/>
    <s v="Sales"/>
    <x v="8"/>
    <n v="5.2"/>
    <s v="G3"/>
    <n v="29"/>
    <s v="Bachelor"/>
    <s v="Chennai"/>
    <n v="3"/>
    <n v="6.6"/>
    <n v="13"/>
    <n v="0"/>
    <n v="12"/>
    <n v="0"/>
    <s v="Band C"/>
    <n v="53700"/>
    <n v="8.3000000000000007"/>
    <n v="3.4"/>
    <n v="2"/>
    <n v="0"/>
    <n v="3.4"/>
    <n v="5"/>
    <n v="2.6"/>
    <s v="Yes"/>
    <n v="0"/>
    <n v="0"/>
    <m/>
    <n v="1"/>
    <x v="0"/>
    <m/>
    <n v="1"/>
    <n v="0"/>
    <x v="1"/>
    <s v="5+ years"/>
    <s v="Low"/>
    <s v="3.6666666666666665"/>
    <n v="0.25"/>
    <n v="0"/>
  </r>
  <r>
    <s v="EMP0581"/>
    <s v="Hr"/>
    <x v="7"/>
    <n v="4.8"/>
    <s v="G3"/>
    <n v="31"/>
    <s v="Bachelor"/>
    <s v="Remote"/>
    <n v="2"/>
    <n v="11.1"/>
    <n v="5"/>
    <n v="0"/>
    <n v="12"/>
    <n v="0"/>
    <s v="Band C"/>
    <n v="63000"/>
    <n v="6.6"/>
    <n v="4.2"/>
    <n v="0.2"/>
    <n v="0"/>
    <n v="2.9"/>
    <n v="3.6"/>
    <n v="3.6"/>
    <s v="Yes"/>
    <n v="0"/>
    <n v="2"/>
    <n v="3.4"/>
    <n v="2"/>
    <x v="0"/>
    <m/>
    <n v="0"/>
    <n v="0"/>
    <x v="0"/>
    <s v="3â€“5 years"/>
    <s v="Moderate"/>
    <s v="3.3666666666666667"/>
    <s v="0.16666666666666666"/>
    <n v="0"/>
  </r>
  <r>
    <s v="EMP0582"/>
    <s v="Finance"/>
    <x v="11"/>
    <n v="5.3"/>
    <s v="G5"/>
    <n v="39"/>
    <s v="Bachelor"/>
    <s v="Bengaluru"/>
    <n v="2"/>
    <n v="9.1999999999999993"/>
    <n v="8"/>
    <n v="6"/>
    <n v="12"/>
    <n v="0"/>
    <s v="Band D"/>
    <n v="103300"/>
    <n v="11.6"/>
    <n v="2.7"/>
    <n v="1.8"/>
    <n v="0"/>
    <n v="2.8"/>
    <n v="2.8"/>
    <n v="3.3"/>
    <s v="Yes"/>
    <n v="0"/>
    <n v="0"/>
    <m/>
    <n v="0"/>
    <x v="0"/>
    <m/>
    <n v="1"/>
    <n v="0"/>
    <x v="1"/>
    <s v="5+ years"/>
    <s v="Low"/>
    <s v="2.9666666666666663"/>
    <s v="0.16666666666666666"/>
    <n v="0"/>
  </r>
  <r>
    <s v="EMP0583"/>
    <s v="Engineering"/>
    <x v="10"/>
    <n v="5.0999999999999996"/>
    <s v="G3"/>
    <n v="30"/>
    <s v="Master"/>
    <s v="Coimbatore"/>
    <n v="2"/>
    <n v="10.8"/>
    <n v="12"/>
    <n v="3"/>
    <n v="12"/>
    <n v="0"/>
    <s v="Band C"/>
    <n v="50800"/>
    <n v="9.1999999999999993"/>
    <n v="3.4"/>
    <n v="3.9"/>
    <n v="0"/>
    <n v="3.7"/>
    <n v="3.1"/>
    <n v="3.7"/>
    <s v="Yes"/>
    <n v="0"/>
    <n v="0"/>
    <m/>
    <n v="0"/>
    <x v="0"/>
    <m/>
    <n v="1"/>
    <n v="0"/>
    <x v="1"/>
    <s v="5+ years"/>
    <s v="Moderate"/>
    <n v="3.5"/>
    <s v="0.16666666666666666"/>
    <n v="0"/>
  </r>
  <r>
    <s v="EMP0584"/>
    <s v="Sales"/>
    <x v="8"/>
    <n v="3.2"/>
    <s v="G4"/>
    <n v="34"/>
    <s v="Bachelor"/>
    <s v="Coimbatore"/>
    <n v="2"/>
    <n v="21.8"/>
    <n v="10"/>
    <n v="3"/>
    <n v="12"/>
    <n v="0"/>
    <s v="Band C"/>
    <n v="72500"/>
    <n v="1.7"/>
    <n v="5"/>
    <n v="1.8"/>
    <n v="0"/>
    <n v="2.7"/>
    <n v="3.1"/>
    <n v="3.7"/>
    <s v="Yes"/>
    <n v="0"/>
    <n v="1"/>
    <n v="0.9"/>
    <n v="0"/>
    <x v="0"/>
    <m/>
    <n v="0"/>
    <n v="0"/>
    <x v="0"/>
    <s v="3â€“5 years"/>
    <s v="High"/>
    <s v="3.1666666666666665"/>
    <s v="0.16666666666666666"/>
    <n v="0"/>
  </r>
  <r>
    <s v="EMP0585"/>
    <s v="Customer Support"/>
    <x v="2"/>
    <n v="2.1"/>
    <s v="G3"/>
    <n v="28"/>
    <s v="Bachelor"/>
    <s v="Chennai"/>
    <n v="2"/>
    <n v="8.8000000000000007"/>
    <n v="6"/>
    <n v="2"/>
    <n v="12"/>
    <n v="0"/>
    <s v="Band C"/>
    <n v="64900"/>
    <n v="12.4"/>
    <n v="3.2"/>
    <n v="2.4"/>
    <n v="0"/>
    <n v="2.2999999999999998"/>
    <n v="2.8"/>
    <n v="4.0999999999999996"/>
    <s v="Yes"/>
    <n v="0"/>
    <n v="0"/>
    <m/>
    <n v="2"/>
    <x v="0"/>
    <m/>
    <n v="1"/>
    <n v="0"/>
    <x v="1"/>
    <s v="1â€“3 years"/>
    <s v="Low"/>
    <s v="3.0666666666666664"/>
    <s v="0.16666666666666666"/>
    <n v="0"/>
  </r>
  <r>
    <s v="EMP0586"/>
    <s v="Operations"/>
    <x v="3"/>
    <n v="4.0999999999999996"/>
    <s v="G1"/>
    <n v="32"/>
    <s v="Diploma"/>
    <s v="Chennai"/>
    <n v="5"/>
    <n v="3.5"/>
    <n v="5"/>
    <n v="2"/>
    <n v="12"/>
    <n v="0"/>
    <s v="Band A"/>
    <n v="31000"/>
    <n v="11.9"/>
    <n v="3.2"/>
    <n v="0.9"/>
    <n v="0"/>
    <n v="3.3"/>
    <n v="3.5"/>
    <n v="3.1"/>
    <s v="Yes"/>
    <n v="0"/>
    <n v="2"/>
    <n v="1.8"/>
    <n v="1"/>
    <x v="0"/>
    <m/>
    <n v="0"/>
    <n v="0"/>
    <x v="0"/>
    <s v="3â€“5 years"/>
    <s v="Low"/>
    <s v="3.3000000000000003"/>
    <s v="0.4166666666666667"/>
    <n v="0"/>
  </r>
  <r>
    <s v="EMP0587"/>
    <s v="Engineering"/>
    <x v="10"/>
    <n v="3.1"/>
    <s v="G3"/>
    <n v="29"/>
    <s v="Master"/>
    <s v="Bengaluru"/>
    <n v="3"/>
    <n v="6.1"/>
    <n v="13"/>
    <n v="2"/>
    <n v="12"/>
    <n v="0"/>
    <s v="Band C"/>
    <n v="50400"/>
    <n v="14"/>
    <n v="2.1"/>
    <n v="0.6"/>
    <n v="0"/>
    <n v="3.3"/>
    <n v="3.6"/>
    <n v="2.8"/>
    <s v="Yes"/>
    <n v="0"/>
    <n v="0"/>
    <m/>
    <n v="0"/>
    <x v="0"/>
    <m/>
    <n v="1"/>
    <n v="0"/>
    <x v="1"/>
    <s v="3â€“5 years"/>
    <s v="Low"/>
    <s v="3.233333333333333"/>
    <n v="0.25"/>
    <n v="0"/>
  </r>
  <r>
    <s v="EMP0588"/>
    <s v="Sales"/>
    <x v="13"/>
    <n v="0.6"/>
    <s v="G2"/>
    <n v="30"/>
    <s v="Diploma"/>
    <s v="Coimbatore"/>
    <n v="5"/>
    <n v="8.8000000000000007"/>
    <n v="6"/>
    <n v="0"/>
    <n v="12"/>
    <n v="0"/>
    <s v="Band B"/>
    <n v="37800"/>
    <n v="5.9"/>
    <n v="2.6"/>
    <n v="0.3"/>
    <n v="0"/>
    <n v="2.9"/>
    <n v="2.1"/>
    <n v="3.5"/>
    <s v="Yes"/>
    <n v="0"/>
    <n v="0"/>
    <m/>
    <n v="1"/>
    <x v="0"/>
    <m/>
    <n v="1"/>
    <n v="0"/>
    <x v="1"/>
    <s v="0â€“1 years"/>
    <s v="Low"/>
    <s v="2.8333333333333335"/>
    <s v="0.4166666666666667"/>
    <n v="0"/>
  </r>
  <r>
    <s v="EMP0589"/>
    <s v="Engineering"/>
    <x v="4"/>
    <n v="1.6"/>
    <s v="G4"/>
    <n v="25"/>
    <s v="Master"/>
    <s v="Hyderabad"/>
    <n v="3"/>
    <n v="11.9"/>
    <n v="6"/>
    <n v="4"/>
    <n v="12"/>
    <n v="0"/>
    <s v="Band C"/>
    <n v="73900"/>
    <n v="9.1999999999999993"/>
    <n v="3.1"/>
    <n v="3.4"/>
    <n v="0"/>
    <n v="2.5"/>
    <n v="4.2"/>
    <n v="3.4"/>
    <s v="Yes"/>
    <n v="0"/>
    <n v="3"/>
    <m/>
    <n v="2"/>
    <x v="0"/>
    <m/>
    <n v="1"/>
    <n v="0"/>
    <x v="0"/>
    <s v="1â€“3 years"/>
    <s v="Moderate"/>
    <s v="3.3666666666666667"/>
    <n v="0.25"/>
    <n v="0"/>
  </r>
  <r>
    <s v="EMP0590"/>
    <s v="Engineering"/>
    <x v="10"/>
    <n v="2.8"/>
    <s v="G4"/>
    <n v="25"/>
    <s v="Bachelor"/>
    <s v="Bengaluru"/>
    <n v="3"/>
    <n v="5.0999999999999996"/>
    <n v="13"/>
    <n v="2"/>
    <n v="12"/>
    <n v="0"/>
    <s v="Band C"/>
    <n v="67300"/>
    <n v="3.3"/>
    <n v="3.7"/>
    <n v="1.1000000000000001"/>
    <n v="0"/>
    <n v="3.3"/>
    <n v="1.5"/>
    <n v="3.6"/>
    <s v="Yes"/>
    <n v="1"/>
    <n v="0"/>
    <m/>
    <n v="0"/>
    <x v="0"/>
    <m/>
    <n v="1"/>
    <n v="0"/>
    <x v="1"/>
    <s v="1â€“3 years"/>
    <s v="Low"/>
    <s v="2.8000000000000003"/>
    <n v="0.25"/>
    <n v="0"/>
  </r>
  <r>
    <s v="EMP0591"/>
    <s v="Customer Support"/>
    <x v="5"/>
    <n v="7"/>
    <s v="G1"/>
    <n v="30"/>
    <s v="Bachelor"/>
    <s v="Bengaluru"/>
    <n v="3"/>
    <n v="5.7"/>
    <n v="10"/>
    <n v="3"/>
    <n v="12"/>
    <n v="0"/>
    <s v="Band A"/>
    <n v="28300"/>
    <n v="7.8"/>
    <n v="3.8"/>
    <n v="3"/>
    <n v="0"/>
    <n v="2.9"/>
    <n v="3"/>
    <n v="2.8"/>
    <s v="Yes"/>
    <n v="0"/>
    <n v="1"/>
    <n v="2"/>
    <n v="1"/>
    <x v="0"/>
    <m/>
    <n v="0"/>
    <n v="0"/>
    <x v="0"/>
    <s v="5+ years"/>
    <s v="Low"/>
    <n v="2.9"/>
    <n v="0.25"/>
    <n v="0"/>
  </r>
  <r>
    <s v="EMP0592"/>
    <s v="Hr"/>
    <x v="7"/>
    <n v="4.0999999999999996"/>
    <s v="G1"/>
    <n v="30"/>
    <s v="Bachelor"/>
    <s v="Hyderabad"/>
    <n v="1"/>
    <n v="12.2"/>
    <n v="8"/>
    <n v="3"/>
    <n v="12"/>
    <n v="0"/>
    <s v="Band A"/>
    <n v="28800"/>
    <n v="9.6"/>
    <n v="3.5"/>
    <n v="0.8"/>
    <n v="0"/>
    <n v="2.8"/>
    <n v="4.2"/>
    <n v="3.9"/>
    <s v="Yes"/>
    <n v="0"/>
    <n v="0"/>
    <m/>
    <n v="0"/>
    <x v="0"/>
    <m/>
    <n v="1"/>
    <n v="0"/>
    <x v="1"/>
    <s v="3â€“5 years"/>
    <s v="Moderate"/>
    <s v="3.6333333333333333"/>
    <n v="8.3333333333333301E-2"/>
    <n v="0"/>
  </r>
  <r>
    <s v="EMP0593"/>
    <s v="Sales"/>
    <x v="8"/>
    <n v="1.8"/>
    <s v="G1"/>
    <n v="27"/>
    <s v="Bachelor"/>
    <s v="Chennai"/>
    <n v="5"/>
    <n v="12.5"/>
    <n v="13"/>
    <n v="2"/>
    <n v="12"/>
    <n v="0"/>
    <s v="Band A"/>
    <n v="33100"/>
    <n v="5.5"/>
    <n v="3.9"/>
    <n v="3.2"/>
    <n v="0"/>
    <n v="3.3"/>
    <n v="3.7"/>
    <n v="2.5"/>
    <s v="Yes"/>
    <n v="1"/>
    <n v="1"/>
    <n v="1.7"/>
    <n v="0"/>
    <x v="0"/>
    <m/>
    <n v="0"/>
    <n v="0"/>
    <x v="0"/>
    <s v="1â€“3 years"/>
    <s v="Moderate"/>
    <s v="3.1666666666666665"/>
    <s v="0.4166666666666667"/>
    <n v="0"/>
  </r>
  <r>
    <s v="EMP0594"/>
    <s v="Finance"/>
    <x v="18"/>
    <n v="1.4"/>
    <s v="G2"/>
    <n v="30"/>
    <s v="Bachelor"/>
    <s v="Bengaluru"/>
    <n v="3"/>
    <n v="19.7"/>
    <n v="5"/>
    <n v="4"/>
    <n v="12"/>
    <n v="0"/>
    <s v="Band B"/>
    <n v="41600"/>
    <n v="9.4"/>
    <n v="2.2999999999999998"/>
    <n v="1.3"/>
    <n v="0"/>
    <n v="5"/>
    <n v="3.3"/>
    <n v="3"/>
    <s v="No"/>
    <n v="1"/>
    <n v="0"/>
    <m/>
    <n v="0"/>
    <x v="0"/>
    <m/>
    <n v="1"/>
    <n v="0"/>
    <x v="1"/>
    <s v="1â€“3 years"/>
    <s v="Moderate"/>
    <s v="3.766666666666667"/>
    <n v="0.25"/>
    <n v="0"/>
  </r>
  <r>
    <s v="EMP0595"/>
    <s v="Engineering"/>
    <x v="10"/>
    <n v="8"/>
    <s v="G1"/>
    <n v="39"/>
    <s v="Master"/>
    <s v="Bengaluru"/>
    <n v="2"/>
    <n v="6.1"/>
    <n v="5"/>
    <n v="2"/>
    <n v="12"/>
    <n v="0"/>
    <s v="Band A"/>
    <n v="29000"/>
    <n v="8.6999999999999993"/>
    <n v="3.6"/>
    <n v="0.9"/>
    <n v="0"/>
    <n v="4.5"/>
    <n v="5"/>
    <n v="4.3"/>
    <s v="Yes"/>
    <n v="0"/>
    <n v="0"/>
    <m/>
    <n v="0"/>
    <x v="0"/>
    <m/>
    <n v="1"/>
    <n v="0"/>
    <x v="1"/>
    <s v="5+ years"/>
    <s v="Low"/>
    <s v="4.6000000000000005"/>
    <s v="0.16666666666666666"/>
    <n v="0"/>
  </r>
  <r>
    <s v="EMP0596"/>
    <s v="Sales"/>
    <x v="13"/>
    <n v="3.3"/>
    <s v="G3"/>
    <n v="25"/>
    <s v="Bachelor"/>
    <s v="Chennai"/>
    <n v="3"/>
    <n v="15.1"/>
    <n v="9"/>
    <n v="1"/>
    <n v="12"/>
    <n v="0"/>
    <s v="Band C"/>
    <n v="58500"/>
    <n v="6.2"/>
    <n v="3.2"/>
    <n v="0.9"/>
    <n v="0"/>
    <n v="5"/>
    <n v="2.8"/>
    <n v="2.5"/>
    <s v="Yes"/>
    <n v="0"/>
    <n v="0"/>
    <m/>
    <n v="0"/>
    <x v="0"/>
    <m/>
    <n v="1"/>
    <n v="0"/>
    <x v="1"/>
    <s v="3â€“5 years"/>
    <s v="Moderate"/>
    <s v="3.4333333333333336"/>
    <n v="0.25"/>
    <n v="0"/>
  </r>
  <r>
    <s v="EMP0597"/>
    <s v="Operations"/>
    <x v="3"/>
    <n v="0.1"/>
    <s v="G3"/>
    <n v="23"/>
    <s v="Bachelor"/>
    <s v="Chennai"/>
    <n v="2"/>
    <n v="9.1999999999999993"/>
    <n v="8"/>
    <n v="3"/>
    <n v="12"/>
    <n v="0"/>
    <s v="Band C"/>
    <n v="52100"/>
    <n v="13.6"/>
    <n v="3.3"/>
    <n v="2.6"/>
    <n v="0"/>
    <n v="2.8"/>
    <n v="1.4"/>
    <n v="4.2"/>
    <s v="Yes"/>
    <n v="0"/>
    <n v="2"/>
    <m/>
    <n v="2"/>
    <x v="0"/>
    <m/>
    <n v="1"/>
    <n v="0"/>
    <x v="0"/>
    <s v="0â€“1 years"/>
    <s v="Low"/>
    <s v="2.7999999999999994"/>
    <s v="0.16666666666666666"/>
    <n v="0"/>
  </r>
  <r>
    <s v="EMP0598"/>
    <s v="Operations"/>
    <x v="0"/>
    <n v="3.4"/>
    <s v="G4"/>
    <n v="24"/>
    <s v="Bachelor"/>
    <s v="Chennai"/>
    <n v="4"/>
    <n v="6.9"/>
    <n v="9"/>
    <n v="2"/>
    <n v="12"/>
    <n v="0"/>
    <s v="Band C"/>
    <n v="74400"/>
    <n v="7.1"/>
    <n v="2.9"/>
    <n v="1.8"/>
    <n v="0"/>
    <n v="4.8"/>
    <n v="3.6"/>
    <n v="2.2999999999999998"/>
    <s v="Yes"/>
    <n v="0"/>
    <n v="0"/>
    <m/>
    <n v="0"/>
    <x v="0"/>
    <m/>
    <n v="1"/>
    <n v="0"/>
    <x v="1"/>
    <s v="3â€“5 years"/>
    <s v="Low"/>
    <s v="3.5666666666666664"/>
    <s v="0.3333333333333333"/>
    <n v="0"/>
  </r>
  <r>
    <s v="EMP0599"/>
    <s v="Customer Support"/>
    <x v="9"/>
    <n v="6"/>
    <s v="G2"/>
    <n v="40"/>
    <s v="Bachelor"/>
    <s v="Chennai"/>
    <n v="6"/>
    <n v="9.4"/>
    <n v="7"/>
    <n v="4"/>
    <n v="12"/>
    <n v="0"/>
    <s v="Band B"/>
    <n v="41500"/>
    <n v="8.5"/>
    <n v="2.2999999999999998"/>
    <n v="2.7"/>
    <n v="0"/>
    <n v="3.5"/>
    <n v="1.6"/>
    <n v="2.1"/>
    <s v="Yes"/>
    <n v="0"/>
    <n v="1"/>
    <n v="0.8"/>
    <n v="0"/>
    <x v="0"/>
    <m/>
    <n v="0"/>
    <n v="0"/>
    <x v="0"/>
    <s v="5+ years"/>
    <s v="Low"/>
    <n v="2.4"/>
    <n v="0.5"/>
    <n v="0"/>
  </r>
  <r>
    <s v="EMP0600"/>
    <s v="Operations"/>
    <x v="3"/>
    <n v="1.4"/>
    <s v="G2"/>
    <n v="29"/>
    <s v="Bachelor"/>
    <s v="Coimbatore"/>
    <n v="2"/>
    <n v="10.5"/>
    <n v="9"/>
    <n v="2"/>
    <n v="12"/>
    <n v="0"/>
    <s v="Band A"/>
    <n v="28400"/>
    <n v="2.1"/>
    <n v="2.1"/>
    <n v="3.8"/>
    <n v="0"/>
    <n v="4.2"/>
    <n v="2.5"/>
    <n v="2.2000000000000002"/>
    <s v="Yes"/>
    <n v="0"/>
    <n v="1"/>
    <n v="1.2"/>
    <n v="0"/>
    <x v="0"/>
    <m/>
    <n v="0"/>
    <n v="0"/>
    <x v="0"/>
    <s v="1â€“3 years"/>
    <s v="Moderate"/>
    <s v="2.966666666666667"/>
    <s v="0.16666666666666666"/>
    <n v="0"/>
  </r>
  <r>
    <s v="EMP0601"/>
    <s v="Hr"/>
    <x v="15"/>
    <n v="3.9"/>
    <s v="G1"/>
    <n v="32"/>
    <s v="Bachelor"/>
    <s v="Chennai"/>
    <n v="3"/>
    <n v="3.1"/>
    <n v="6"/>
    <n v="1"/>
    <n v="12"/>
    <n v="0"/>
    <s v="Band A"/>
    <n v="18300"/>
    <n v="10.1"/>
    <n v="3.5"/>
    <n v="1"/>
    <n v="0"/>
    <n v="3.7"/>
    <n v="3.8"/>
    <n v="3.5"/>
    <s v="No"/>
    <n v="0"/>
    <n v="1"/>
    <n v="0.6"/>
    <n v="0"/>
    <x v="0"/>
    <m/>
    <n v="0"/>
    <n v="0"/>
    <x v="0"/>
    <s v="3â€“5 years"/>
    <s v="Low"/>
    <s v="3.6666666666666665"/>
    <n v="0.25"/>
    <n v="0"/>
  </r>
  <r>
    <s v="EMP0602"/>
    <s v="Operations"/>
    <x v="6"/>
    <n v="4.2"/>
    <s v="G4"/>
    <n v="25"/>
    <s v="Bachelor"/>
    <s v="Bengaluru"/>
    <n v="3"/>
    <n v="3.4"/>
    <n v="8"/>
    <n v="3"/>
    <n v="12"/>
    <n v="0"/>
    <s v="Band C"/>
    <n v="74300"/>
    <n v="6.1"/>
    <n v="3.6"/>
    <n v="2.2000000000000002"/>
    <n v="0"/>
    <n v="3"/>
    <n v="2.8"/>
    <n v="4"/>
    <s v="Yes"/>
    <n v="0"/>
    <n v="1"/>
    <n v="0.3"/>
    <n v="1"/>
    <x v="1"/>
    <d v="2026-01-26T00:00:00"/>
    <n v="0"/>
    <n v="0"/>
    <x v="0"/>
    <s v="3â€“5 years"/>
    <s v="Low"/>
    <s v="3.266666666666667"/>
    <n v="0.25"/>
    <n v="1"/>
  </r>
  <r>
    <s v="EMP0603"/>
    <s v="Customer Support"/>
    <x v="9"/>
    <n v="1.5"/>
    <s v="G1"/>
    <n v="27"/>
    <s v="Diploma"/>
    <s v="Chennai"/>
    <n v="3"/>
    <n v="16.7"/>
    <n v="10"/>
    <n v="1"/>
    <n v="12"/>
    <n v="0"/>
    <s v="Band A"/>
    <n v="25100"/>
    <n v="11.8"/>
    <n v="3.1"/>
    <n v="1.2"/>
    <n v="0"/>
    <n v="3.9"/>
    <n v="3.7"/>
    <n v="4.4000000000000004"/>
    <s v="No"/>
    <n v="0"/>
    <n v="0"/>
    <m/>
    <n v="2"/>
    <x v="0"/>
    <m/>
    <n v="1"/>
    <n v="0"/>
    <x v="1"/>
    <s v="1â€“3 years"/>
    <s v="Moderate"/>
    <n v="4"/>
    <n v="0.25"/>
    <n v="0"/>
  </r>
  <r>
    <s v="EMP0604"/>
    <s v="Operations"/>
    <x v="3"/>
    <n v="8.5"/>
    <s v="G1"/>
    <n v="37"/>
    <s v="Bachelor"/>
    <s v="Chennai"/>
    <n v="4"/>
    <n v="7.5"/>
    <n v="7"/>
    <n v="5"/>
    <n v="12"/>
    <n v="0"/>
    <s v="Band A"/>
    <n v="24700"/>
    <n v="2.8"/>
    <n v="3.2"/>
    <n v="0.8"/>
    <n v="0"/>
    <n v="3.7"/>
    <n v="3.3"/>
    <n v="4.4000000000000004"/>
    <s v="Yes"/>
    <n v="1"/>
    <n v="0"/>
    <m/>
    <n v="2"/>
    <x v="0"/>
    <m/>
    <n v="1"/>
    <n v="0"/>
    <x v="1"/>
    <s v="5+ years"/>
    <s v="Low"/>
    <s v="3.8000000000000003"/>
    <s v="0.3333333333333333"/>
    <n v="0"/>
  </r>
  <r>
    <s v="EMP0605"/>
    <s v="Customer Support"/>
    <x v="9"/>
    <n v="4.2"/>
    <s v="G1"/>
    <n v="29"/>
    <s v="Bachelor"/>
    <s v="Chennai"/>
    <n v="2"/>
    <n v="11.9"/>
    <n v="11"/>
    <n v="0"/>
    <n v="12"/>
    <n v="0"/>
    <s v="Band A"/>
    <n v="26100"/>
    <n v="9.6999999999999993"/>
    <n v="2.6"/>
    <n v="1.8"/>
    <n v="0"/>
    <n v="1.7"/>
    <n v="4"/>
    <n v="4.0999999999999996"/>
    <s v="Yes"/>
    <n v="0"/>
    <n v="2"/>
    <n v="2.1"/>
    <n v="0"/>
    <x v="0"/>
    <m/>
    <n v="0"/>
    <n v="0"/>
    <x v="0"/>
    <s v="3â€“5 years"/>
    <s v="Moderate"/>
    <s v="3.266666666666667"/>
    <s v="0.16666666666666666"/>
    <n v="0"/>
  </r>
  <r>
    <s v="EMP0606"/>
    <s v="Operations"/>
    <x v="0"/>
    <n v="2.8"/>
    <s v="G4"/>
    <n v="33"/>
    <s v="Bachelor"/>
    <s v="Chennai"/>
    <n v="0"/>
    <n v="16.3"/>
    <n v="9"/>
    <n v="5"/>
    <n v="12"/>
    <n v="0"/>
    <s v="Band D"/>
    <n v="78700"/>
    <n v="0"/>
    <n v="3.7"/>
    <n v="0.2"/>
    <n v="0"/>
    <n v="3.2"/>
    <n v="1.7"/>
    <n v="2.7"/>
    <s v="Yes"/>
    <n v="0"/>
    <n v="0"/>
    <m/>
    <n v="1"/>
    <x v="0"/>
    <m/>
    <n v="1"/>
    <n v="0"/>
    <x v="1"/>
    <s v="1â€“3 years"/>
    <s v="Moderate"/>
    <s v="2.5333333333333337"/>
    <n v="0"/>
    <n v="0"/>
  </r>
  <r>
    <s v="EMP0607"/>
    <s v="Customer Support"/>
    <x v="2"/>
    <n v="3.3"/>
    <s v="G1"/>
    <n v="39"/>
    <s v="Bachelor"/>
    <s v="Remote"/>
    <n v="3"/>
    <n v="9.5"/>
    <n v="12"/>
    <n v="2"/>
    <n v="12"/>
    <n v="0"/>
    <s v="Band A"/>
    <n v="29800"/>
    <n v="10.5"/>
    <n v="3.3"/>
    <n v="2.9"/>
    <n v="0"/>
    <n v="4.0999999999999996"/>
    <n v="4.4000000000000004"/>
    <n v="2.7"/>
    <s v="Yes"/>
    <n v="0"/>
    <n v="1"/>
    <n v="2.7"/>
    <n v="0"/>
    <x v="0"/>
    <m/>
    <n v="0"/>
    <n v="0"/>
    <x v="0"/>
    <s v="3â€“5 years"/>
    <s v="Low"/>
    <s v="3.733333333333333"/>
    <n v="0.25"/>
    <n v="0"/>
  </r>
  <r>
    <s v="EMP0608"/>
    <s v="Engineering"/>
    <x v="10"/>
    <n v="1.2"/>
    <s v="G3"/>
    <n v="23"/>
    <s v="Master"/>
    <s v="Chennai"/>
    <n v="4"/>
    <n v="15.3"/>
    <n v="3"/>
    <n v="3"/>
    <n v="12"/>
    <n v="0"/>
    <s v="Band C"/>
    <n v="56800"/>
    <n v="7.3"/>
    <n v="2.9"/>
    <n v="1.7"/>
    <n v="0"/>
    <n v="3.5"/>
    <n v="2.8"/>
    <n v="4"/>
    <s v="Yes"/>
    <n v="0"/>
    <n v="2"/>
    <n v="1.2"/>
    <n v="0"/>
    <x v="0"/>
    <m/>
    <n v="0"/>
    <n v="0"/>
    <x v="0"/>
    <s v="1â€“3 years"/>
    <s v="Moderate"/>
    <s v="3.4333333333333336"/>
    <s v="0.3333333333333333"/>
    <n v="0"/>
  </r>
  <r>
    <s v="EMP0609"/>
    <s v="Operations"/>
    <x v="3"/>
    <n v="1.2"/>
    <s v="G3"/>
    <n v="23"/>
    <s v="Bachelor"/>
    <s v="Chennai"/>
    <n v="3"/>
    <n v="10.6"/>
    <n v="5"/>
    <n v="3"/>
    <n v="12"/>
    <n v="0"/>
    <s v="Band C"/>
    <n v="54800"/>
    <n v="9.6"/>
    <n v="4"/>
    <n v="0.6"/>
    <n v="0"/>
    <n v="3.7"/>
    <n v="4.5999999999999996"/>
    <n v="3.4"/>
    <s v="Yes"/>
    <n v="1"/>
    <n v="1"/>
    <n v="0.3"/>
    <n v="0"/>
    <x v="0"/>
    <m/>
    <n v="0"/>
    <n v="0"/>
    <x v="0"/>
    <s v="1â€“3 years"/>
    <s v="Moderate"/>
    <s v="3.9000000000000004"/>
    <n v="0.25"/>
    <n v="0"/>
  </r>
  <r>
    <s v="EMP0610"/>
    <s v="Hr"/>
    <x v="15"/>
    <n v="2.6"/>
    <s v="G3"/>
    <n v="25"/>
    <s v="Master"/>
    <s v="Chennai"/>
    <n v="5"/>
    <n v="11"/>
    <n v="6"/>
    <n v="4"/>
    <n v="12"/>
    <n v="0"/>
    <s v="Band B"/>
    <n v="46700"/>
    <n v="5.6"/>
    <n v="3.8"/>
    <n v="1.7"/>
    <n v="0"/>
    <n v="2.6"/>
    <n v="2.4"/>
    <n v="2.6"/>
    <s v="Yes"/>
    <n v="0"/>
    <n v="0"/>
    <m/>
    <n v="0"/>
    <x v="0"/>
    <m/>
    <n v="1"/>
    <n v="0"/>
    <x v="1"/>
    <s v="1â€“3 years"/>
    <s v="Moderate"/>
    <s v="2.533333333333333"/>
    <s v="0.4166666666666667"/>
    <n v="0"/>
  </r>
  <r>
    <s v="EMP0611"/>
    <s v="Finance"/>
    <x v="17"/>
    <n v="2.7"/>
    <s v="G1"/>
    <n v="35"/>
    <s v="Bachelor"/>
    <s v="Coimbatore"/>
    <n v="3"/>
    <n v="23.1"/>
    <n v="10"/>
    <n v="3"/>
    <n v="12"/>
    <n v="0"/>
    <s v="Band A"/>
    <n v="30900"/>
    <n v="4.2"/>
    <n v="1.8"/>
    <n v="0.1"/>
    <n v="0"/>
    <n v="3.5"/>
    <n v="4.9000000000000004"/>
    <n v="4.4000000000000004"/>
    <s v="Yes"/>
    <n v="0"/>
    <n v="1"/>
    <n v="2.2000000000000002"/>
    <n v="0"/>
    <x v="0"/>
    <m/>
    <n v="0"/>
    <n v="0"/>
    <x v="0"/>
    <s v="1â€“3 years"/>
    <s v="High"/>
    <s v="4.266666666666667"/>
    <n v="0.25"/>
    <n v="0"/>
  </r>
  <r>
    <s v="EMP0612"/>
    <s v="Operations"/>
    <x v="0"/>
    <n v="3.1"/>
    <s v="G1"/>
    <n v="33"/>
    <s v="Bachelor"/>
    <s v="Bengaluru"/>
    <n v="7"/>
    <n v="8.6999999999999993"/>
    <n v="9"/>
    <n v="1"/>
    <n v="12"/>
    <n v="0"/>
    <s v="Band A"/>
    <n v="30500"/>
    <n v="6.3"/>
    <n v="3.2"/>
    <n v="0.3"/>
    <n v="0"/>
    <n v="3.2"/>
    <n v="2.2999999999999998"/>
    <n v="1.9"/>
    <s v="Yes"/>
    <n v="0"/>
    <n v="0"/>
    <m/>
    <n v="0"/>
    <x v="0"/>
    <m/>
    <n v="1"/>
    <n v="0"/>
    <x v="1"/>
    <s v="3â€“5 years"/>
    <s v="Low"/>
    <s v="2.466666666666667"/>
    <s v="0.5833333333333334"/>
    <n v="0"/>
  </r>
  <r>
    <s v="EMP0613"/>
    <s v="Customer Support"/>
    <x v="5"/>
    <n v="9"/>
    <s v="G2"/>
    <n v="34"/>
    <s v="Diploma"/>
    <s v="Hyderabad"/>
    <n v="3"/>
    <n v="16.8"/>
    <n v="8"/>
    <n v="2"/>
    <n v="12"/>
    <n v="0"/>
    <s v="Band B"/>
    <n v="41400"/>
    <n v="8.8000000000000007"/>
    <n v="2.2999999999999998"/>
    <n v="0.3"/>
    <n v="0"/>
    <n v="3.1"/>
    <n v="1.6"/>
    <n v="3.7"/>
    <s v="Yes"/>
    <n v="0"/>
    <n v="1"/>
    <n v="0.5"/>
    <n v="1"/>
    <x v="0"/>
    <m/>
    <n v="0"/>
    <n v="0"/>
    <x v="0"/>
    <s v="5+ years"/>
    <s v="Moderate"/>
    <s v="2.8000000000000003"/>
    <n v="0.25"/>
    <n v="0"/>
  </r>
  <r>
    <s v="EMP0614"/>
    <s v="Customer Support"/>
    <x v="2"/>
    <n v="5.8"/>
    <s v="G1"/>
    <n v="32"/>
    <s v="Bachelor"/>
    <s v="Coimbatore"/>
    <n v="1"/>
    <n v="2.5"/>
    <n v="8"/>
    <n v="3"/>
    <n v="12"/>
    <n v="0"/>
    <s v="Band A"/>
    <n v="29800"/>
    <n v="10.3"/>
    <n v="3.3"/>
    <n v="0.3"/>
    <n v="0"/>
    <n v="3.3"/>
    <n v="3.2"/>
    <n v="3.3"/>
    <s v="Yes"/>
    <n v="1"/>
    <n v="1"/>
    <n v="4.8"/>
    <n v="0"/>
    <x v="0"/>
    <m/>
    <n v="0"/>
    <n v="0"/>
    <x v="0"/>
    <s v="5+ years"/>
    <s v="Low"/>
    <s v="3.266666666666667"/>
    <n v="8.3333333333333301E-2"/>
    <n v="0"/>
  </r>
  <r>
    <s v="EMP0615"/>
    <s v="Sales"/>
    <x v="13"/>
    <n v="0.7"/>
    <s v="G3"/>
    <n v="23"/>
    <s v="Bachelor"/>
    <s v="Bengaluru"/>
    <n v="3"/>
    <n v="11.6"/>
    <n v="15"/>
    <n v="1"/>
    <n v="12"/>
    <n v="0"/>
    <s v="Band C"/>
    <n v="56900"/>
    <n v="9.1999999999999993"/>
    <n v="1"/>
    <n v="1.1000000000000001"/>
    <n v="0"/>
    <n v="4.0999999999999996"/>
    <n v="4.3"/>
    <n v="3.2"/>
    <s v="Yes"/>
    <n v="0"/>
    <n v="1"/>
    <n v="0.4"/>
    <n v="0"/>
    <x v="0"/>
    <m/>
    <n v="0"/>
    <n v="0"/>
    <x v="0"/>
    <s v="0â€“1 years"/>
    <s v="Moderate"/>
    <s v="3.866666666666666"/>
    <n v="0.25"/>
    <n v="0"/>
  </r>
  <r>
    <s v="EMP0616"/>
    <s v="Operations"/>
    <x v="0"/>
    <n v="7.9"/>
    <s v="G2"/>
    <n v="37"/>
    <s v="Master"/>
    <s v="Coimbatore"/>
    <n v="4"/>
    <n v="27.2"/>
    <n v="15"/>
    <n v="2"/>
    <n v="12"/>
    <n v="0"/>
    <s v="Band B"/>
    <n v="37600"/>
    <n v="4.3"/>
    <n v="3.4"/>
    <n v="1.7"/>
    <n v="0"/>
    <n v="3.6"/>
    <n v="3.9"/>
    <n v="3.4"/>
    <s v="Yes"/>
    <n v="0"/>
    <n v="1"/>
    <n v="0.3"/>
    <n v="3"/>
    <x v="0"/>
    <m/>
    <n v="0"/>
    <n v="0"/>
    <x v="0"/>
    <s v="5+ years"/>
    <s v="High"/>
    <s v="3.6333333333333333"/>
    <s v="0.3333333333333333"/>
    <n v="0"/>
  </r>
  <r>
    <s v="EMP0617"/>
    <s v="Operations"/>
    <x v="0"/>
    <n v="2.6"/>
    <s v="G2"/>
    <n v="27"/>
    <s v="Bachelor"/>
    <s v="Hyderabad"/>
    <n v="4"/>
    <n v="44.3"/>
    <n v="14"/>
    <n v="1"/>
    <n v="12"/>
    <n v="0"/>
    <s v="Band B"/>
    <n v="43300"/>
    <n v="15.4"/>
    <n v="3.8"/>
    <n v="7.9"/>
    <n v="0"/>
    <n v="3.5"/>
    <n v="4.2"/>
    <n v="2.7"/>
    <s v="Yes"/>
    <n v="0"/>
    <n v="1"/>
    <n v="2"/>
    <n v="0"/>
    <x v="1"/>
    <d v="2024-12-17T00:00:00"/>
    <n v="0"/>
    <n v="0"/>
    <x v="0"/>
    <s v="1â€“3 years"/>
    <s v="High"/>
    <s v="3.466666666666667"/>
    <s v="0.3333333333333333"/>
    <n v="1"/>
  </r>
  <r>
    <s v="EMP0618"/>
    <s v="Sales"/>
    <x v="13"/>
    <n v="6.2"/>
    <s v="G1"/>
    <n v="31"/>
    <s v="Bachelor"/>
    <s v="Bengaluru"/>
    <n v="3"/>
    <n v="2.7"/>
    <n v="9"/>
    <n v="1"/>
    <n v="12"/>
    <n v="0"/>
    <s v="Band A"/>
    <n v="31800"/>
    <n v="9.3000000000000007"/>
    <n v="3.1"/>
    <n v="3.2"/>
    <n v="0"/>
    <n v="5"/>
    <n v="3.9"/>
    <n v="3.4"/>
    <s v="No"/>
    <n v="1"/>
    <n v="0"/>
    <m/>
    <n v="0"/>
    <x v="0"/>
    <m/>
    <n v="1"/>
    <n v="0"/>
    <x v="1"/>
    <s v="5+ years"/>
    <s v="Low"/>
    <s v="4.1000000000000005"/>
    <n v="0.25"/>
    <n v="0"/>
  </r>
  <r>
    <s v="EMP0619"/>
    <s v="Engineering"/>
    <x v="12"/>
    <n v="2.8"/>
    <s v="G3"/>
    <n v="31"/>
    <s v="Bachelor"/>
    <s v="Chennai"/>
    <n v="1"/>
    <n v="7.4"/>
    <n v="5"/>
    <n v="2"/>
    <n v="12"/>
    <n v="0"/>
    <s v="Band C"/>
    <n v="52600"/>
    <n v="5.5"/>
    <n v="2.2000000000000002"/>
    <n v="0.1"/>
    <n v="0"/>
    <n v="3.7"/>
    <n v="3.3"/>
    <n v="3.4"/>
    <s v="Yes"/>
    <n v="1"/>
    <n v="0"/>
    <m/>
    <n v="0"/>
    <x v="0"/>
    <m/>
    <n v="1"/>
    <n v="0"/>
    <x v="1"/>
    <s v="1â€“3 years"/>
    <s v="Low"/>
    <s v="3.466666666666667"/>
    <n v="8.3333333333333301E-2"/>
    <n v="0"/>
  </r>
  <r>
    <s v="EMP0620"/>
    <s v="Engineering"/>
    <x v="4"/>
    <n v="4.0999999999999996"/>
    <s v="G1"/>
    <n v="29"/>
    <s v="Diploma"/>
    <s v="Bengaluru"/>
    <n v="5"/>
    <n v="4.0999999999999996"/>
    <n v="11"/>
    <n v="3"/>
    <n v="12"/>
    <n v="0"/>
    <s v="Band A"/>
    <n v="34200"/>
    <n v="9.6999999999999993"/>
    <n v="5"/>
    <n v="4.8"/>
    <n v="0"/>
    <n v="4.4000000000000004"/>
    <n v="3.9"/>
    <n v="4.0999999999999996"/>
    <s v="Yes"/>
    <n v="0"/>
    <n v="1"/>
    <n v="2.6"/>
    <n v="0"/>
    <x v="0"/>
    <m/>
    <n v="0"/>
    <n v="0"/>
    <x v="0"/>
    <s v="3â€“5 years"/>
    <s v="Low"/>
    <s v="4.133333333333334"/>
    <s v="0.4166666666666667"/>
    <n v="0"/>
  </r>
  <r>
    <s v="EMP0621"/>
    <s v="Operations"/>
    <x v="0"/>
    <n v="1.3"/>
    <s v="G3"/>
    <n v="26"/>
    <s v="Master"/>
    <s v="Hyderabad"/>
    <n v="5"/>
    <n v="9"/>
    <n v="11"/>
    <n v="2"/>
    <n v="12"/>
    <n v="0"/>
    <s v="Band B"/>
    <n v="43900"/>
    <n v="9"/>
    <n v="4.2"/>
    <n v="0.6"/>
    <n v="0"/>
    <n v="3.5"/>
    <n v="3.3"/>
    <n v="4.7"/>
    <s v="Yes"/>
    <n v="0"/>
    <n v="0"/>
    <m/>
    <n v="0"/>
    <x v="0"/>
    <m/>
    <n v="1"/>
    <n v="0"/>
    <x v="1"/>
    <s v="1â€“3 years"/>
    <s v="Low"/>
    <s v="3.8333333333333335"/>
    <s v="0.4166666666666667"/>
    <n v="0"/>
  </r>
  <r>
    <s v="EMP0622"/>
    <s v="Hr"/>
    <x v="7"/>
    <n v="4.7"/>
    <s v="G1"/>
    <n v="31"/>
    <s v="Bachelor"/>
    <s v="Coimbatore"/>
    <n v="5"/>
    <n v="18.8"/>
    <n v="7"/>
    <n v="0"/>
    <n v="12"/>
    <n v="0"/>
    <s v="Band A"/>
    <n v="27500"/>
    <n v="7.3"/>
    <n v="2.7"/>
    <n v="2"/>
    <n v="0"/>
    <n v="3"/>
    <n v="2.6"/>
    <n v="3.5"/>
    <s v="Yes"/>
    <n v="0"/>
    <n v="0"/>
    <m/>
    <n v="0"/>
    <x v="0"/>
    <m/>
    <n v="1"/>
    <n v="0"/>
    <x v="1"/>
    <s v="3â€“5 years"/>
    <s v="Moderate"/>
    <s v="3.033333333333333"/>
    <s v="0.4166666666666667"/>
    <n v="0"/>
  </r>
  <r>
    <s v="EMP0623"/>
    <s v="Customer Support"/>
    <x v="5"/>
    <n v="6.7"/>
    <s v="G5"/>
    <n v="36"/>
    <s v="Diploma"/>
    <s v="Remote"/>
    <n v="1"/>
    <n v="23.7"/>
    <n v="12"/>
    <n v="0"/>
    <n v="12"/>
    <n v="0"/>
    <s v="Band D"/>
    <n v="93400"/>
    <n v="6.8"/>
    <n v="3"/>
    <n v="1.1000000000000001"/>
    <n v="0"/>
    <n v="2.2999999999999998"/>
    <n v="3.4"/>
    <n v="2.7"/>
    <s v="Yes"/>
    <n v="0"/>
    <n v="5"/>
    <n v="6"/>
    <n v="0"/>
    <x v="0"/>
    <m/>
    <n v="0"/>
    <n v="0"/>
    <x v="0"/>
    <s v="5+ years"/>
    <s v="High"/>
    <s v="2.7999999999999994"/>
    <n v="8.3333333333333301E-2"/>
    <n v="0"/>
  </r>
  <r>
    <s v="EMP0624"/>
    <s v="Hr"/>
    <x v="15"/>
    <n v="0.8"/>
    <s v="G3"/>
    <n v="33"/>
    <s v="Master"/>
    <s v="Hyderabad"/>
    <n v="1"/>
    <n v="24.2"/>
    <n v="7"/>
    <n v="4"/>
    <n v="12"/>
    <n v="0"/>
    <s v="Band C"/>
    <n v="54200"/>
    <n v="11.9"/>
    <n v="1.4"/>
    <n v="5"/>
    <n v="0"/>
    <n v="3.5"/>
    <n v="3.1"/>
    <n v="2.5"/>
    <s v="Yes"/>
    <n v="0"/>
    <n v="0"/>
    <m/>
    <n v="0"/>
    <x v="0"/>
    <m/>
    <n v="1"/>
    <n v="0"/>
    <x v="1"/>
    <s v="0â€“1 years"/>
    <s v="High"/>
    <s v="3.033333333333333"/>
    <n v="8.3333333333333301E-2"/>
    <n v="0"/>
  </r>
  <r>
    <s v="EMP0625"/>
    <s v="Customer Support"/>
    <x v="9"/>
    <n v="6.7"/>
    <s v="G1"/>
    <n v="35"/>
    <s v="Doctorate"/>
    <s v="Chennai"/>
    <n v="2"/>
    <n v="2.4"/>
    <n v="7"/>
    <n v="2"/>
    <n v="12"/>
    <n v="0"/>
    <s v="Band A"/>
    <n v="34200"/>
    <n v="14.9"/>
    <n v="3.6"/>
    <n v="3"/>
    <n v="0"/>
    <n v="1"/>
    <n v="4.5"/>
    <n v="4.8"/>
    <s v="Yes"/>
    <n v="0"/>
    <n v="0"/>
    <m/>
    <n v="1"/>
    <x v="0"/>
    <m/>
    <n v="1"/>
    <n v="0"/>
    <x v="1"/>
    <s v="5+ years"/>
    <s v="Low"/>
    <s v="3.4333333333333336"/>
    <s v="0.16666666666666666"/>
    <n v="0"/>
  </r>
  <r>
    <s v="EMP0626"/>
    <s v="Sales"/>
    <x v="8"/>
    <n v="2.1"/>
    <s v="G1"/>
    <n v="31"/>
    <s v="Bachelor"/>
    <s v="Hyderabad"/>
    <n v="1"/>
    <n v="10.3"/>
    <n v="10"/>
    <n v="4"/>
    <n v="12"/>
    <n v="0"/>
    <s v="Band A"/>
    <n v="24700"/>
    <n v="0"/>
    <n v="2"/>
    <n v="4.5"/>
    <n v="0"/>
    <n v="3.5"/>
    <n v="2.7"/>
    <n v="4.7"/>
    <s v="Yes"/>
    <n v="0"/>
    <n v="0"/>
    <m/>
    <n v="0"/>
    <x v="0"/>
    <m/>
    <n v="1"/>
    <n v="0"/>
    <x v="1"/>
    <s v="1â€“3 years"/>
    <s v="Moderate"/>
    <s v="3.6333333333333333"/>
    <n v="8.3333333333333301E-2"/>
    <n v="0"/>
  </r>
  <r>
    <s v="EMP0627"/>
    <s v="Operations"/>
    <x v="0"/>
    <n v="10.9"/>
    <s v="G2"/>
    <n v="36"/>
    <s v="Bachelor"/>
    <s v="Bengaluru"/>
    <n v="1"/>
    <n v="6"/>
    <n v="8"/>
    <n v="3"/>
    <n v="12"/>
    <n v="0"/>
    <s v="Band C"/>
    <n v="60200"/>
    <n v="12.9"/>
    <n v="3.8"/>
    <n v="2.1"/>
    <n v="0"/>
    <n v="3.6"/>
    <n v="2.7"/>
    <n v="4.0999999999999996"/>
    <s v="Yes"/>
    <n v="0"/>
    <n v="2"/>
    <n v="0.8"/>
    <n v="0"/>
    <x v="0"/>
    <m/>
    <n v="0"/>
    <n v="0"/>
    <x v="0"/>
    <s v="5+ years"/>
    <s v="Low"/>
    <s v="3.466666666666667"/>
    <n v="8.3333333333333301E-2"/>
    <n v="0"/>
  </r>
  <r>
    <s v="EMP0628"/>
    <s v="Engineering"/>
    <x v="16"/>
    <n v="6.3"/>
    <s v="G1"/>
    <n v="29"/>
    <s v="Master"/>
    <s v="Coimbatore"/>
    <n v="1"/>
    <n v="8.5"/>
    <n v="12"/>
    <n v="5"/>
    <n v="12"/>
    <n v="0"/>
    <s v="Band A"/>
    <n v="27400"/>
    <n v="8.1"/>
    <n v="4.0999999999999996"/>
    <n v="0.8"/>
    <n v="0"/>
    <n v="3.1"/>
    <n v="2.6"/>
    <n v="3.4"/>
    <s v="Yes"/>
    <n v="0"/>
    <n v="2"/>
    <n v="3.4"/>
    <n v="0"/>
    <x v="0"/>
    <m/>
    <n v="0"/>
    <n v="0"/>
    <x v="0"/>
    <s v="5+ years"/>
    <s v="Low"/>
    <s v="3.033333333333333"/>
    <n v="8.3333333333333301E-2"/>
    <n v="0"/>
  </r>
  <r>
    <s v="EMP0629"/>
    <s v="Finance"/>
    <x v="11"/>
    <n v="5.5"/>
    <s v="G1"/>
    <n v="34"/>
    <s v="Bachelor"/>
    <s v="Coimbatore"/>
    <n v="7"/>
    <n v="6.7"/>
    <n v="11"/>
    <n v="2"/>
    <n v="12"/>
    <n v="0"/>
    <s v="Band A"/>
    <n v="30700"/>
    <n v="8.9"/>
    <n v="3.1"/>
    <n v="2.4"/>
    <n v="0"/>
    <n v="3.2"/>
    <n v="4.9000000000000004"/>
    <n v="4.0999999999999996"/>
    <s v="Yes"/>
    <n v="0"/>
    <n v="0"/>
    <m/>
    <n v="1"/>
    <x v="0"/>
    <m/>
    <n v="1"/>
    <n v="0"/>
    <x v="1"/>
    <s v="5+ years"/>
    <s v="Low"/>
    <s v="4.066666666666667"/>
    <s v="0.5833333333333334"/>
    <n v="0"/>
  </r>
  <r>
    <s v="EMP0630"/>
    <s v="Operations"/>
    <x v="6"/>
    <n v="3.3"/>
    <s v="G4"/>
    <n v="30"/>
    <s v="Bachelor"/>
    <s v="Hyderabad"/>
    <n v="2"/>
    <n v="2.6"/>
    <n v="10"/>
    <n v="3"/>
    <n v="12"/>
    <n v="0"/>
    <s v="Band C"/>
    <n v="71400"/>
    <n v="13.4"/>
    <n v="2.2000000000000002"/>
    <n v="3.8"/>
    <n v="0"/>
    <n v="2.2000000000000002"/>
    <n v="2.6"/>
    <n v="4.4000000000000004"/>
    <s v="Yes"/>
    <n v="0"/>
    <n v="2"/>
    <n v="3"/>
    <n v="0"/>
    <x v="0"/>
    <m/>
    <n v="0"/>
    <n v="0"/>
    <x v="0"/>
    <s v="3â€“5 years"/>
    <s v="Low"/>
    <s v="3.066666666666667"/>
    <s v="0.16666666666666666"/>
    <n v="0"/>
  </r>
  <r>
    <s v="EMP0631"/>
    <s v="Customer Support"/>
    <x v="9"/>
    <n v="16.600000000000001"/>
    <s v="G3"/>
    <n v="37"/>
    <s v="Bachelor"/>
    <s v="Bengaluru"/>
    <n v="2"/>
    <n v="23.8"/>
    <n v="10"/>
    <n v="2"/>
    <n v="12"/>
    <n v="0"/>
    <s v="Band C"/>
    <n v="63700"/>
    <n v="0"/>
    <n v="4.3"/>
    <n v="0.5"/>
    <n v="0"/>
    <n v="4.5"/>
    <n v="4.4000000000000004"/>
    <n v="2.9"/>
    <s v="Yes"/>
    <n v="0"/>
    <n v="0"/>
    <m/>
    <n v="1"/>
    <x v="0"/>
    <m/>
    <n v="1"/>
    <n v="0"/>
    <x v="1"/>
    <s v="5+ years"/>
    <s v="High"/>
    <s v="3.9333333333333336"/>
    <s v="0.16666666666666666"/>
    <n v="0"/>
  </r>
  <r>
    <s v="EMP0632"/>
    <s v="Customer Support"/>
    <x v="9"/>
    <n v="2.6"/>
    <s v="G1"/>
    <n v="27"/>
    <s v="Master"/>
    <s v="Coimbatore"/>
    <n v="3"/>
    <n v="5.2"/>
    <n v="8"/>
    <n v="4"/>
    <n v="12"/>
    <n v="0"/>
    <s v="Band A"/>
    <n v="25600"/>
    <n v="11.3"/>
    <n v="3.2"/>
    <n v="1.9"/>
    <n v="0"/>
    <n v="3"/>
    <n v="2.2999999999999998"/>
    <n v="3.4"/>
    <s v="Yes"/>
    <n v="0"/>
    <n v="2"/>
    <n v="0.5"/>
    <n v="0"/>
    <x v="0"/>
    <m/>
    <n v="0"/>
    <n v="0"/>
    <x v="0"/>
    <s v="1â€“3 years"/>
    <s v="Low"/>
    <n v="2.9"/>
    <n v="0.25"/>
    <n v="0"/>
  </r>
  <r>
    <s v="EMP0633"/>
    <s v="Engineering"/>
    <x v="4"/>
    <n v="1.6"/>
    <s v="G3"/>
    <n v="27"/>
    <s v="Master"/>
    <s v="Chennai"/>
    <n v="5"/>
    <n v="6.1"/>
    <n v="9"/>
    <n v="1"/>
    <n v="12"/>
    <n v="0"/>
    <s v="Band C"/>
    <n v="58700"/>
    <n v="13.1"/>
    <n v="3.3"/>
    <n v="2.8"/>
    <n v="0"/>
    <n v="2.4"/>
    <n v="3.7"/>
    <n v="2.5"/>
    <s v="Yes"/>
    <n v="0"/>
    <n v="1"/>
    <n v="0.2"/>
    <n v="0"/>
    <x v="0"/>
    <m/>
    <n v="0"/>
    <n v="0"/>
    <x v="0"/>
    <s v="1â€“3 years"/>
    <s v="Low"/>
    <s v="2.8666666666666667"/>
    <s v="0.4166666666666667"/>
    <n v="0"/>
  </r>
  <r>
    <s v="EMP0634"/>
    <s v="Sales"/>
    <x v="8"/>
    <n v="2.2000000000000002"/>
    <s v="G2"/>
    <n v="26"/>
    <s v="Bachelor"/>
    <s v="Coimbatore"/>
    <n v="2"/>
    <n v="27.4"/>
    <n v="9"/>
    <n v="4"/>
    <n v="12"/>
    <n v="0"/>
    <s v="Band A"/>
    <n v="34200"/>
    <n v="5.2"/>
    <n v="2.4"/>
    <n v="0.7"/>
    <n v="0"/>
    <n v="3.8"/>
    <n v="3.3"/>
    <n v="3.3"/>
    <s v="No"/>
    <n v="1"/>
    <n v="2"/>
    <n v="1.7"/>
    <n v="0"/>
    <x v="0"/>
    <m/>
    <n v="0"/>
    <n v="0"/>
    <x v="0"/>
    <s v="1â€“3 years"/>
    <s v="High"/>
    <s v="3.4666666666666663"/>
    <s v="0.16666666666666666"/>
    <n v="0"/>
  </r>
  <r>
    <s v="EMP0635"/>
    <s v="Engineering"/>
    <x v="16"/>
    <n v="7.5"/>
    <s v="G5"/>
    <n v="39"/>
    <s v="Diploma"/>
    <s v="Remote"/>
    <n v="1"/>
    <n v="2.1"/>
    <n v="9"/>
    <n v="2"/>
    <n v="12"/>
    <n v="0"/>
    <s v="Band D"/>
    <n v="81000"/>
    <n v="2.4"/>
    <n v="3.4"/>
    <n v="0.9"/>
    <n v="0"/>
    <n v="3.4"/>
    <n v="4.3"/>
    <n v="4.5999999999999996"/>
    <s v="Yes"/>
    <n v="0"/>
    <n v="2"/>
    <n v="1.2"/>
    <n v="0"/>
    <x v="0"/>
    <m/>
    <n v="0"/>
    <n v="0"/>
    <x v="0"/>
    <s v="5+ years"/>
    <s v="Low"/>
    <n v="4.0999999999999996"/>
    <n v="8.3333333333333301E-2"/>
    <n v="0"/>
  </r>
  <r>
    <s v="EMP0636"/>
    <s v="Engineering"/>
    <x v="16"/>
    <n v="4"/>
    <s v="G1"/>
    <n v="32"/>
    <s v="Bachelor"/>
    <s v="Bengaluru"/>
    <n v="5"/>
    <n v="13.9"/>
    <n v="8"/>
    <n v="0"/>
    <n v="12"/>
    <n v="0"/>
    <s v="Band A"/>
    <n v="25000"/>
    <n v="14.6"/>
    <n v="3"/>
    <n v="1.2"/>
    <n v="0"/>
    <n v="3"/>
    <n v="4.2"/>
    <n v="4.3"/>
    <s v="Yes"/>
    <n v="0"/>
    <n v="1"/>
    <n v="0.3"/>
    <n v="1"/>
    <x v="0"/>
    <m/>
    <n v="0"/>
    <n v="0"/>
    <x v="0"/>
    <s v="3â€“5 years"/>
    <s v="Moderate"/>
    <s v="3.8333333333333335"/>
    <s v="0.4166666666666667"/>
    <n v="0"/>
  </r>
  <r>
    <s v="EMP0637"/>
    <s v="Operations"/>
    <x v="3"/>
    <n v="3.6"/>
    <s v="G3"/>
    <n v="35"/>
    <s v="Bachelor"/>
    <s v="Chennai"/>
    <n v="3"/>
    <n v="20.7"/>
    <n v="6"/>
    <n v="2"/>
    <n v="12"/>
    <n v="0"/>
    <s v="Band C"/>
    <n v="62500"/>
    <n v="1"/>
    <n v="2"/>
    <n v="1.9"/>
    <n v="0"/>
    <n v="2.9"/>
    <n v="3.3"/>
    <n v="3.5"/>
    <s v="No"/>
    <n v="0"/>
    <n v="0"/>
    <m/>
    <n v="0"/>
    <x v="0"/>
    <m/>
    <n v="1"/>
    <n v="0"/>
    <x v="1"/>
    <s v="3â€“5 years"/>
    <s v="High"/>
    <s v="3.233333333333333"/>
    <n v="0.25"/>
    <n v="0"/>
  </r>
  <r>
    <s v="EMP0638"/>
    <s v="Operations"/>
    <x v="0"/>
    <n v="2.6"/>
    <s v="G4"/>
    <n v="30"/>
    <s v="Master"/>
    <s v="Hyderabad"/>
    <n v="4"/>
    <n v="25.9"/>
    <n v="8"/>
    <n v="3"/>
    <n v="12"/>
    <n v="0"/>
    <s v="Band D"/>
    <n v="81200"/>
    <n v="9.6999999999999993"/>
    <n v="4.4000000000000004"/>
    <n v="1.3"/>
    <n v="0"/>
    <n v="3.3"/>
    <n v="2.7"/>
    <n v="1.2"/>
    <s v="No"/>
    <n v="0"/>
    <n v="1"/>
    <n v="2.5"/>
    <n v="0"/>
    <x v="0"/>
    <m/>
    <n v="0"/>
    <n v="0"/>
    <x v="0"/>
    <s v="1â€“3 years"/>
    <s v="High"/>
    <n v="2.4"/>
    <s v="0.3333333333333333"/>
    <n v="0"/>
  </r>
  <r>
    <s v="EMP0639"/>
    <s v="Operations"/>
    <x v="6"/>
    <n v="3.4"/>
    <s v="G1"/>
    <n v="30"/>
    <s v="Bachelor"/>
    <s v="Hyderabad"/>
    <n v="6"/>
    <n v="13.2"/>
    <n v="10"/>
    <n v="1"/>
    <n v="12"/>
    <n v="0"/>
    <s v="Band A"/>
    <n v="21700"/>
    <n v="12.1"/>
    <n v="4.8"/>
    <n v="1.5"/>
    <n v="0"/>
    <n v="4.5"/>
    <n v="4.7"/>
    <n v="2.9"/>
    <s v="Yes"/>
    <n v="0"/>
    <n v="1"/>
    <n v="1"/>
    <n v="0"/>
    <x v="0"/>
    <m/>
    <n v="0"/>
    <n v="0"/>
    <x v="0"/>
    <s v="3â€“5 years"/>
    <s v="Moderate"/>
    <s v="4.033333333333333"/>
    <n v="0.5"/>
    <n v="0"/>
  </r>
  <r>
    <s v="EMP0640"/>
    <s v="Customer Support"/>
    <x v="9"/>
    <n v="2.5"/>
    <s v="G1"/>
    <n v="25"/>
    <s v="Diploma"/>
    <s v="Coimbatore"/>
    <n v="1"/>
    <n v="17"/>
    <n v="5"/>
    <n v="3"/>
    <n v="12"/>
    <n v="0"/>
    <s v="Band A"/>
    <n v="31000"/>
    <n v="9.6"/>
    <n v="4.0999999999999996"/>
    <n v="5.5"/>
    <n v="0"/>
    <n v="3.7"/>
    <n v="2.6"/>
    <n v="3.5"/>
    <s v="Yes"/>
    <n v="0"/>
    <n v="0"/>
    <m/>
    <n v="0"/>
    <x v="0"/>
    <m/>
    <n v="1"/>
    <n v="0"/>
    <x v="1"/>
    <s v="1â€“3 years"/>
    <s v="Moderate"/>
    <s v="3.266666666666667"/>
    <n v="8.3333333333333301E-2"/>
    <n v="0"/>
  </r>
  <r>
    <s v="EMP0641"/>
    <s v="Operations"/>
    <x v="6"/>
    <n v="5.9"/>
    <s v="G2"/>
    <n v="32"/>
    <s v="Master"/>
    <s v="Chennai"/>
    <n v="2"/>
    <n v="20.7"/>
    <n v="9"/>
    <n v="1"/>
    <n v="12"/>
    <n v="0"/>
    <s v="Band A"/>
    <n v="30700"/>
    <n v="10.3"/>
    <n v="4"/>
    <n v="1.3"/>
    <n v="0"/>
    <n v="3.3"/>
    <n v="1.2"/>
    <n v="3.2"/>
    <s v="Yes"/>
    <n v="0"/>
    <n v="0"/>
    <m/>
    <n v="1"/>
    <x v="0"/>
    <m/>
    <n v="1"/>
    <n v="0"/>
    <x v="1"/>
    <s v="5+ years"/>
    <s v="High"/>
    <s v="2.566666666666667"/>
    <s v="0.16666666666666666"/>
    <n v="0"/>
  </r>
  <r>
    <s v="EMP0642"/>
    <s v="Operations"/>
    <x v="3"/>
    <n v="3.1"/>
    <s v="G4"/>
    <n v="29"/>
    <s v="Bachelor"/>
    <s v="Bengaluru"/>
    <n v="1"/>
    <n v="9.1"/>
    <n v="7"/>
    <n v="0"/>
    <n v="12"/>
    <n v="0"/>
    <s v="Band C"/>
    <n v="70900"/>
    <n v="6.9"/>
    <n v="4.8"/>
    <n v="4.2"/>
    <n v="0"/>
    <n v="4.0999999999999996"/>
    <n v="1.5"/>
    <n v="3.4"/>
    <s v="Yes"/>
    <n v="0"/>
    <n v="1"/>
    <n v="1.9"/>
    <n v="1"/>
    <x v="0"/>
    <m/>
    <n v="0"/>
    <n v="0"/>
    <x v="0"/>
    <s v="3â€“5 years"/>
    <s v="Low"/>
    <n v="3"/>
    <n v="8.3333333333333301E-2"/>
    <n v="0"/>
  </r>
  <r>
    <s v="EMP0643"/>
    <s v="Engineering"/>
    <x v="16"/>
    <n v="2.2000000000000002"/>
    <s v="G3"/>
    <n v="23"/>
    <s v="Master"/>
    <s v="Chennai"/>
    <n v="1"/>
    <n v="4.5"/>
    <n v="7"/>
    <n v="1"/>
    <n v="12"/>
    <n v="0"/>
    <s v="Band B"/>
    <n v="44600"/>
    <n v="9.9"/>
    <n v="2.2999999999999998"/>
    <n v="7.3"/>
    <n v="0"/>
    <n v="3.3"/>
    <n v="1.7"/>
    <n v="3.6"/>
    <s v="Yes"/>
    <n v="0"/>
    <n v="1"/>
    <n v="1.3"/>
    <n v="0"/>
    <x v="0"/>
    <m/>
    <n v="0"/>
    <n v="0"/>
    <x v="0"/>
    <s v="1â€“3 years"/>
    <s v="Low"/>
    <s v="2.8666666666666667"/>
    <n v="8.3333333333333301E-2"/>
    <n v="0"/>
  </r>
  <r>
    <s v="EMP0644"/>
    <s v="Engineering"/>
    <x v="10"/>
    <n v="7.1"/>
    <s v="G3"/>
    <n v="31"/>
    <s v="Diploma"/>
    <s v="Chennai"/>
    <n v="3"/>
    <n v="28.8"/>
    <n v="8"/>
    <n v="2"/>
    <n v="12"/>
    <n v="0"/>
    <s v="Band C"/>
    <n v="62000"/>
    <n v="5.2"/>
    <n v="2.2000000000000002"/>
    <n v="0.6"/>
    <n v="0"/>
    <n v="3.7"/>
    <n v="3.7"/>
    <n v="3"/>
    <s v="No"/>
    <n v="0"/>
    <n v="0"/>
    <m/>
    <n v="0"/>
    <x v="1"/>
    <d v="2025-07-25T00:00:00"/>
    <n v="1"/>
    <n v="0"/>
    <x v="1"/>
    <s v="5+ years"/>
    <s v="High"/>
    <s v="3.466666666666667"/>
    <n v="0.25"/>
    <n v="1"/>
  </r>
  <r>
    <s v="EMP0645"/>
    <s v="Operations"/>
    <x v="3"/>
    <n v="1.6"/>
    <s v="G4"/>
    <n v="26"/>
    <s v="Master"/>
    <s v="Bengaluru"/>
    <n v="3"/>
    <n v="15.7"/>
    <n v="6"/>
    <n v="1"/>
    <n v="12"/>
    <n v="0"/>
    <s v="Band C"/>
    <n v="74700"/>
    <n v="5.7"/>
    <n v="2.8"/>
    <n v="3.1"/>
    <n v="0"/>
    <n v="3.4"/>
    <n v="5"/>
    <n v="3.4"/>
    <s v="Yes"/>
    <n v="0"/>
    <n v="0"/>
    <m/>
    <n v="0"/>
    <x v="0"/>
    <m/>
    <n v="1"/>
    <n v="0"/>
    <x v="1"/>
    <s v="1â€“3 years"/>
    <s v="Moderate"/>
    <s v="3.9333333333333336"/>
    <n v="0.25"/>
    <n v="0"/>
  </r>
  <r>
    <s v="EMP0646"/>
    <s v="Customer Support"/>
    <x v="5"/>
    <n v="4"/>
    <s v="G4"/>
    <n v="32"/>
    <s v="Diploma"/>
    <s v="Remote"/>
    <n v="2"/>
    <n v="10.3"/>
    <n v="6"/>
    <n v="3"/>
    <n v="12"/>
    <n v="0"/>
    <s v="Band D"/>
    <n v="80600"/>
    <n v="8.1"/>
    <n v="3.5"/>
    <n v="0.8"/>
    <n v="0"/>
    <n v="3.8"/>
    <n v="1.4"/>
    <n v="3.3"/>
    <s v="Yes"/>
    <n v="0"/>
    <n v="0"/>
    <m/>
    <n v="0"/>
    <x v="0"/>
    <m/>
    <n v="1"/>
    <n v="0"/>
    <x v="1"/>
    <s v="3â€“5 years"/>
    <s v="Moderate"/>
    <s v="2.8333333333333335"/>
    <s v="0.16666666666666666"/>
    <n v="0"/>
  </r>
  <r>
    <s v="EMP0647"/>
    <s v="Engineering"/>
    <x v="12"/>
    <n v="0.6"/>
    <s v="G2"/>
    <n v="28"/>
    <s v="Diploma"/>
    <s v="Chennai"/>
    <n v="2"/>
    <n v="2.7"/>
    <n v="11"/>
    <n v="2"/>
    <n v="12"/>
    <n v="0"/>
    <s v="Band B"/>
    <n v="36700"/>
    <n v="1.8"/>
    <n v="2.9"/>
    <n v="3"/>
    <n v="0"/>
    <n v="2.9"/>
    <n v="2.5"/>
    <n v="2.8"/>
    <s v="No"/>
    <n v="0"/>
    <n v="2"/>
    <n v="0.2"/>
    <n v="0"/>
    <x v="1"/>
    <d v="2025-11-28T00:00:00"/>
    <n v="0"/>
    <n v="0"/>
    <x v="0"/>
    <s v="0â€“1 years"/>
    <s v="Low"/>
    <s v="2.733333333333333"/>
    <s v="0.16666666666666666"/>
    <n v="1"/>
  </r>
  <r>
    <s v="EMP0648"/>
    <s v="Finance"/>
    <x v="17"/>
    <n v="1.1000000000000001"/>
    <s v="G2"/>
    <n v="25"/>
    <s v="Bachelor"/>
    <s v="Hyderabad"/>
    <n v="1"/>
    <n v="0.7"/>
    <n v="9"/>
    <n v="3"/>
    <n v="12"/>
    <n v="0"/>
    <s v="Band B"/>
    <n v="37100"/>
    <n v="10.3"/>
    <n v="2.2999999999999998"/>
    <n v="0.8"/>
    <n v="0"/>
    <n v="2.2999999999999998"/>
    <n v="3.3"/>
    <n v="4.9000000000000004"/>
    <s v="Yes"/>
    <n v="0"/>
    <n v="0"/>
    <m/>
    <n v="2"/>
    <x v="0"/>
    <m/>
    <n v="1"/>
    <n v="0"/>
    <x v="1"/>
    <s v="1â€“3 years"/>
    <s v="Low"/>
    <n v="3.5"/>
    <n v="8.3333333333333301E-2"/>
    <n v="0"/>
  </r>
  <r>
    <s v="EMP0649"/>
    <s v="Operations"/>
    <x v="0"/>
    <n v="2.8"/>
    <s v="G3"/>
    <n v="31"/>
    <s v="Bachelor"/>
    <s v="Remote"/>
    <n v="6"/>
    <n v="13.7"/>
    <n v="13"/>
    <n v="1"/>
    <n v="12"/>
    <n v="0"/>
    <s v="Band B"/>
    <n v="43200"/>
    <n v="0"/>
    <n v="3.2"/>
    <n v="0.1"/>
    <n v="0"/>
    <n v="4.0999999999999996"/>
    <n v="4.5999999999999996"/>
    <n v="3"/>
    <s v="Yes"/>
    <n v="0"/>
    <n v="1"/>
    <n v="0.7"/>
    <n v="0"/>
    <x v="0"/>
    <m/>
    <n v="0"/>
    <n v="0"/>
    <x v="0"/>
    <s v="1â€“3 years"/>
    <s v="Moderate"/>
    <n v="3.9"/>
    <n v="0.5"/>
    <n v="0"/>
  </r>
  <r>
    <s v="EMP0650"/>
    <s v="Engineering"/>
    <x v="10"/>
    <n v="2.5"/>
    <s v="G2"/>
    <n v="28"/>
    <s v="Bachelor"/>
    <s v="Chennai"/>
    <n v="4"/>
    <n v="0.6"/>
    <n v="12"/>
    <n v="2"/>
    <n v="12"/>
    <n v="0"/>
    <s v="Band A"/>
    <n v="33600"/>
    <n v="9.5"/>
    <n v="3.1"/>
    <n v="2.6"/>
    <n v="0"/>
    <n v="4.7"/>
    <n v="2.5"/>
    <n v="1.6"/>
    <s v="Yes"/>
    <n v="0"/>
    <n v="0"/>
    <m/>
    <n v="0"/>
    <x v="0"/>
    <m/>
    <n v="1"/>
    <n v="0"/>
    <x v="1"/>
    <s v="1â€“3 years"/>
    <s v="Low"/>
    <s v="2.9333333333333336"/>
    <s v="0.3333333333333333"/>
    <n v="0"/>
  </r>
  <r>
    <s v="EMP0651"/>
    <s v="Sales"/>
    <x v="14"/>
    <n v="2.5"/>
    <s v="G4"/>
    <n v="21"/>
    <s v="Diploma"/>
    <s v="Chennai"/>
    <n v="6"/>
    <n v="10.199999999999999"/>
    <n v="10"/>
    <n v="3"/>
    <n v="12"/>
    <n v="0"/>
    <s v="Band D"/>
    <n v="78600"/>
    <n v="9.8000000000000007"/>
    <n v="4"/>
    <n v="1.5"/>
    <n v="0"/>
    <n v="2.2999999999999998"/>
    <n v="3.7"/>
    <n v="4.8"/>
    <s v="Yes"/>
    <n v="0"/>
    <n v="0"/>
    <m/>
    <n v="0"/>
    <x v="0"/>
    <m/>
    <n v="1"/>
    <n v="0"/>
    <x v="1"/>
    <s v="1â€“3 years"/>
    <s v="Moderate"/>
    <n v="3.6"/>
    <n v="0.5"/>
    <n v="0"/>
  </r>
  <r>
    <s v="EMP0652"/>
    <s v="Customer Support"/>
    <x v="9"/>
    <n v="6.3"/>
    <s v="G1"/>
    <n v="30"/>
    <s v="Diploma"/>
    <s v="Bengaluru"/>
    <n v="4"/>
    <n v="5.4"/>
    <n v="15"/>
    <n v="2"/>
    <n v="12"/>
    <n v="0"/>
    <s v="Band A"/>
    <n v="31100"/>
    <n v="4.8"/>
    <n v="3.2"/>
    <n v="3.9"/>
    <n v="0"/>
    <n v="3.5"/>
    <n v="3"/>
    <n v="2.7"/>
    <s v="Yes"/>
    <n v="0"/>
    <n v="1"/>
    <n v="5.5"/>
    <n v="0"/>
    <x v="0"/>
    <m/>
    <n v="0"/>
    <n v="0"/>
    <x v="0"/>
    <s v="5+ years"/>
    <s v="Low"/>
    <s v="3.0666666666666664"/>
    <s v="0.3333333333333333"/>
    <n v="0"/>
  </r>
  <r>
    <s v="EMP0653"/>
    <s v="Operations"/>
    <x v="0"/>
    <n v="6.5"/>
    <s v="G1"/>
    <n v="37"/>
    <s v="Master"/>
    <s v="Bengaluru"/>
    <n v="1"/>
    <n v="6.7"/>
    <n v="14"/>
    <n v="2"/>
    <n v="12"/>
    <n v="0"/>
    <s v="Band A"/>
    <n v="30300"/>
    <n v="3.1"/>
    <n v="1.5"/>
    <n v="0.8"/>
    <n v="0"/>
    <n v="2.9"/>
    <n v="5"/>
    <n v="4.0999999999999996"/>
    <s v="Yes"/>
    <n v="0"/>
    <n v="1"/>
    <n v="0.2"/>
    <n v="1"/>
    <x v="0"/>
    <m/>
    <n v="0"/>
    <n v="0"/>
    <x v="0"/>
    <s v="5+ years"/>
    <s v="Low"/>
    <n v="4"/>
    <n v="8.3333333333333301E-2"/>
    <n v="0"/>
  </r>
  <r>
    <s v="EMP0654"/>
    <s v="Engineering"/>
    <x v="10"/>
    <n v="4.5999999999999996"/>
    <s v="G4"/>
    <n v="24"/>
    <s v="Bachelor"/>
    <s v="Coimbatore"/>
    <n v="3"/>
    <n v="24.4"/>
    <n v="9"/>
    <n v="2"/>
    <n v="12"/>
    <n v="0"/>
    <s v="Band D"/>
    <n v="83700"/>
    <n v="6.4"/>
    <n v="3.5"/>
    <n v="1.3"/>
    <n v="0"/>
    <n v="4.0999999999999996"/>
    <n v="3.3"/>
    <n v="2.9"/>
    <s v="Yes"/>
    <n v="0"/>
    <n v="0"/>
    <m/>
    <n v="1"/>
    <x v="0"/>
    <m/>
    <n v="1"/>
    <n v="0"/>
    <x v="1"/>
    <s v="3â€“5 years"/>
    <s v="High"/>
    <s v="3.433333333333333"/>
    <n v="0.25"/>
    <n v="0"/>
  </r>
  <r>
    <s v="EMP0655"/>
    <s v="Customer Support"/>
    <x v="9"/>
    <n v="1.6"/>
    <s v="G2"/>
    <n v="28"/>
    <s v="Bachelor"/>
    <s v="Bengaluru"/>
    <n v="4"/>
    <n v="5.5"/>
    <n v="7"/>
    <n v="1"/>
    <n v="12"/>
    <n v="0"/>
    <s v="Band A"/>
    <n v="32100"/>
    <n v="10.6"/>
    <n v="4.5999999999999996"/>
    <n v="0.8"/>
    <n v="0"/>
    <n v="3.5"/>
    <n v="3.5"/>
    <n v="3.9"/>
    <s v="Yes"/>
    <n v="0"/>
    <n v="1"/>
    <n v="1.4"/>
    <n v="0"/>
    <x v="0"/>
    <m/>
    <n v="0"/>
    <n v="0"/>
    <x v="0"/>
    <s v="1â€“3 years"/>
    <s v="Low"/>
    <s v="3.6333333333333333"/>
    <s v="0.3333333333333333"/>
    <n v="0"/>
  </r>
  <r>
    <s v="EMP0656"/>
    <s v="Sales"/>
    <x v="8"/>
    <n v="3.4"/>
    <s v="G1"/>
    <n v="36"/>
    <s v="Master"/>
    <s v="Bengaluru"/>
    <n v="3"/>
    <n v="10.7"/>
    <n v="4"/>
    <n v="0"/>
    <n v="12"/>
    <n v="0"/>
    <s v="Band A"/>
    <n v="31100"/>
    <n v="9.4"/>
    <n v="3.2"/>
    <n v="0.3"/>
    <n v="0"/>
    <n v="5"/>
    <n v="3.3"/>
    <n v="3.4"/>
    <s v="Yes"/>
    <n v="0"/>
    <n v="0"/>
    <m/>
    <n v="2"/>
    <x v="0"/>
    <m/>
    <n v="1"/>
    <n v="0"/>
    <x v="1"/>
    <s v="3â€“5 years"/>
    <s v="Moderate"/>
    <s v="3.9000000000000004"/>
    <n v="0.25"/>
    <n v="0"/>
  </r>
  <r>
    <s v="EMP0657"/>
    <s v="Customer Support"/>
    <x v="5"/>
    <n v="11.8"/>
    <s v="G1"/>
    <n v="35"/>
    <s v="Diploma"/>
    <s v="Bengaluru"/>
    <n v="5"/>
    <n v="5.5"/>
    <n v="9"/>
    <n v="0"/>
    <n v="12"/>
    <n v="0"/>
    <s v="Band A"/>
    <n v="27600"/>
    <n v="3.6"/>
    <n v="4.0999999999999996"/>
    <n v="1.9"/>
    <n v="0"/>
    <n v="3"/>
    <n v="2.8"/>
    <n v="4.2"/>
    <s v="Yes"/>
    <n v="0"/>
    <n v="0"/>
    <m/>
    <n v="0"/>
    <x v="0"/>
    <m/>
    <n v="1"/>
    <n v="0"/>
    <x v="1"/>
    <s v="5+ years"/>
    <s v="Low"/>
    <s v="3.3333333333333335"/>
    <s v="0.4166666666666667"/>
    <n v="0"/>
  </r>
  <r>
    <s v="EMP0658"/>
    <s v="Sales"/>
    <x v="13"/>
    <n v="15.5"/>
    <s v="G3"/>
    <n v="42"/>
    <s v="Master"/>
    <s v="Bengaluru"/>
    <n v="3"/>
    <n v="12.8"/>
    <n v="4"/>
    <n v="1"/>
    <n v="12"/>
    <n v="0"/>
    <s v="Band C"/>
    <n v="73600"/>
    <n v="8.4"/>
    <n v="2.7"/>
    <n v="1.3"/>
    <n v="0"/>
    <n v="4.7"/>
    <n v="4.0999999999999996"/>
    <n v="3.2"/>
    <s v="Yes"/>
    <n v="0"/>
    <n v="1"/>
    <n v="13.6"/>
    <n v="0"/>
    <x v="0"/>
    <m/>
    <n v="0"/>
    <n v="0"/>
    <x v="0"/>
    <s v="5+ years"/>
    <s v="Moderate"/>
    <n v="4"/>
    <n v="0.25"/>
    <n v="0"/>
  </r>
  <r>
    <s v="EMP0659"/>
    <s v="Finance"/>
    <x v="17"/>
    <n v="7.1"/>
    <s v="G4"/>
    <n v="28"/>
    <s v="Bachelor"/>
    <s v="Chennai"/>
    <n v="2"/>
    <n v="11.4"/>
    <n v="6"/>
    <n v="0"/>
    <n v="12"/>
    <n v="0"/>
    <s v="Band D"/>
    <n v="80300"/>
    <n v="9"/>
    <n v="3.7"/>
    <n v="0.1"/>
    <n v="0"/>
    <n v="4.8"/>
    <n v="2.2000000000000002"/>
    <n v="2.9"/>
    <s v="Yes"/>
    <n v="0"/>
    <n v="1"/>
    <n v="6.4"/>
    <n v="0"/>
    <x v="0"/>
    <m/>
    <n v="0"/>
    <n v="0"/>
    <x v="0"/>
    <s v="5+ years"/>
    <s v="Moderate"/>
    <s v="3.3000000000000003"/>
    <s v="0.16666666666666666"/>
    <n v="0"/>
  </r>
  <r>
    <s v="EMP0660"/>
    <s v="Sales"/>
    <x v="13"/>
    <n v="1.6"/>
    <s v="G1"/>
    <n v="34"/>
    <s v="Bachelor"/>
    <s v="Chennai"/>
    <n v="2"/>
    <n v="10.3"/>
    <n v="12"/>
    <n v="3"/>
    <n v="12"/>
    <n v="0"/>
    <s v="Band A"/>
    <n v="31200"/>
    <n v="8.9"/>
    <n v="2.5"/>
    <n v="4"/>
    <n v="0"/>
    <n v="3.8"/>
    <n v="1.4"/>
    <n v="3.6"/>
    <s v="Yes"/>
    <n v="0"/>
    <n v="0"/>
    <m/>
    <n v="1"/>
    <x v="0"/>
    <m/>
    <n v="1"/>
    <n v="0"/>
    <x v="1"/>
    <s v="1â€“3 years"/>
    <s v="Moderate"/>
    <s v="2.933333333333333"/>
    <s v="0.16666666666666666"/>
    <n v="0"/>
  </r>
  <r>
    <s v="EMP0661"/>
    <s v="Sales"/>
    <x v="8"/>
    <n v="3.4"/>
    <s v="G1"/>
    <n v="29"/>
    <s v="Diploma"/>
    <s v="Chennai"/>
    <n v="4"/>
    <n v="20.7"/>
    <n v="11"/>
    <n v="3"/>
    <n v="12"/>
    <n v="0"/>
    <s v="Band A"/>
    <n v="26200"/>
    <n v="4.0999999999999996"/>
    <n v="3"/>
    <n v="1.4"/>
    <n v="0"/>
    <n v="3.3"/>
    <n v="3.1"/>
    <n v="3.1"/>
    <s v="No"/>
    <n v="0"/>
    <n v="0"/>
    <m/>
    <n v="1"/>
    <x v="1"/>
    <d v="2024-07-04T00:00:00"/>
    <n v="1"/>
    <n v="0"/>
    <x v="1"/>
    <s v="3â€“5 years"/>
    <s v="High"/>
    <s v="3.1666666666666665"/>
    <s v="0.3333333333333333"/>
    <n v="1"/>
  </r>
  <r>
    <s v="EMP0662"/>
    <s v="Customer Support"/>
    <x v="9"/>
    <n v="4.4000000000000004"/>
    <s v="G2"/>
    <n v="31"/>
    <s v="Master"/>
    <s v="Remote"/>
    <n v="1"/>
    <n v="2.1"/>
    <n v="5"/>
    <n v="1"/>
    <n v="12"/>
    <n v="0"/>
    <s v="Band B"/>
    <n v="49700"/>
    <n v="8.6"/>
    <n v="3"/>
    <n v="0.7"/>
    <n v="0"/>
    <n v="3.4"/>
    <n v="3.9"/>
    <n v="1.9"/>
    <s v="Yes"/>
    <n v="0"/>
    <n v="0"/>
    <m/>
    <n v="0"/>
    <x v="0"/>
    <m/>
    <n v="1"/>
    <n v="0"/>
    <x v="1"/>
    <s v="3â€“5 years"/>
    <s v="Low"/>
    <s v="3.0666666666666664"/>
    <n v="8.3333333333333301E-2"/>
    <n v="0"/>
  </r>
  <r>
    <s v="EMP0663"/>
    <s v="Engineering"/>
    <x v="16"/>
    <n v="3.9"/>
    <s v="G5"/>
    <n v="35"/>
    <s v="Bachelor"/>
    <s v="Remote"/>
    <n v="1"/>
    <n v="1.5"/>
    <n v="14"/>
    <n v="2"/>
    <n v="12"/>
    <n v="0"/>
    <s v="Band E"/>
    <n v="121100"/>
    <n v="11.7"/>
    <n v="3.6"/>
    <n v="2.7"/>
    <n v="0"/>
    <n v="3.3"/>
    <n v="3.3"/>
    <n v="2.9"/>
    <s v="Yes"/>
    <n v="1"/>
    <n v="0"/>
    <m/>
    <n v="0"/>
    <x v="0"/>
    <m/>
    <n v="1"/>
    <n v="0"/>
    <x v="1"/>
    <s v="3â€“5 years"/>
    <s v="Low"/>
    <s v="3.1666666666666665"/>
    <n v="8.3333333333333301E-2"/>
    <n v="0"/>
  </r>
  <r>
    <s v="EMP0664"/>
    <s v="Engineering"/>
    <x v="10"/>
    <n v="7.6"/>
    <s v="G2"/>
    <n v="36"/>
    <s v="Bachelor"/>
    <s v="Hyderabad"/>
    <n v="4"/>
    <n v="3.3"/>
    <n v="7"/>
    <n v="4"/>
    <n v="12"/>
    <n v="0"/>
    <s v="Band B"/>
    <n v="43300"/>
    <n v="10.1"/>
    <n v="2.5"/>
    <n v="3.3"/>
    <n v="0"/>
    <n v="4.3"/>
    <n v="3.4"/>
    <n v="5"/>
    <s v="Yes"/>
    <n v="0"/>
    <n v="1"/>
    <n v="3"/>
    <n v="1"/>
    <x v="0"/>
    <m/>
    <n v="0"/>
    <n v="0"/>
    <x v="0"/>
    <s v="5+ years"/>
    <s v="Low"/>
    <s v="4.233333333333333"/>
    <s v="0.3333333333333333"/>
    <n v="0"/>
  </r>
  <r>
    <s v="EMP0665"/>
    <s v="Sales"/>
    <x v="13"/>
    <n v="6.1"/>
    <s v="G5"/>
    <n v="29"/>
    <s v="Doctorate"/>
    <s v="Chennai"/>
    <n v="3"/>
    <n v="11.5"/>
    <n v="8"/>
    <n v="2"/>
    <n v="12"/>
    <n v="0"/>
    <s v="Band E"/>
    <n v="115100"/>
    <n v="9.6"/>
    <n v="1.9"/>
    <n v="0.4"/>
    <n v="0"/>
    <n v="2.5"/>
    <n v="2.1"/>
    <n v="1.9"/>
    <s v="Yes"/>
    <n v="0"/>
    <n v="1"/>
    <n v="2.1"/>
    <n v="0"/>
    <x v="0"/>
    <m/>
    <n v="0"/>
    <n v="0"/>
    <x v="0"/>
    <s v="5+ years"/>
    <s v="Moderate"/>
    <s v="2.1666666666666665"/>
    <n v="0.25"/>
    <n v="0"/>
  </r>
  <r>
    <s v="EMP0666"/>
    <s v="Operations"/>
    <x v="3"/>
    <n v="1.5"/>
    <s v="G4"/>
    <n v="25"/>
    <s v="Bachelor"/>
    <s v="Bengaluru"/>
    <n v="2"/>
    <n v="14.4"/>
    <n v="9"/>
    <n v="2"/>
    <n v="12"/>
    <n v="0"/>
    <s v="Band C"/>
    <n v="67500"/>
    <n v="14.6"/>
    <n v="3.6"/>
    <n v="0.3"/>
    <n v="0"/>
    <n v="3.2"/>
    <n v="4.2"/>
    <n v="3.6"/>
    <s v="Yes"/>
    <n v="0"/>
    <n v="1"/>
    <n v="0.7"/>
    <n v="1"/>
    <x v="0"/>
    <m/>
    <n v="0"/>
    <n v="0"/>
    <x v="0"/>
    <s v="1â€“3 years"/>
    <s v="Moderate"/>
    <s v="3.6666666666666665"/>
    <s v="0.16666666666666666"/>
    <n v="0"/>
  </r>
  <r>
    <s v="EMP0667"/>
    <s v="Operations"/>
    <x v="6"/>
    <n v="2.2999999999999998"/>
    <s v="G2"/>
    <n v="30"/>
    <s v="Master"/>
    <s v="Chennai"/>
    <n v="4"/>
    <n v="14.3"/>
    <n v="6"/>
    <n v="1"/>
    <n v="12"/>
    <n v="0"/>
    <s v="Band A"/>
    <n v="32400"/>
    <n v="8.6999999999999993"/>
    <n v="3.6"/>
    <n v="0.9"/>
    <n v="0"/>
    <n v="3"/>
    <n v="3.8"/>
    <n v="3.2"/>
    <s v="Yes"/>
    <n v="0"/>
    <n v="1"/>
    <n v="2"/>
    <n v="1"/>
    <x v="0"/>
    <m/>
    <n v="0"/>
    <n v="0"/>
    <x v="0"/>
    <s v="1â€“3 years"/>
    <s v="Moderate"/>
    <s v="3.3333333333333335"/>
    <s v="0.3333333333333333"/>
    <n v="0"/>
  </r>
  <r>
    <s v="EMP0668"/>
    <s v="Customer Support"/>
    <x v="9"/>
    <n v="7.1"/>
    <s v="G4"/>
    <n v="31"/>
    <s v="Master"/>
    <s v="Coimbatore"/>
    <n v="5"/>
    <n v="7.6"/>
    <n v="6"/>
    <n v="3"/>
    <n v="12"/>
    <n v="0"/>
    <s v="Band D"/>
    <n v="82600"/>
    <n v="4.5999999999999996"/>
    <n v="3.3"/>
    <n v="2"/>
    <n v="0"/>
    <n v="1.7"/>
    <n v="3.2"/>
    <n v="4.9000000000000004"/>
    <s v="No"/>
    <n v="0"/>
    <n v="1"/>
    <n v="6.2"/>
    <n v="1"/>
    <x v="1"/>
    <d v="2024-05-16T00:00:00"/>
    <n v="0"/>
    <n v="0"/>
    <x v="0"/>
    <s v="5+ years"/>
    <s v="Low"/>
    <s v="3.266666666666667"/>
    <s v="0.4166666666666667"/>
    <n v="1"/>
  </r>
  <r>
    <s v="EMP0669"/>
    <s v="Sales"/>
    <x v="13"/>
    <n v="9.1999999999999993"/>
    <s v="G3"/>
    <n v="27"/>
    <s v="Master"/>
    <s v="Chennai"/>
    <n v="5"/>
    <n v="29.3"/>
    <n v="11"/>
    <n v="3"/>
    <n v="12"/>
    <n v="0"/>
    <s v="Band C"/>
    <n v="51300"/>
    <n v="4.5999999999999996"/>
    <n v="4"/>
    <n v="4.5999999999999996"/>
    <n v="0"/>
    <n v="4.0999999999999996"/>
    <n v="3.4"/>
    <n v="2.5"/>
    <s v="Yes"/>
    <n v="0"/>
    <n v="2"/>
    <n v="1.6"/>
    <n v="0"/>
    <x v="0"/>
    <m/>
    <n v="0"/>
    <n v="0"/>
    <x v="0"/>
    <s v="5+ years"/>
    <s v="High"/>
    <s v="3.3333333333333335"/>
    <s v="0.4166666666666667"/>
    <n v="0"/>
  </r>
  <r>
    <s v="EMP0670"/>
    <s v="Sales"/>
    <x v="14"/>
    <n v="4.4000000000000004"/>
    <s v="G2"/>
    <n v="30"/>
    <s v="Master"/>
    <s v="Hyderabad"/>
    <n v="2"/>
    <n v="13.5"/>
    <n v="10"/>
    <n v="2"/>
    <n v="12"/>
    <n v="0"/>
    <s v="Band B"/>
    <n v="45600"/>
    <n v="8.6999999999999993"/>
    <n v="3"/>
    <n v="0"/>
    <n v="0"/>
    <n v="4.3"/>
    <n v="1.9"/>
    <n v="3.5"/>
    <s v="No"/>
    <n v="0"/>
    <n v="0"/>
    <m/>
    <n v="0"/>
    <x v="0"/>
    <m/>
    <n v="1"/>
    <n v="0"/>
    <x v="1"/>
    <s v="3â€“5 years"/>
    <s v="Moderate"/>
    <s v="3.233333333333333"/>
    <s v="0.16666666666666666"/>
    <n v="0"/>
  </r>
  <r>
    <s v="EMP0671"/>
    <s v="Engineering"/>
    <x v="4"/>
    <n v="9.9"/>
    <s v="G2"/>
    <n v="30"/>
    <s v="Doctorate"/>
    <s v="Chennai"/>
    <n v="2"/>
    <n v="27"/>
    <n v="7"/>
    <n v="4"/>
    <n v="12"/>
    <n v="0"/>
    <s v="Band B"/>
    <n v="47800"/>
    <n v="2.2000000000000002"/>
    <n v="3.5"/>
    <n v="5.7"/>
    <n v="0"/>
    <n v="2.7"/>
    <n v="2"/>
    <n v="3.9"/>
    <s v="Yes"/>
    <n v="0"/>
    <n v="1"/>
    <n v="5.3"/>
    <n v="0"/>
    <x v="1"/>
    <d v="2025-12-04T00:00:00"/>
    <n v="0"/>
    <n v="0"/>
    <x v="0"/>
    <s v="5+ years"/>
    <s v="High"/>
    <s v="2.8666666666666667"/>
    <s v="0.16666666666666666"/>
    <n v="1"/>
  </r>
  <r>
    <s v="EMP0672"/>
    <s v="Finance"/>
    <x v="17"/>
    <n v="4.0999999999999996"/>
    <s v="G4"/>
    <n v="37"/>
    <s v="Bachelor"/>
    <s v="Bengaluru"/>
    <n v="0"/>
    <n v="23.5"/>
    <n v="7"/>
    <n v="1"/>
    <n v="12"/>
    <n v="0"/>
    <s v="Band C"/>
    <n v="74200"/>
    <n v="6.8"/>
    <n v="2.9"/>
    <n v="1.6"/>
    <n v="0"/>
    <n v="4.2"/>
    <n v="3.1"/>
    <n v="3.3"/>
    <s v="Yes"/>
    <n v="0"/>
    <n v="0"/>
    <m/>
    <n v="0"/>
    <x v="0"/>
    <m/>
    <n v="1"/>
    <n v="0"/>
    <x v="1"/>
    <s v="3â€“5 years"/>
    <s v="High"/>
    <s v="3.5333333333333337"/>
    <n v="0"/>
    <n v="0"/>
  </r>
  <r>
    <s v="EMP0673"/>
    <s v="Customer Support"/>
    <x v="9"/>
    <n v="1.8"/>
    <s v="G4"/>
    <n v="29"/>
    <s v="Master"/>
    <s v="Remote"/>
    <n v="1"/>
    <n v="7.6"/>
    <n v="6"/>
    <n v="6"/>
    <n v="12"/>
    <n v="0"/>
    <s v="Band C"/>
    <n v="71500"/>
    <n v="9.9"/>
    <n v="3"/>
    <n v="3.8"/>
    <n v="0"/>
    <n v="1.9"/>
    <n v="3.7"/>
    <n v="3.4"/>
    <s v="Yes"/>
    <n v="1"/>
    <n v="0"/>
    <m/>
    <n v="0"/>
    <x v="0"/>
    <m/>
    <n v="1"/>
    <n v="0"/>
    <x v="1"/>
    <s v="1â€“3 years"/>
    <s v="Low"/>
    <n v="3"/>
    <n v="8.3333333333333301E-2"/>
    <n v="0"/>
  </r>
  <r>
    <s v="EMP0674"/>
    <s v="Operations"/>
    <x v="6"/>
    <n v="5.7"/>
    <s v="G3"/>
    <n v="28"/>
    <s v="Master"/>
    <s v="Bengaluru"/>
    <n v="3"/>
    <n v="18.899999999999999"/>
    <n v="15"/>
    <n v="1"/>
    <n v="12"/>
    <n v="0"/>
    <s v="Band C"/>
    <n v="61400"/>
    <n v="12.7"/>
    <n v="3.5"/>
    <n v="3.6"/>
    <n v="0"/>
    <n v="3.3"/>
    <n v="3.7"/>
    <n v="3.4"/>
    <s v="Yes"/>
    <n v="0"/>
    <n v="0"/>
    <m/>
    <n v="0"/>
    <x v="0"/>
    <m/>
    <n v="1"/>
    <n v="0"/>
    <x v="1"/>
    <s v="5+ years"/>
    <s v="Moderate"/>
    <s v="3.466666666666667"/>
    <n v="0.25"/>
    <n v="0"/>
  </r>
  <r>
    <s v="EMP0675"/>
    <s v="Finance"/>
    <x v="17"/>
    <n v="19.899999999999999"/>
    <s v="G5"/>
    <n v="43"/>
    <s v="Bachelor"/>
    <s v="Chennai"/>
    <n v="4"/>
    <n v="7.6"/>
    <n v="11"/>
    <n v="3"/>
    <n v="12"/>
    <n v="0"/>
    <s v="Band E"/>
    <n v="124500"/>
    <n v="1.8"/>
    <n v="5"/>
    <n v="1.3"/>
    <n v="0"/>
    <n v="3.2"/>
    <n v="2.9"/>
    <n v="3.2"/>
    <s v="Yes"/>
    <n v="0"/>
    <n v="1"/>
    <n v="5.5"/>
    <n v="0"/>
    <x v="0"/>
    <m/>
    <n v="0"/>
    <n v="0"/>
    <x v="0"/>
    <s v="5+ years"/>
    <s v="Low"/>
    <n v="3.1"/>
    <s v="0.3333333333333333"/>
    <n v="0"/>
  </r>
  <r>
    <s v="EMP0676"/>
    <s v="Sales"/>
    <x v="8"/>
    <n v="1.2"/>
    <s v="G2"/>
    <n v="21"/>
    <s v="Bachelor"/>
    <s v="Remote"/>
    <n v="2"/>
    <n v="31.8"/>
    <n v="9"/>
    <n v="0"/>
    <n v="12"/>
    <n v="0"/>
    <s v="Band B"/>
    <n v="36200"/>
    <n v="8.4"/>
    <n v="3.9"/>
    <n v="0.9"/>
    <n v="0"/>
    <n v="3.4"/>
    <n v="3.9"/>
    <n v="3.2"/>
    <s v="Yes"/>
    <n v="0"/>
    <n v="1"/>
    <n v="0.4"/>
    <n v="1"/>
    <x v="1"/>
    <d v="2024-03-13T00:00:00"/>
    <n v="0"/>
    <n v="0"/>
    <x v="0"/>
    <s v="1â€“3 years"/>
    <s v="High"/>
    <n v="3.5"/>
    <s v="0.16666666666666666"/>
    <n v="1"/>
  </r>
  <r>
    <s v="EMP0677"/>
    <s v="Customer Support"/>
    <x v="9"/>
    <n v="9.6999999999999993"/>
    <s v="G4"/>
    <n v="31"/>
    <s v="Doctorate"/>
    <s v="Bengaluru"/>
    <n v="5"/>
    <n v="8.1999999999999993"/>
    <n v="12"/>
    <n v="1"/>
    <n v="12"/>
    <n v="0"/>
    <s v="Band C"/>
    <n v="63900"/>
    <n v="7.7"/>
    <n v="3.7"/>
    <n v="2.1"/>
    <n v="0"/>
    <n v="3.4"/>
    <n v="4.5"/>
    <n v="4.0999999999999996"/>
    <s v="Yes"/>
    <n v="0"/>
    <n v="2"/>
    <n v="8.6"/>
    <n v="0"/>
    <x v="0"/>
    <m/>
    <n v="0"/>
    <n v="0"/>
    <x v="0"/>
    <s v="5+ years"/>
    <s v="Low"/>
    <n v="4"/>
    <s v="0.4166666666666667"/>
    <n v="0"/>
  </r>
  <r>
    <s v="EMP0678"/>
    <s v="Hr"/>
    <x v="15"/>
    <n v="5.5"/>
    <s v="G4"/>
    <n v="36"/>
    <s v="Bachelor"/>
    <s v="Coimbatore"/>
    <n v="1"/>
    <n v="15"/>
    <n v="15"/>
    <n v="3"/>
    <n v="12"/>
    <n v="0"/>
    <s v="Band D"/>
    <n v="82200"/>
    <n v="8.1999999999999993"/>
    <n v="3.9"/>
    <n v="1.6"/>
    <n v="0"/>
    <n v="3.2"/>
    <n v="3.1"/>
    <n v="3.7"/>
    <s v="Yes"/>
    <n v="0"/>
    <n v="1"/>
    <n v="1.8"/>
    <n v="1"/>
    <x v="0"/>
    <m/>
    <n v="0"/>
    <n v="0"/>
    <x v="0"/>
    <s v="5+ years"/>
    <s v="Moderate"/>
    <s v="3.3333333333333335"/>
    <n v="8.3333333333333301E-2"/>
    <n v="0"/>
  </r>
  <r>
    <s v="EMP0679"/>
    <s v="Engineering"/>
    <x v="12"/>
    <n v="2.2000000000000002"/>
    <s v="G1"/>
    <n v="37"/>
    <s v="Bachelor"/>
    <s v="Bengaluru"/>
    <n v="2"/>
    <n v="35.9"/>
    <n v="9"/>
    <n v="0"/>
    <n v="12"/>
    <n v="0"/>
    <s v="Band A"/>
    <n v="29300"/>
    <n v="8.6"/>
    <n v="1.1000000000000001"/>
    <n v="0.7"/>
    <n v="0"/>
    <n v="3"/>
    <n v="3.5"/>
    <n v="3.8"/>
    <s v="Yes"/>
    <n v="0"/>
    <n v="0"/>
    <m/>
    <n v="1"/>
    <x v="1"/>
    <d v="2026-04-02T00:00:00"/>
    <n v="1"/>
    <n v="0"/>
    <x v="1"/>
    <s v="1â€“3 years"/>
    <s v="High"/>
    <s v="3.4333333333333336"/>
    <s v="0.16666666666666666"/>
    <n v="1"/>
  </r>
  <r>
    <s v="EMP0680"/>
    <s v="Sales"/>
    <x v="8"/>
    <n v="0.6"/>
    <s v="G1"/>
    <n v="30"/>
    <s v="Bachelor"/>
    <s v="Hyderabad"/>
    <n v="7"/>
    <n v="15.5"/>
    <n v="10"/>
    <n v="1"/>
    <n v="12"/>
    <n v="0"/>
    <s v="Band B"/>
    <n v="37300"/>
    <n v="7.9"/>
    <n v="3.5"/>
    <n v="1.3"/>
    <n v="0"/>
    <n v="3.2"/>
    <n v="3"/>
    <n v="3.7"/>
    <s v="Yes"/>
    <n v="0"/>
    <n v="3"/>
    <m/>
    <n v="0"/>
    <x v="0"/>
    <m/>
    <n v="1"/>
    <n v="0"/>
    <x v="0"/>
    <s v="0â€“1 years"/>
    <s v="Moderate"/>
    <s v="3.3000000000000003"/>
    <s v="0.5833333333333334"/>
    <n v="0"/>
  </r>
  <r>
    <s v="EMP0681"/>
    <s v="Engineering"/>
    <x v="16"/>
    <n v="0.3"/>
    <s v="G2"/>
    <n v="26"/>
    <s v="Bachelor"/>
    <s v="Coimbatore"/>
    <n v="4"/>
    <n v="6.9"/>
    <n v="9"/>
    <n v="2"/>
    <n v="12"/>
    <n v="0"/>
    <s v="Band B"/>
    <n v="37600"/>
    <n v="13.6"/>
    <n v="4"/>
    <n v="1"/>
    <n v="0"/>
    <n v="4.5"/>
    <n v="3.1"/>
    <n v="4.2"/>
    <s v="No"/>
    <n v="0"/>
    <n v="0"/>
    <m/>
    <n v="1"/>
    <x v="0"/>
    <m/>
    <n v="1"/>
    <n v="0"/>
    <x v="1"/>
    <s v="0â€“1 years"/>
    <s v="Low"/>
    <s v="3.9333333333333336"/>
    <s v="0.3333333333333333"/>
    <n v="0"/>
  </r>
  <r>
    <s v="EMP0682"/>
    <s v="Engineering"/>
    <x v="16"/>
    <n v="2.4"/>
    <s v="G4"/>
    <n v="27"/>
    <s v="Master"/>
    <s v="Coimbatore"/>
    <n v="5"/>
    <n v="2.9"/>
    <n v="11"/>
    <n v="2"/>
    <n v="12"/>
    <n v="0"/>
    <s v="Band C"/>
    <n v="73000"/>
    <n v="13"/>
    <n v="3.3"/>
    <n v="1.4"/>
    <n v="0"/>
    <n v="2.8"/>
    <n v="3.4"/>
    <n v="4.4000000000000004"/>
    <s v="Yes"/>
    <n v="0"/>
    <n v="0"/>
    <m/>
    <n v="0"/>
    <x v="0"/>
    <m/>
    <n v="1"/>
    <n v="0"/>
    <x v="1"/>
    <s v="1â€“3 years"/>
    <s v="Low"/>
    <s v="3.533333333333333"/>
    <s v="0.4166666666666667"/>
    <n v="0"/>
  </r>
  <r>
    <s v="EMP0683"/>
    <s v="Engineering"/>
    <x v="10"/>
    <n v="4.9000000000000004"/>
    <s v="G2"/>
    <n v="27"/>
    <s v="Diploma"/>
    <s v="Coimbatore"/>
    <n v="2"/>
    <n v="2.1"/>
    <n v="7"/>
    <n v="1"/>
    <n v="12"/>
    <n v="0"/>
    <s v="Band B"/>
    <n v="41200"/>
    <n v="16.600000000000001"/>
    <n v="3.2"/>
    <n v="3.3"/>
    <n v="0"/>
    <n v="5"/>
    <n v="4.7"/>
    <n v="3.2"/>
    <s v="Yes"/>
    <n v="0"/>
    <n v="0"/>
    <m/>
    <n v="0"/>
    <x v="0"/>
    <m/>
    <n v="1"/>
    <n v="0"/>
    <x v="1"/>
    <s v="3â€“5 years"/>
    <s v="Low"/>
    <n v="4.3"/>
    <s v="0.16666666666666666"/>
    <n v="0"/>
  </r>
  <r>
    <s v="EMP0684"/>
    <s v="Hr"/>
    <x v="15"/>
    <n v="6.7"/>
    <s v="G3"/>
    <n v="41"/>
    <s v="Master"/>
    <s v="Chennai"/>
    <n v="2"/>
    <n v="14.3"/>
    <n v="7"/>
    <n v="2"/>
    <n v="12"/>
    <n v="0"/>
    <s v="Band C"/>
    <n v="60000"/>
    <n v="8"/>
    <n v="2.4"/>
    <n v="1"/>
    <n v="0"/>
    <n v="2.7"/>
    <n v="4"/>
    <n v="4.0999999999999996"/>
    <s v="Yes"/>
    <n v="0"/>
    <n v="0"/>
    <m/>
    <n v="0"/>
    <x v="1"/>
    <d v="2025-03-10T00:00:00"/>
    <n v="1"/>
    <n v="0"/>
    <x v="1"/>
    <s v="5+ years"/>
    <s v="Moderate"/>
    <n v="3.6"/>
    <s v="0.16666666666666666"/>
    <n v="1"/>
  </r>
  <r>
    <s v="EMP0685"/>
    <s v="Operations"/>
    <x v="3"/>
    <n v="7.8"/>
    <s v="G1"/>
    <n v="33"/>
    <s v="Master"/>
    <s v="Hyderabad"/>
    <n v="1"/>
    <n v="9.4"/>
    <n v="10"/>
    <n v="3"/>
    <n v="12"/>
    <n v="0"/>
    <s v="Band A"/>
    <n v="26900"/>
    <n v="6.4"/>
    <n v="2.8"/>
    <n v="1.8"/>
    <n v="0"/>
    <n v="3.5"/>
    <n v="3.3"/>
    <n v="2.4"/>
    <s v="Yes"/>
    <n v="1"/>
    <n v="1"/>
    <n v="5"/>
    <n v="0"/>
    <x v="0"/>
    <m/>
    <n v="0"/>
    <n v="0"/>
    <x v="0"/>
    <s v="5+ years"/>
    <s v="Low"/>
    <s v="3.0666666666666664"/>
    <n v="8.3333333333333301E-2"/>
    <n v="0"/>
  </r>
  <r>
    <s v="EMP0686"/>
    <s v="Sales"/>
    <x v="8"/>
    <n v="4.5999999999999996"/>
    <s v="G2"/>
    <n v="39"/>
    <s v="Bachelor"/>
    <s v="Chennai"/>
    <n v="6"/>
    <n v="3.3"/>
    <n v="8"/>
    <n v="3"/>
    <n v="12"/>
    <n v="0"/>
    <s v="Band B"/>
    <n v="39100"/>
    <n v="4.0999999999999996"/>
    <n v="2.4"/>
    <n v="1.3"/>
    <n v="0"/>
    <n v="3.8"/>
    <n v="2.8"/>
    <n v="1.6"/>
    <s v="No"/>
    <n v="0"/>
    <n v="0"/>
    <m/>
    <n v="1"/>
    <x v="0"/>
    <m/>
    <n v="1"/>
    <n v="0"/>
    <x v="1"/>
    <s v="3â€“5 years"/>
    <s v="Low"/>
    <s v="2.733333333333333"/>
    <n v="0.5"/>
    <n v="0"/>
  </r>
  <r>
    <s v="EMP0687"/>
    <s v="Hr"/>
    <x v="1"/>
    <n v="4.0999999999999996"/>
    <s v="G3"/>
    <n v="36"/>
    <s v="Master"/>
    <s v="Coimbatore"/>
    <n v="3"/>
    <n v="17.399999999999999"/>
    <n v="14"/>
    <n v="3"/>
    <n v="12"/>
    <n v="0"/>
    <s v="Band C"/>
    <n v="59000"/>
    <n v="5.9"/>
    <n v="4.0999999999999996"/>
    <n v="1.3"/>
    <n v="0"/>
    <n v="3"/>
    <n v="2.4"/>
    <n v="4.9000000000000004"/>
    <s v="Yes"/>
    <n v="0"/>
    <n v="0"/>
    <m/>
    <n v="0"/>
    <x v="0"/>
    <m/>
    <n v="1"/>
    <n v="0"/>
    <x v="1"/>
    <s v="3â€“5 years"/>
    <s v="Moderate"/>
    <s v="3.4333333333333336"/>
    <n v="0.25"/>
    <n v="0"/>
  </r>
  <r>
    <s v="EMP0688"/>
    <s v="Customer Support"/>
    <x v="2"/>
    <n v="2.9"/>
    <s v="G1"/>
    <n v="22"/>
    <s v="Bachelor"/>
    <s v="Coimbatore"/>
    <n v="0"/>
    <n v="17.2"/>
    <n v="5"/>
    <n v="2"/>
    <n v="12"/>
    <n v="0"/>
    <s v="Band A"/>
    <n v="27200"/>
    <n v="10.9"/>
    <n v="4.5999999999999996"/>
    <n v="1.1000000000000001"/>
    <n v="0"/>
    <n v="4.5"/>
    <n v="3.6"/>
    <n v="3.1"/>
    <s v="Yes"/>
    <n v="0"/>
    <n v="0"/>
    <m/>
    <n v="0"/>
    <x v="0"/>
    <m/>
    <n v="1"/>
    <n v="0"/>
    <x v="1"/>
    <s v="1â€“3 years"/>
    <s v="Moderate"/>
    <s v="3.733333333333333"/>
    <n v="0"/>
    <n v="0"/>
  </r>
  <r>
    <s v="EMP0689"/>
    <s v="Operations"/>
    <x v="3"/>
    <n v="5"/>
    <s v="G4"/>
    <n v="28"/>
    <s v="Master"/>
    <s v="Chennai"/>
    <n v="5"/>
    <n v="9.3000000000000007"/>
    <n v="6"/>
    <n v="0"/>
    <n v="12"/>
    <n v="0"/>
    <s v="Band D"/>
    <n v="80100"/>
    <n v="11.5"/>
    <n v="4.9000000000000004"/>
    <n v="2.2000000000000002"/>
    <n v="0"/>
    <n v="3.8"/>
    <n v="4.3"/>
    <n v="3.4"/>
    <s v="Yes"/>
    <n v="1"/>
    <n v="1"/>
    <n v="2.5"/>
    <n v="0"/>
    <x v="0"/>
    <m/>
    <n v="0"/>
    <n v="0"/>
    <x v="0"/>
    <s v="3â€“5 years"/>
    <s v="Low"/>
    <s v="3.8333333333333335"/>
    <s v="0.4166666666666667"/>
    <n v="0"/>
  </r>
  <r>
    <s v="EMP0690"/>
    <s v="Finance"/>
    <x v="17"/>
    <n v="2.2000000000000002"/>
    <s v="G1"/>
    <n v="26"/>
    <s v="Master"/>
    <s v="Coimbatore"/>
    <n v="3"/>
    <n v="27.8"/>
    <n v="4"/>
    <n v="1"/>
    <n v="12"/>
    <n v="0"/>
    <s v="Band A"/>
    <n v="28400"/>
    <n v="10.7"/>
    <n v="2.4"/>
    <n v="0"/>
    <n v="0"/>
    <n v="3.1"/>
    <n v="4.8"/>
    <n v="2.4"/>
    <s v="Yes"/>
    <n v="0"/>
    <n v="0"/>
    <m/>
    <n v="0"/>
    <x v="0"/>
    <m/>
    <n v="1"/>
    <n v="0"/>
    <x v="1"/>
    <s v="1â€“3 years"/>
    <s v="High"/>
    <s v="3.4333333333333336"/>
    <n v="0.25"/>
    <n v="0"/>
  </r>
  <r>
    <s v="EMP0691"/>
    <s v="Sales"/>
    <x v="14"/>
    <n v="1.3"/>
    <s v="G4"/>
    <n v="27"/>
    <s v="Bachelor"/>
    <s v="Bengaluru"/>
    <n v="5"/>
    <n v="1.7"/>
    <n v="9"/>
    <n v="0"/>
    <n v="12"/>
    <n v="0"/>
    <s v="Band C"/>
    <n v="73400"/>
    <n v="5.3"/>
    <n v="2.6"/>
    <n v="2.2000000000000002"/>
    <n v="0"/>
    <n v="4.5"/>
    <n v="1"/>
    <n v="2.4"/>
    <s v="Yes"/>
    <n v="0"/>
    <n v="0"/>
    <m/>
    <n v="0"/>
    <x v="0"/>
    <m/>
    <n v="1"/>
    <n v="0"/>
    <x v="1"/>
    <s v="1â€“3 years"/>
    <s v="Low"/>
    <s v="2.6333333333333333"/>
    <s v="0.4166666666666667"/>
    <n v="0"/>
  </r>
  <r>
    <s v="EMP0692"/>
    <s v="Customer Support"/>
    <x v="2"/>
    <n v="4"/>
    <s v="G1"/>
    <n v="30"/>
    <s v="Master"/>
    <s v="Chennai"/>
    <n v="3"/>
    <n v="7.1"/>
    <n v="10"/>
    <n v="2"/>
    <n v="12"/>
    <n v="0"/>
    <s v="Band A"/>
    <n v="32800"/>
    <n v="5.4"/>
    <n v="2.5"/>
    <n v="1.7"/>
    <n v="0"/>
    <n v="2.4"/>
    <n v="5"/>
    <n v="2.8"/>
    <s v="Yes"/>
    <n v="0"/>
    <n v="0"/>
    <m/>
    <n v="0"/>
    <x v="0"/>
    <m/>
    <n v="1"/>
    <n v="0"/>
    <x v="1"/>
    <s v="3â€“5 years"/>
    <s v="Low"/>
    <n v="3.4"/>
    <n v="0.25"/>
    <n v="0"/>
  </r>
  <r>
    <s v="EMP0693"/>
    <s v="Engineering"/>
    <x v="4"/>
    <n v="6.4"/>
    <s v="G5"/>
    <n v="44"/>
    <s v="Bachelor"/>
    <s v="Chennai"/>
    <n v="3"/>
    <n v="15.4"/>
    <n v="11"/>
    <n v="2"/>
    <n v="12"/>
    <n v="0"/>
    <s v="Band D"/>
    <n v="98500"/>
    <n v="15.8"/>
    <n v="2.2999999999999998"/>
    <n v="1.6"/>
    <n v="0"/>
    <n v="2.8"/>
    <n v="3.6"/>
    <n v="3.9"/>
    <s v="Yes"/>
    <n v="0"/>
    <n v="0"/>
    <m/>
    <n v="0"/>
    <x v="1"/>
    <d v="2024-04-04T00:00:00"/>
    <n v="1"/>
    <n v="0"/>
    <x v="1"/>
    <s v="5+ years"/>
    <s v="Moderate"/>
    <s v="3.4333333333333336"/>
    <n v="0.25"/>
    <n v="1"/>
  </r>
  <r>
    <s v="EMP0694"/>
    <s v="Sales"/>
    <x v="8"/>
    <n v="1.1000000000000001"/>
    <s v="G3"/>
    <n v="23"/>
    <s v="Bachelor"/>
    <s v="Hyderabad"/>
    <n v="1"/>
    <n v="3.7"/>
    <n v="10"/>
    <n v="6"/>
    <n v="12"/>
    <n v="0"/>
    <s v="Band B"/>
    <n v="42900"/>
    <n v="4.7"/>
    <n v="2.2999999999999998"/>
    <n v="0.1"/>
    <n v="0"/>
    <n v="3.8"/>
    <n v="4"/>
    <n v="3"/>
    <s v="Yes"/>
    <n v="0"/>
    <n v="1"/>
    <n v="0.6"/>
    <n v="2"/>
    <x v="0"/>
    <m/>
    <n v="0"/>
    <n v="0"/>
    <x v="0"/>
    <s v="1â€“3 years"/>
    <s v="Low"/>
    <n v="3.6"/>
    <n v="8.3333333333333301E-2"/>
    <n v="0"/>
  </r>
  <r>
    <s v="EMP0695"/>
    <s v="Customer Support"/>
    <x v="9"/>
    <n v="2.4"/>
    <s v="G1"/>
    <n v="29"/>
    <s v="Master"/>
    <s v="Remote"/>
    <n v="3"/>
    <n v="18.7"/>
    <n v="8"/>
    <n v="1"/>
    <n v="12"/>
    <n v="0"/>
    <s v="Band A"/>
    <n v="27300"/>
    <n v="13.7"/>
    <n v="2.7"/>
    <n v="3.2"/>
    <n v="0"/>
    <n v="4"/>
    <n v="1.6"/>
    <n v="3.1"/>
    <s v="No"/>
    <n v="0"/>
    <n v="0"/>
    <m/>
    <n v="0"/>
    <x v="0"/>
    <m/>
    <n v="1"/>
    <n v="0"/>
    <x v="1"/>
    <s v="1â€“3 years"/>
    <s v="Moderate"/>
    <n v="2.9"/>
    <n v="0.25"/>
    <n v="0"/>
  </r>
  <r>
    <s v="EMP0696"/>
    <s v="Finance"/>
    <x v="11"/>
    <n v="3.8"/>
    <s v="G1"/>
    <n v="32"/>
    <s v="Bachelor"/>
    <s v="Coimbatore"/>
    <n v="2"/>
    <n v="22.7"/>
    <n v="9"/>
    <n v="2"/>
    <n v="12"/>
    <n v="0"/>
    <s v="Band A"/>
    <n v="25900"/>
    <n v="9.6"/>
    <n v="4"/>
    <n v="1"/>
    <n v="0"/>
    <n v="3.6"/>
    <n v="3"/>
    <n v="2.8"/>
    <s v="Yes"/>
    <n v="0"/>
    <n v="0"/>
    <m/>
    <n v="0"/>
    <x v="0"/>
    <m/>
    <n v="1"/>
    <n v="0"/>
    <x v="1"/>
    <s v="3â€“5 years"/>
    <s v="High"/>
    <s v="3.133333333333333"/>
    <s v="0.16666666666666666"/>
    <n v="0"/>
  </r>
  <r>
    <s v="EMP0697"/>
    <s v="Operations"/>
    <x v="6"/>
    <n v="3.8"/>
    <s v="G1"/>
    <n v="30"/>
    <s v="Bachelor"/>
    <s v="Chennai"/>
    <n v="1"/>
    <n v="0.4"/>
    <n v="12"/>
    <n v="1"/>
    <n v="12"/>
    <n v="0"/>
    <s v="Band A"/>
    <n v="21400"/>
    <n v="5.0999999999999996"/>
    <n v="2.6"/>
    <n v="1"/>
    <n v="0"/>
    <n v="3.2"/>
    <n v="3.9"/>
    <n v="4.3"/>
    <s v="Yes"/>
    <n v="0"/>
    <n v="0"/>
    <m/>
    <n v="0"/>
    <x v="0"/>
    <m/>
    <n v="1"/>
    <n v="0"/>
    <x v="1"/>
    <s v="3â€“5 years"/>
    <s v="Low"/>
    <s v="3.7999999999999994"/>
    <n v="8.3333333333333301E-2"/>
    <n v="0"/>
  </r>
  <r>
    <s v="EMP0698"/>
    <s v="Finance"/>
    <x v="11"/>
    <n v="5.4"/>
    <s v="G3"/>
    <n v="32"/>
    <s v="Bachelor"/>
    <s v="Chennai"/>
    <n v="0"/>
    <n v="28.5"/>
    <n v="4"/>
    <n v="2"/>
    <n v="12"/>
    <n v="0"/>
    <s v="Band C"/>
    <n v="54000"/>
    <n v="3.3"/>
    <n v="4.0999999999999996"/>
    <n v="0.5"/>
    <n v="0"/>
    <n v="3.1"/>
    <n v="2.1"/>
    <n v="3.4"/>
    <s v="Yes"/>
    <n v="1"/>
    <n v="2"/>
    <n v="4.9000000000000004"/>
    <n v="1"/>
    <x v="0"/>
    <m/>
    <n v="0"/>
    <n v="0"/>
    <x v="0"/>
    <s v="5+ years"/>
    <s v="High"/>
    <s v="2.8666666666666667"/>
    <n v="0"/>
    <n v="0"/>
  </r>
  <r>
    <s v="EMP0699"/>
    <s v="Operations"/>
    <x v="6"/>
    <n v="11.6"/>
    <s v="G4"/>
    <n v="33"/>
    <s v="Bachelor"/>
    <s v="Chennai"/>
    <n v="7"/>
    <n v="14.7"/>
    <n v="13"/>
    <n v="0"/>
    <n v="12"/>
    <n v="0"/>
    <s v="Band D"/>
    <n v="82000"/>
    <n v="5.2"/>
    <n v="4.4000000000000004"/>
    <n v="0.6"/>
    <n v="0"/>
    <n v="4.3"/>
    <n v="1"/>
    <n v="3"/>
    <s v="Yes"/>
    <n v="0"/>
    <n v="1"/>
    <n v="10.7"/>
    <n v="0"/>
    <x v="0"/>
    <m/>
    <n v="0"/>
    <n v="0"/>
    <x v="0"/>
    <s v="5+ years"/>
    <s v="Moderate"/>
    <s v="2.766666666666667"/>
    <s v="0.5833333333333334"/>
    <n v="0"/>
  </r>
  <r>
    <s v="EMP0700"/>
    <s v="Sales"/>
    <x v="13"/>
    <n v="0.4"/>
    <s v="G2"/>
    <n v="27"/>
    <s v="Master"/>
    <s v="Coimbatore"/>
    <n v="2"/>
    <n v="6.4"/>
    <n v="16"/>
    <n v="0"/>
    <n v="12"/>
    <n v="0"/>
    <s v="Band B"/>
    <n v="42700"/>
    <n v="9.6999999999999993"/>
    <n v="3.5"/>
    <n v="0.1"/>
    <n v="0"/>
    <n v="3.5"/>
    <n v="3.5"/>
    <n v="3.4"/>
    <s v="Yes"/>
    <n v="1"/>
    <n v="0"/>
    <m/>
    <n v="1"/>
    <x v="0"/>
    <m/>
    <n v="1"/>
    <n v="0"/>
    <x v="1"/>
    <s v="0â€“1 years"/>
    <s v="Low"/>
    <s v="3.466666666666667"/>
    <s v="0.16666666666666666"/>
    <n v="0"/>
  </r>
  <r>
    <s v="EMP0701"/>
    <s v="Sales"/>
    <x v="14"/>
    <n v="12"/>
    <s v="G2"/>
    <n v="40"/>
    <s v="Diploma"/>
    <s v="Remote"/>
    <n v="3"/>
    <n v="2.2999999999999998"/>
    <n v="11"/>
    <n v="4"/>
    <n v="12"/>
    <n v="0"/>
    <s v="Band B"/>
    <n v="37700"/>
    <n v="4.4000000000000004"/>
    <n v="4.3"/>
    <n v="1.5"/>
    <n v="0"/>
    <n v="2.5"/>
    <n v="3.3"/>
    <n v="3.2"/>
    <s v="Yes"/>
    <n v="1"/>
    <n v="0"/>
    <m/>
    <n v="0"/>
    <x v="0"/>
    <m/>
    <n v="1"/>
    <n v="0"/>
    <x v="1"/>
    <s v="5+ years"/>
    <s v="Low"/>
    <n v="3"/>
    <n v="0.25"/>
    <n v="0"/>
  </r>
  <r>
    <s v="EMP0702"/>
    <s v="Sales"/>
    <x v="14"/>
    <n v="11.3"/>
    <s v="G3"/>
    <n v="39"/>
    <s v="Bachelor"/>
    <s v="Bengaluru"/>
    <n v="1"/>
    <n v="20.5"/>
    <n v="6"/>
    <n v="1"/>
    <n v="12"/>
    <n v="0"/>
    <s v="Band C"/>
    <n v="59900"/>
    <n v="14.2"/>
    <n v="2"/>
    <n v="0.8"/>
    <n v="0"/>
    <n v="2.5"/>
    <n v="4.5"/>
    <n v="3.1"/>
    <s v="Yes"/>
    <n v="0"/>
    <n v="2"/>
    <n v="8"/>
    <n v="0"/>
    <x v="0"/>
    <m/>
    <n v="0"/>
    <n v="0"/>
    <x v="0"/>
    <s v="5+ years"/>
    <s v="High"/>
    <s v="3.3666666666666667"/>
    <n v="8.3333333333333301E-2"/>
    <n v="0"/>
  </r>
  <r>
    <s v="EMP0703"/>
    <s v="Engineering"/>
    <x v="16"/>
    <n v="6.8"/>
    <s v="G3"/>
    <n v="35"/>
    <s v="Bachelor"/>
    <s v="Chennai"/>
    <n v="5"/>
    <n v="3.2"/>
    <n v="15"/>
    <n v="3"/>
    <n v="12"/>
    <n v="0"/>
    <s v="Band C"/>
    <n v="63300"/>
    <n v="7.2"/>
    <n v="2.7"/>
    <n v="2.8"/>
    <n v="0"/>
    <n v="4.7"/>
    <n v="3.1"/>
    <n v="3.4"/>
    <s v="Yes"/>
    <n v="0"/>
    <n v="1"/>
    <n v="3.5"/>
    <n v="0"/>
    <x v="0"/>
    <m/>
    <n v="0"/>
    <n v="0"/>
    <x v="0"/>
    <s v="5+ years"/>
    <s v="Low"/>
    <s v="3.733333333333334"/>
    <s v="0.4166666666666667"/>
    <n v="0"/>
  </r>
  <r>
    <s v="EMP0704"/>
    <s v="Customer Support"/>
    <x v="9"/>
    <n v="4.4000000000000004"/>
    <s v="G3"/>
    <n v="36"/>
    <s v="Master"/>
    <s v="Remote"/>
    <n v="2"/>
    <n v="14.7"/>
    <n v="7"/>
    <n v="2"/>
    <n v="12"/>
    <n v="0"/>
    <s v="Band C"/>
    <n v="50200"/>
    <n v="10.8"/>
    <n v="3.4"/>
    <n v="1.9"/>
    <n v="0"/>
    <n v="2.7"/>
    <n v="3.1"/>
    <n v="3.9"/>
    <s v="Yes"/>
    <n v="0"/>
    <n v="0"/>
    <m/>
    <n v="0"/>
    <x v="0"/>
    <m/>
    <n v="1"/>
    <n v="0"/>
    <x v="1"/>
    <s v="3â€“5 years"/>
    <s v="Moderate"/>
    <s v="3.233333333333334"/>
    <s v="0.16666666666666666"/>
    <n v="0"/>
  </r>
  <r>
    <s v="EMP0705"/>
    <s v="Sales"/>
    <x v="13"/>
    <n v="2.2000000000000002"/>
    <s v="G2"/>
    <n v="32"/>
    <s v="Bachelor"/>
    <s v="Coimbatore"/>
    <n v="2"/>
    <n v="3.3"/>
    <n v="11"/>
    <n v="0"/>
    <n v="12"/>
    <n v="0"/>
    <s v="Band B"/>
    <n v="40600"/>
    <n v="10.5"/>
    <n v="3.4"/>
    <n v="1.6"/>
    <n v="0"/>
    <n v="3.5"/>
    <n v="3.8"/>
    <n v="2.7"/>
    <s v="Yes"/>
    <n v="0"/>
    <n v="0"/>
    <m/>
    <n v="0"/>
    <x v="0"/>
    <m/>
    <n v="1"/>
    <n v="0"/>
    <x v="1"/>
    <s v="1â€“3 years"/>
    <s v="Low"/>
    <s v="3.3333333333333335"/>
    <s v="0.16666666666666666"/>
    <n v="0"/>
  </r>
  <r>
    <s v="EMP0706"/>
    <s v="Finance"/>
    <x v="18"/>
    <n v="6.8"/>
    <s v="G3"/>
    <n v="33"/>
    <s v="Bachelor"/>
    <s v="Chennai"/>
    <n v="2"/>
    <n v="10.1"/>
    <n v="8"/>
    <n v="1"/>
    <n v="12"/>
    <n v="0"/>
    <s v="Band C"/>
    <n v="66400"/>
    <n v="14.5"/>
    <n v="4.5"/>
    <n v="0.9"/>
    <n v="0"/>
    <n v="4.5"/>
    <n v="4.0999999999999996"/>
    <n v="3.8"/>
    <s v="Yes"/>
    <n v="0"/>
    <n v="0"/>
    <m/>
    <n v="0"/>
    <x v="0"/>
    <m/>
    <n v="1"/>
    <n v="0"/>
    <x v="1"/>
    <s v="5+ years"/>
    <s v="Moderate"/>
    <s v="4.133333333333333"/>
    <s v="0.16666666666666666"/>
    <n v="0"/>
  </r>
  <r>
    <s v="EMP0707"/>
    <s v="Operations"/>
    <x v="0"/>
    <n v="4.5"/>
    <s v="G5"/>
    <n v="26"/>
    <s v="Bachelor"/>
    <s v="Coimbatore"/>
    <n v="4"/>
    <n v="19.899999999999999"/>
    <n v="15"/>
    <n v="1"/>
    <n v="12"/>
    <n v="0"/>
    <s v="Band D"/>
    <n v="76500"/>
    <n v="6.2"/>
    <n v="2.2999999999999998"/>
    <n v="1.1000000000000001"/>
    <n v="0"/>
    <n v="3.8"/>
    <n v="2.6"/>
    <n v="5"/>
    <s v="Yes"/>
    <n v="0"/>
    <n v="0"/>
    <m/>
    <n v="0"/>
    <x v="0"/>
    <m/>
    <n v="1"/>
    <n v="0"/>
    <x v="1"/>
    <s v="3â€“5 years"/>
    <s v="Moderate"/>
    <s v="3.8000000000000003"/>
    <s v="0.3333333333333333"/>
    <n v="0"/>
  </r>
  <r>
    <s v="EMP0708"/>
    <s v="Operations"/>
    <x v="6"/>
    <n v="2.9"/>
    <s v="G2"/>
    <n v="26"/>
    <s v="Bachelor"/>
    <s v="Chennai"/>
    <n v="2"/>
    <n v="6.5"/>
    <n v="11"/>
    <n v="5"/>
    <n v="12"/>
    <n v="0"/>
    <s v="Band B"/>
    <n v="39800"/>
    <n v="8.4"/>
    <n v="2.7"/>
    <n v="4.5"/>
    <n v="0"/>
    <n v="2.6"/>
    <n v="4.0999999999999996"/>
    <n v="3.5"/>
    <s v="Yes"/>
    <n v="0"/>
    <n v="1"/>
    <n v="1.9"/>
    <n v="0"/>
    <x v="0"/>
    <m/>
    <n v="0"/>
    <n v="0"/>
    <x v="0"/>
    <s v="1â€“3 years"/>
    <s v="Low"/>
    <n v="3.4"/>
    <s v="0.16666666666666666"/>
    <n v="0"/>
  </r>
  <r>
    <s v="EMP0709"/>
    <s v="Hr"/>
    <x v="15"/>
    <n v="6.6"/>
    <s v="G1"/>
    <n v="32"/>
    <s v="Master"/>
    <s v="Hyderabad"/>
    <n v="4"/>
    <n v="120"/>
    <n v="11"/>
    <n v="3"/>
    <n v="12"/>
    <n v="1"/>
    <s v="Band A"/>
    <n v="34100"/>
    <n v="2.4"/>
    <n v="3.1"/>
    <n v="0.9"/>
    <n v="0"/>
    <n v="2.4"/>
    <n v="2.7"/>
    <n v="3.4"/>
    <s v="No"/>
    <n v="0"/>
    <n v="0"/>
    <m/>
    <n v="0"/>
    <x v="0"/>
    <m/>
    <n v="1"/>
    <n v="0"/>
    <x v="1"/>
    <s v="5+ years"/>
    <s v="Extreme"/>
    <s v="2.8333333333333335"/>
    <s v="0.3333333333333333"/>
    <n v="0"/>
  </r>
  <r>
    <s v="EMP0710"/>
    <s v="Hr"/>
    <x v="15"/>
    <n v="7.4"/>
    <s v="G1"/>
    <n v="34"/>
    <s v="Bachelor"/>
    <s v="Coimbatore"/>
    <n v="2"/>
    <n v="15.7"/>
    <n v="12"/>
    <n v="0"/>
    <n v="12"/>
    <n v="0"/>
    <s v="Band A"/>
    <n v="29000"/>
    <n v="8.4"/>
    <n v="2.7"/>
    <n v="1.1000000000000001"/>
    <n v="0"/>
    <n v="5"/>
    <n v="3.2"/>
    <n v="3.3"/>
    <s v="Yes"/>
    <n v="0"/>
    <n v="0"/>
    <m/>
    <n v="1"/>
    <x v="0"/>
    <m/>
    <n v="1"/>
    <n v="0"/>
    <x v="1"/>
    <s v="5+ years"/>
    <s v="Moderate"/>
    <s v="3.8333333333333335"/>
    <s v="0.16666666666666666"/>
    <n v="0"/>
  </r>
  <r>
    <s v="EMP0711"/>
    <s v="Customer Support"/>
    <x v="5"/>
    <n v="9.1"/>
    <s v="G3"/>
    <n v="33"/>
    <s v="Bachelor"/>
    <s v="Bengaluru"/>
    <n v="3"/>
    <n v="3.8"/>
    <n v="10"/>
    <n v="1"/>
    <n v="12"/>
    <n v="0"/>
    <s v="Band C"/>
    <n v="67100"/>
    <n v="12.6"/>
    <n v="2.2999999999999998"/>
    <n v="0.5"/>
    <n v="0"/>
    <n v="2.4"/>
    <n v="3.8"/>
    <n v="3.8"/>
    <s v="Yes"/>
    <n v="0"/>
    <n v="0"/>
    <m/>
    <n v="1"/>
    <x v="0"/>
    <m/>
    <n v="1"/>
    <n v="0"/>
    <x v="1"/>
    <s v="5+ years"/>
    <s v="Low"/>
    <s v="3.3333333333333335"/>
    <n v="0.25"/>
    <n v="0"/>
  </r>
  <r>
    <s v="EMP0712"/>
    <s v="Operations"/>
    <x v="6"/>
    <n v="2"/>
    <s v="G2"/>
    <n v="24"/>
    <s v="Master"/>
    <s v="Coimbatore"/>
    <n v="1"/>
    <n v="2.5"/>
    <n v="9"/>
    <n v="2"/>
    <n v="12"/>
    <n v="0"/>
    <s v="Band B"/>
    <n v="40900"/>
    <n v="8.9"/>
    <n v="2.8"/>
    <n v="1"/>
    <n v="0"/>
    <n v="2.8"/>
    <n v="4"/>
    <n v="2.1"/>
    <s v="Yes"/>
    <n v="0"/>
    <n v="0"/>
    <m/>
    <n v="1"/>
    <x v="0"/>
    <m/>
    <n v="1"/>
    <n v="0"/>
    <x v="1"/>
    <s v="1â€“3 years"/>
    <s v="Low"/>
    <s v="2.966666666666667"/>
    <n v="8.3333333333333301E-2"/>
    <n v="0"/>
  </r>
  <r>
    <s v="EMP0713"/>
    <s v="Operations"/>
    <x v="0"/>
    <n v="8.4"/>
    <s v="G5"/>
    <n v="30"/>
    <s v="Bachelor"/>
    <s v="Remote"/>
    <n v="2"/>
    <n v="4.9000000000000004"/>
    <n v="13"/>
    <n v="2"/>
    <n v="12"/>
    <n v="0"/>
    <s v="Band E"/>
    <n v="126200"/>
    <n v="17.3"/>
    <n v="3"/>
    <n v="1.4"/>
    <n v="0"/>
    <n v="3.6"/>
    <n v="3.5"/>
    <n v="4.8"/>
    <s v="Yes"/>
    <n v="0"/>
    <n v="0"/>
    <m/>
    <n v="0"/>
    <x v="0"/>
    <m/>
    <n v="1"/>
    <n v="0"/>
    <x v="1"/>
    <s v="5+ years"/>
    <s v="Low"/>
    <s v="3.9666666666666663"/>
    <s v="0.16666666666666666"/>
    <n v="0"/>
  </r>
  <r>
    <s v="EMP0714"/>
    <s v="Customer Support"/>
    <x v="2"/>
    <n v="3"/>
    <s v="G3"/>
    <n v="22"/>
    <s v="Bachelor"/>
    <s v="Bengaluru"/>
    <n v="3"/>
    <n v="9.6999999999999993"/>
    <n v="5"/>
    <n v="1"/>
    <n v="12"/>
    <n v="0"/>
    <s v="Band C"/>
    <n v="56500"/>
    <n v="10.1"/>
    <n v="4.5"/>
    <n v="0.5"/>
    <n v="0"/>
    <n v="3.1"/>
    <n v="2.2000000000000002"/>
    <n v="4.2"/>
    <s v="Yes"/>
    <n v="0"/>
    <n v="0"/>
    <m/>
    <n v="0"/>
    <x v="0"/>
    <m/>
    <n v="1"/>
    <n v="0"/>
    <x v="1"/>
    <s v="1â€“3 years"/>
    <s v="Low"/>
    <s v="3.1666666666666665"/>
    <n v="0.25"/>
    <n v="0"/>
  </r>
  <r>
    <s v="EMP0715"/>
    <s v="Operations"/>
    <x v="3"/>
    <n v="4.4000000000000004"/>
    <s v="G3"/>
    <n v="29"/>
    <s v="Bachelor"/>
    <s v="Coimbatore"/>
    <n v="5"/>
    <n v="30.2"/>
    <n v="4"/>
    <n v="2"/>
    <n v="12"/>
    <n v="0"/>
    <s v="Band C"/>
    <n v="65800"/>
    <n v="5.8"/>
    <n v="2.2999999999999998"/>
    <n v="0.1"/>
    <n v="0"/>
    <n v="3.8"/>
    <n v="1.5"/>
    <n v="2.9"/>
    <s v="Yes"/>
    <n v="0"/>
    <n v="0"/>
    <m/>
    <n v="0"/>
    <x v="1"/>
    <d v="2026-02-05T00:00:00"/>
    <n v="1"/>
    <n v="0"/>
    <x v="1"/>
    <s v="3â€“5 years"/>
    <s v="High"/>
    <s v="2.733333333333333"/>
    <s v="0.4166666666666667"/>
    <n v="1"/>
  </r>
  <r>
    <s v="EMP0716"/>
    <s v="Engineering"/>
    <x v="10"/>
    <n v="5"/>
    <s v="G4"/>
    <n v="25"/>
    <s v="Bachelor"/>
    <s v="Chennai"/>
    <n v="1"/>
    <n v="34.200000000000003"/>
    <n v="11"/>
    <n v="0"/>
    <n v="12"/>
    <n v="0"/>
    <s v="Band D"/>
    <n v="75800"/>
    <n v="9.8000000000000007"/>
    <n v="3.9"/>
    <n v="1.1000000000000001"/>
    <n v="0"/>
    <n v="2"/>
    <n v="3"/>
    <n v="3.4"/>
    <s v="Yes"/>
    <n v="0"/>
    <n v="0"/>
    <m/>
    <n v="0"/>
    <x v="0"/>
    <m/>
    <n v="1"/>
    <n v="0"/>
    <x v="1"/>
    <s v="3â€“5 years"/>
    <s v="High"/>
    <s v="2.8000000000000003"/>
    <n v="8.3333333333333301E-2"/>
    <n v="0"/>
  </r>
  <r>
    <s v="EMP0717"/>
    <s v="Finance"/>
    <x v="11"/>
    <n v="7.9"/>
    <s v="G2"/>
    <n v="30"/>
    <s v="Master"/>
    <s v="Remote"/>
    <n v="4"/>
    <n v="6.3"/>
    <n v="7"/>
    <n v="1"/>
    <n v="12"/>
    <n v="0"/>
    <s v="Band A"/>
    <n v="34600"/>
    <n v="2.1"/>
    <n v="4.3"/>
    <n v="4"/>
    <n v="0"/>
    <n v="3.1"/>
    <n v="4.0999999999999996"/>
    <n v="3"/>
    <s v="Yes"/>
    <n v="0"/>
    <n v="2"/>
    <n v="4"/>
    <n v="0"/>
    <x v="0"/>
    <m/>
    <n v="0"/>
    <n v="0"/>
    <x v="0"/>
    <s v="5+ years"/>
    <s v="Low"/>
    <n v="3.4"/>
    <s v="0.3333333333333333"/>
    <n v="0"/>
  </r>
  <r>
    <s v="EMP0718"/>
    <s v="Engineering"/>
    <x v="12"/>
    <n v="6.2"/>
    <s v="G4"/>
    <n v="31"/>
    <s v="Master"/>
    <s v="Coimbatore"/>
    <n v="1"/>
    <n v="6.1"/>
    <n v="9"/>
    <n v="3"/>
    <n v="12"/>
    <n v="0"/>
    <s v="Band C"/>
    <n v="68800"/>
    <n v="4.8"/>
    <n v="2.7"/>
    <n v="1.3"/>
    <n v="0"/>
    <n v="3.9"/>
    <n v="3.6"/>
    <n v="3.6"/>
    <s v="Yes"/>
    <n v="0"/>
    <n v="1"/>
    <n v="5"/>
    <n v="0"/>
    <x v="0"/>
    <m/>
    <n v="0"/>
    <n v="0"/>
    <x v="0"/>
    <s v="5+ years"/>
    <s v="Low"/>
    <s v="3.6999999999999997"/>
    <n v="8.3333333333333301E-2"/>
    <n v="0"/>
  </r>
  <r>
    <s v="EMP0719"/>
    <s v="Operations"/>
    <x v="3"/>
    <n v="2.9"/>
    <s v="G1"/>
    <n v="24"/>
    <s v="Master"/>
    <s v="Chennai"/>
    <n v="5"/>
    <n v="17.7"/>
    <n v="6"/>
    <n v="0"/>
    <n v="12"/>
    <n v="0"/>
    <s v="Band A"/>
    <n v="31800"/>
    <n v="3.1"/>
    <n v="3.4"/>
    <n v="1.7"/>
    <n v="0"/>
    <n v="3.9"/>
    <n v="3.4"/>
    <n v="3.4"/>
    <s v="Yes"/>
    <n v="0"/>
    <n v="1"/>
    <n v="1.5"/>
    <n v="0"/>
    <x v="0"/>
    <m/>
    <n v="0"/>
    <n v="0"/>
    <x v="0"/>
    <s v="1â€“3 years"/>
    <s v="Moderate"/>
    <s v="3.5666666666666664"/>
    <s v="0.4166666666666667"/>
    <n v="0"/>
  </r>
  <r>
    <s v="EMP0720"/>
    <s v="Customer Support"/>
    <x v="5"/>
    <n v="0.4"/>
    <s v="G3"/>
    <n v="28"/>
    <s v="Master"/>
    <s v="Hyderabad"/>
    <n v="1"/>
    <n v="17.600000000000001"/>
    <n v="5"/>
    <n v="6"/>
    <n v="12"/>
    <n v="0"/>
    <s v="Band C"/>
    <n v="58200"/>
    <n v="8.1"/>
    <n v="3.7"/>
    <n v="1"/>
    <n v="0"/>
    <n v="2.8"/>
    <n v="3.2"/>
    <n v="3.6"/>
    <s v="Yes"/>
    <n v="0"/>
    <n v="1"/>
    <n v="0"/>
    <n v="0"/>
    <x v="0"/>
    <m/>
    <n v="0"/>
    <n v="0"/>
    <x v="0"/>
    <s v="0â€“1 years"/>
    <s v="Moderate"/>
    <s v="3.1999999999999997"/>
    <n v="8.3333333333333301E-2"/>
    <n v="0"/>
  </r>
  <r>
    <s v="EMP0721"/>
    <s v="Finance"/>
    <x v="11"/>
    <n v="5.4"/>
    <s v="G5"/>
    <n v="34"/>
    <s v="Bachelor"/>
    <s v="Chennai"/>
    <n v="2"/>
    <n v="25.2"/>
    <n v="8"/>
    <n v="6"/>
    <n v="12"/>
    <n v="0"/>
    <s v="Band D"/>
    <n v="96100"/>
    <n v="7.8"/>
    <n v="3.6"/>
    <n v="2"/>
    <n v="0"/>
    <n v="2.4"/>
    <n v="3.5"/>
    <n v="2.6"/>
    <s v="Yes"/>
    <n v="0"/>
    <n v="0"/>
    <m/>
    <n v="0"/>
    <x v="0"/>
    <m/>
    <n v="1"/>
    <n v="0"/>
    <x v="1"/>
    <s v="5+ years"/>
    <s v="High"/>
    <s v="2.8333333333333335"/>
    <s v="0.16666666666666666"/>
    <n v="0"/>
  </r>
  <r>
    <s v="EMP0722"/>
    <s v="Hr"/>
    <x v="15"/>
    <n v="4.3"/>
    <s v="G4"/>
    <n v="28"/>
    <s v="Bachelor"/>
    <s v="Chennai"/>
    <n v="4"/>
    <n v="25.7"/>
    <n v="7"/>
    <n v="2"/>
    <n v="12"/>
    <n v="0"/>
    <s v="Band D"/>
    <n v="88100"/>
    <n v="12.8"/>
    <n v="3.3"/>
    <n v="2.5"/>
    <n v="0"/>
    <n v="3.5"/>
    <n v="2.2999999999999998"/>
    <n v="3"/>
    <s v="Yes"/>
    <n v="0"/>
    <n v="0"/>
    <m/>
    <n v="0"/>
    <x v="0"/>
    <m/>
    <n v="1"/>
    <n v="0"/>
    <x v="1"/>
    <s v="3â€“5 years"/>
    <s v="High"/>
    <s v="2.9333333333333336"/>
    <s v="0.3333333333333333"/>
    <n v="0"/>
  </r>
  <r>
    <s v="EMP0723"/>
    <s v="Engineering"/>
    <x v="16"/>
    <n v="1.2"/>
    <s v="G4"/>
    <n v="25"/>
    <s v="Bachelor"/>
    <s v="Coimbatore"/>
    <n v="4"/>
    <n v="4.5999999999999996"/>
    <n v="13"/>
    <n v="3"/>
    <n v="12"/>
    <n v="0"/>
    <s v="Band C"/>
    <n v="67000"/>
    <n v="7.6"/>
    <n v="2.6"/>
    <n v="3.5"/>
    <n v="0"/>
    <n v="2.1"/>
    <n v="3.9"/>
    <n v="4.3"/>
    <s v="Yes"/>
    <n v="0"/>
    <n v="2"/>
    <n v="0.7"/>
    <n v="0"/>
    <x v="0"/>
    <m/>
    <n v="0"/>
    <n v="0"/>
    <x v="0"/>
    <s v="1â€“3 years"/>
    <s v="Low"/>
    <s v="3.4333333333333336"/>
    <s v="0.3333333333333333"/>
    <n v="0"/>
  </r>
  <r>
    <s v="EMP0724"/>
    <s v="Customer Support"/>
    <x v="2"/>
    <n v="4.5999999999999996"/>
    <s v="G2"/>
    <n v="33"/>
    <s v="Master"/>
    <s v="Chennai"/>
    <n v="4"/>
    <n v="2"/>
    <n v="11"/>
    <n v="1"/>
    <n v="12"/>
    <n v="0"/>
    <s v="Band B"/>
    <n v="41700"/>
    <n v="4"/>
    <n v="3.8"/>
    <n v="4.3"/>
    <n v="0"/>
    <n v="4.5"/>
    <n v="4"/>
    <n v="3"/>
    <s v="Yes"/>
    <n v="0"/>
    <n v="2"/>
    <n v="2.8"/>
    <n v="0"/>
    <x v="0"/>
    <m/>
    <n v="0"/>
    <n v="0"/>
    <x v="0"/>
    <s v="3â€“5 years"/>
    <s v="Low"/>
    <s v="3.8333333333333335"/>
    <s v="0.3333333333333333"/>
    <n v="0"/>
  </r>
  <r>
    <s v="EMP0725"/>
    <s v="Engineering"/>
    <x v="4"/>
    <n v="3.8"/>
    <s v="G4"/>
    <n v="27"/>
    <s v="Master"/>
    <s v="Coimbatore"/>
    <n v="4"/>
    <n v="15.8"/>
    <n v="9"/>
    <n v="5"/>
    <n v="12"/>
    <n v="0"/>
    <s v="Band D"/>
    <n v="75600"/>
    <n v="14.2"/>
    <n v="2.9"/>
    <n v="1.8"/>
    <n v="0"/>
    <n v="3.4"/>
    <n v="2.9"/>
    <n v="1.3"/>
    <s v="Yes"/>
    <n v="0"/>
    <n v="2"/>
    <n v="0.8"/>
    <n v="1"/>
    <x v="0"/>
    <m/>
    <n v="0"/>
    <n v="0"/>
    <x v="0"/>
    <s v="3â€“5 years"/>
    <s v="Moderate"/>
    <s v="2.533333333333333"/>
    <s v="0.3333333333333333"/>
    <n v="0"/>
  </r>
  <r>
    <s v="EMP0726"/>
    <s v="Engineering"/>
    <x v="12"/>
    <n v="9.1"/>
    <s v="G3"/>
    <n v="32"/>
    <s v="Bachelor"/>
    <s v="Chennai"/>
    <n v="4"/>
    <n v="12"/>
    <n v="12"/>
    <n v="2"/>
    <n v="12"/>
    <n v="0"/>
    <s v="Band B"/>
    <n v="48400"/>
    <n v="0"/>
    <n v="3.2"/>
    <n v="3.5"/>
    <n v="0"/>
    <n v="2.7"/>
    <n v="3.6"/>
    <n v="3.3"/>
    <s v="Yes"/>
    <n v="0"/>
    <n v="1"/>
    <n v="4.0999999999999996"/>
    <n v="0"/>
    <x v="0"/>
    <m/>
    <n v="0"/>
    <n v="0"/>
    <x v="0"/>
    <s v="5+ years"/>
    <s v="Moderate"/>
    <s v="3.2000000000000006"/>
    <s v="0.3333333333333333"/>
    <n v="0"/>
  </r>
  <r>
    <s v="EMP0727"/>
    <s v="Sales"/>
    <x v="13"/>
    <n v="12.5"/>
    <s v="G3"/>
    <n v="43"/>
    <s v="Master"/>
    <s v="Chennai"/>
    <n v="1"/>
    <n v="1.9"/>
    <n v="13"/>
    <n v="1"/>
    <n v="12"/>
    <n v="0"/>
    <s v="Band C"/>
    <n v="59400"/>
    <n v="8.1999999999999993"/>
    <n v="3.4"/>
    <n v="2.8"/>
    <n v="0"/>
    <n v="2.4"/>
    <n v="1.7"/>
    <n v="5"/>
    <s v="Yes"/>
    <n v="0"/>
    <n v="2"/>
    <n v="0.1"/>
    <n v="0"/>
    <x v="0"/>
    <m/>
    <n v="0"/>
    <n v="0"/>
    <x v="0"/>
    <s v="5+ years"/>
    <s v="Low"/>
    <s v="3.033333333333333"/>
    <n v="8.3333333333333301E-2"/>
    <n v="0"/>
  </r>
  <r>
    <s v="EMP0728"/>
    <s v="Engineering"/>
    <x v="16"/>
    <n v="7.3"/>
    <s v="G1"/>
    <n v="37"/>
    <s v="Master"/>
    <s v="Chennai"/>
    <n v="6"/>
    <n v="15.3"/>
    <n v="14"/>
    <n v="2"/>
    <n v="12"/>
    <n v="0"/>
    <s v="Band B"/>
    <n v="38900"/>
    <n v="8.9"/>
    <n v="4"/>
    <n v="2"/>
    <n v="0"/>
    <n v="2.7"/>
    <n v="3.3"/>
    <n v="4.0999999999999996"/>
    <s v="Yes"/>
    <n v="1"/>
    <n v="0"/>
    <m/>
    <n v="0"/>
    <x v="0"/>
    <m/>
    <n v="1"/>
    <n v="0"/>
    <x v="1"/>
    <s v="5+ years"/>
    <s v="Moderate"/>
    <s v="3.3666666666666667"/>
    <n v="0.5"/>
    <n v="0"/>
  </r>
  <r>
    <s v="EMP0729"/>
    <s v="Hr"/>
    <x v="7"/>
    <n v="3.6"/>
    <s v="G1"/>
    <n v="32"/>
    <s v="Master"/>
    <s v="Chennai"/>
    <n v="7"/>
    <n v="84"/>
    <n v="14"/>
    <n v="1"/>
    <n v="12"/>
    <n v="1"/>
    <s v="Band A"/>
    <n v="25500"/>
    <n v="8"/>
    <n v="4.9000000000000004"/>
    <n v="1.3"/>
    <n v="0"/>
    <n v="1.9"/>
    <n v="3.1"/>
    <n v="2.9"/>
    <s v="Yes"/>
    <n v="0"/>
    <n v="0"/>
    <m/>
    <n v="0"/>
    <x v="0"/>
    <m/>
    <n v="1"/>
    <n v="0"/>
    <x v="1"/>
    <s v="3â€“5 years"/>
    <s v="Extreme"/>
    <s v="2.6333333333333333"/>
    <s v="0.5833333333333334"/>
    <n v="0"/>
  </r>
  <r>
    <s v="EMP0730"/>
    <s v="Finance"/>
    <x v="11"/>
    <n v="4.0999999999999996"/>
    <s v="G3"/>
    <n v="34"/>
    <s v="Master"/>
    <s v="Remote"/>
    <n v="1"/>
    <n v="15.5"/>
    <n v="14"/>
    <n v="2"/>
    <n v="12"/>
    <n v="0"/>
    <s v="Band C"/>
    <n v="57700"/>
    <n v="10"/>
    <n v="2.5"/>
    <n v="0.1"/>
    <n v="0"/>
    <n v="3.7"/>
    <n v="4.3"/>
    <n v="3.4"/>
    <s v="Yes"/>
    <n v="0"/>
    <n v="0"/>
    <m/>
    <n v="1"/>
    <x v="0"/>
    <m/>
    <n v="1"/>
    <n v="0"/>
    <x v="1"/>
    <s v="3â€“5 years"/>
    <s v="Moderate"/>
    <s v="3.8000000000000003"/>
    <n v="8.3333333333333301E-2"/>
    <n v="0"/>
  </r>
  <r>
    <s v="EMP0731"/>
    <s v="Sales"/>
    <x v="14"/>
    <n v="2"/>
    <s v="G1"/>
    <n v="21"/>
    <s v="Bachelor"/>
    <s v="Bengaluru"/>
    <n v="6"/>
    <n v="3.5"/>
    <n v="12"/>
    <n v="4"/>
    <n v="12"/>
    <n v="0"/>
    <s v="Band A"/>
    <n v="24100"/>
    <n v="8.4"/>
    <n v="3.2"/>
    <n v="6.3"/>
    <n v="0"/>
    <n v="2.6"/>
    <n v="3"/>
    <n v="3.9"/>
    <s v="Yes"/>
    <n v="0"/>
    <n v="0"/>
    <m/>
    <n v="0"/>
    <x v="0"/>
    <m/>
    <n v="1"/>
    <n v="0"/>
    <x v="1"/>
    <s v="1â€“3 years"/>
    <s v="Low"/>
    <s v="3.1666666666666665"/>
    <n v="0.5"/>
    <n v="0"/>
  </r>
  <r>
    <s v="EMP0732"/>
    <s v="Engineering"/>
    <x v="12"/>
    <n v="2.2999999999999998"/>
    <s v="G3"/>
    <n v="34"/>
    <s v="Bachelor"/>
    <s v="Coimbatore"/>
    <n v="2"/>
    <n v="16.399999999999999"/>
    <n v="8"/>
    <n v="2"/>
    <n v="12"/>
    <n v="0"/>
    <s v="Band B"/>
    <n v="46400"/>
    <n v="10"/>
    <n v="1.9"/>
    <n v="1.5"/>
    <n v="0"/>
    <n v="3.7"/>
    <n v="4"/>
    <n v="2"/>
    <s v="Yes"/>
    <n v="0"/>
    <n v="2"/>
    <n v="1.6"/>
    <n v="0"/>
    <x v="0"/>
    <m/>
    <n v="0"/>
    <n v="0"/>
    <x v="0"/>
    <s v="1â€“3 years"/>
    <s v="Moderate"/>
    <s v="3.233333333333333"/>
    <s v="0.16666666666666666"/>
    <n v="0"/>
  </r>
  <r>
    <s v="EMP0733"/>
    <s v="Engineering"/>
    <x v="4"/>
    <n v="3.5"/>
    <s v="G4"/>
    <n v="31"/>
    <s v="Bachelor"/>
    <s v="Coimbatore"/>
    <n v="5"/>
    <n v="13.1"/>
    <n v="8"/>
    <n v="2"/>
    <n v="12"/>
    <n v="0"/>
    <s v="Band C"/>
    <n v="59400"/>
    <n v="5.6"/>
    <n v="4.5"/>
    <n v="0.9"/>
    <n v="0"/>
    <n v="3.8"/>
    <n v="2.8"/>
    <n v="2.7"/>
    <s v="Yes"/>
    <n v="0"/>
    <n v="0"/>
    <m/>
    <n v="0"/>
    <x v="0"/>
    <m/>
    <n v="1"/>
    <n v="0"/>
    <x v="1"/>
    <s v="3â€“5 years"/>
    <s v="Moderate"/>
    <n v="3.1"/>
    <s v="0.4166666666666667"/>
    <n v="0"/>
  </r>
  <r>
    <s v="EMP0734"/>
    <s v="Sales"/>
    <x v="19"/>
    <n v="3.2"/>
    <s v="G5"/>
    <n v="33"/>
    <s v="Bachelor"/>
    <s v="Bengaluru"/>
    <n v="6"/>
    <n v="17.3"/>
    <n v="7"/>
    <n v="1"/>
    <n v="12"/>
    <n v="0"/>
    <s v="Band D"/>
    <n v="107600"/>
    <n v="2.2000000000000002"/>
    <n v="3.2"/>
    <n v="0.9"/>
    <n v="0"/>
    <n v="4.2"/>
    <n v="1.1000000000000001"/>
    <n v="3.7"/>
    <s v="Yes"/>
    <n v="0"/>
    <n v="3"/>
    <n v="2.8"/>
    <n v="1"/>
    <x v="0"/>
    <m/>
    <n v="0"/>
    <n v="0"/>
    <x v="0"/>
    <s v="3â€“5 years"/>
    <s v="Moderate"/>
    <n v="3"/>
    <n v="0.5"/>
    <n v="0"/>
  </r>
  <r>
    <s v="EMP0735"/>
    <s v="Engineering"/>
    <x v="10"/>
    <n v="1.2"/>
    <s v="G1"/>
    <n v="29"/>
    <s v="Master"/>
    <s v="Chennai"/>
    <n v="4"/>
    <n v="6.7"/>
    <n v="9"/>
    <n v="1"/>
    <n v="12"/>
    <n v="0"/>
    <s v="Band A"/>
    <n v="25100"/>
    <n v="7.8"/>
    <n v="2.9"/>
    <n v="2.5"/>
    <n v="0"/>
    <n v="3.5"/>
    <n v="3"/>
    <n v="4.7"/>
    <s v="Yes"/>
    <n v="0"/>
    <n v="1"/>
    <n v="1.1000000000000001"/>
    <n v="1"/>
    <x v="1"/>
    <d v="2026-06-18T00:00:00"/>
    <n v="0"/>
    <n v="0"/>
    <x v="0"/>
    <s v="1â€“3 years"/>
    <s v="Low"/>
    <s v="3.733333333333333"/>
    <s v="0.3333333333333333"/>
    <n v="1"/>
  </r>
  <r>
    <s v="EMP0736"/>
    <s v="Operations"/>
    <x v="6"/>
    <n v="9.1"/>
    <s v="G5"/>
    <n v="35"/>
    <s v="Bachelor"/>
    <s v="Chennai"/>
    <n v="1"/>
    <n v="5.5"/>
    <n v="14"/>
    <n v="4"/>
    <n v="12"/>
    <n v="0"/>
    <s v="Band E"/>
    <n v="121100"/>
    <n v="3.9"/>
    <n v="3.2"/>
    <n v="0.3"/>
    <n v="0"/>
    <n v="4.3"/>
    <n v="3.4"/>
    <n v="3"/>
    <s v="Yes"/>
    <n v="0"/>
    <n v="0"/>
    <m/>
    <n v="0"/>
    <x v="0"/>
    <m/>
    <n v="1"/>
    <n v="0"/>
    <x v="1"/>
    <s v="5+ years"/>
    <s v="Low"/>
    <s v="3.5666666666666664"/>
    <n v="8.3333333333333301E-2"/>
    <n v="0"/>
  </r>
  <r>
    <s v="EMP0737"/>
    <s v="Engineering"/>
    <x v="12"/>
    <n v="10"/>
    <s v="G1"/>
    <n v="35"/>
    <s v="Bachelor"/>
    <s v="Bengaluru"/>
    <n v="1"/>
    <n v="2.2999999999999998"/>
    <n v="5"/>
    <n v="3"/>
    <n v="12"/>
    <n v="0"/>
    <s v="Band A"/>
    <n v="29400"/>
    <n v="5.0999999999999996"/>
    <n v="3.3"/>
    <n v="4"/>
    <n v="0"/>
    <n v="4.5"/>
    <n v="3.3"/>
    <n v="4.7"/>
    <s v="Yes"/>
    <n v="0"/>
    <n v="1"/>
    <n v="4.0999999999999996"/>
    <n v="0"/>
    <x v="0"/>
    <m/>
    <n v="0"/>
    <n v="0"/>
    <x v="0"/>
    <s v="5+ years"/>
    <s v="Low"/>
    <s v="4.166666666666667"/>
    <n v="8.3333333333333301E-2"/>
    <n v="0"/>
  </r>
  <r>
    <s v="EMP0738"/>
    <s v="Sales"/>
    <x v="13"/>
    <n v="8.9"/>
    <s v="G2"/>
    <n v="36"/>
    <s v="Bachelor"/>
    <s v="Coimbatore"/>
    <n v="5"/>
    <n v="7.7"/>
    <n v="9"/>
    <n v="3"/>
    <n v="12"/>
    <n v="0"/>
    <s v="Band B"/>
    <n v="42600"/>
    <n v="12.6"/>
    <n v="2.5"/>
    <n v="1.8"/>
    <n v="0"/>
    <n v="3.5"/>
    <n v="3.3"/>
    <n v="2.8"/>
    <s v="Yes"/>
    <n v="0"/>
    <n v="0"/>
    <m/>
    <n v="0"/>
    <x v="0"/>
    <m/>
    <n v="1"/>
    <n v="0"/>
    <x v="1"/>
    <s v="5+ years"/>
    <s v="Low"/>
    <s v="3.1999999999999997"/>
    <s v="0.4166666666666667"/>
    <n v="0"/>
  </r>
  <r>
    <s v="EMP0739"/>
    <s v="Sales"/>
    <x v="8"/>
    <n v="10.199999999999999"/>
    <s v="G4"/>
    <n v="35"/>
    <s v="Bachelor"/>
    <s v="Hyderabad"/>
    <n v="3"/>
    <n v="22"/>
    <n v="5"/>
    <n v="4"/>
    <n v="12"/>
    <n v="0"/>
    <s v="Band D"/>
    <n v="82500"/>
    <n v="14.2"/>
    <n v="4.3"/>
    <n v="0.7"/>
    <n v="0"/>
    <n v="3.6"/>
    <n v="2.7"/>
    <n v="1"/>
    <s v="Yes"/>
    <n v="0"/>
    <n v="2"/>
    <n v="8.1"/>
    <n v="0"/>
    <x v="0"/>
    <m/>
    <n v="0"/>
    <n v="0"/>
    <x v="0"/>
    <s v="5+ years"/>
    <s v="High"/>
    <s v="2.4333333333333336"/>
    <n v="0.25"/>
    <n v="0"/>
  </r>
  <r>
    <s v="EMP0740"/>
    <s v="Sales"/>
    <x v="8"/>
    <n v="14.8"/>
    <s v="G1"/>
    <n v="44"/>
    <s v="Bachelor"/>
    <s v="Hyderabad"/>
    <n v="2"/>
    <n v="26.5"/>
    <n v="11"/>
    <n v="2"/>
    <n v="12"/>
    <n v="0"/>
    <s v="Band A"/>
    <n v="26900"/>
    <n v="12.6"/>
    <n v="3.8"/>
    <n v="2.2000000000000002"/>
    <n v="0"/>
    <n v="3.3"/>
    <n v="2.9"/>
    <n v="4"/>
    <s v="Yes"/>
    <n v="1"/>
    <n v="0"/>
    <m/>
    <n v="0"/>
    <x v="0"/>
    <m/>
    <n v="1"/>
    <n v="0"/>
    <x v="1"/>
    <s v="5+ years"/>
    <s v="High"/>
    <n v="3.4"/>
    <s v="0.16666666666666666"/>
    <n v="0"/>
  </r>
  <r>
    <s v="EMP0741"/>
    <s v="Engineering"/>
    <x v="16"/>
    <n v="2"/>
    <s v="G1"/>
    <n v="22"/>
    <s v="Bachelor"/>
    <s v="Hyderabad"/>
    <n v="2"/>
    <n v="3.2"/>
    <n v="11"/>
    <n v="0"/>
    <n v="12"/>
    <n v="0"/>
    <s v="Band A"/>
    <n v="28700"/>
    <n v="11.8"/>
    <n v="3.9"/>
    <n v="2.6"/>
    <n v="0"/>
    <n v="2.4"/>
    <n v="2.2000000000000002"/>
    <n v="3.8"/>
    <s v="Yes"/>
    <n v="0"/>
    <n v="0"/>
    <m/>
    <n v="0"/>
    <x v="0"/>
    <m/>
    <n v="1"/>
    <n v="0"/>
    <x v="1"/>
    <s v="1â€“3 years"/>
    <s v="Low"/>
    <s v="2.7999999999999994"/>
    <s v="0.16666666666666666"/>
    <n v="0"/>
  </r>
  <r>
    <s v="EMP0742"/>
    <s v="Engineering"/>
    <x v="16"/>
    <n v="14.4"/>
    <s v="G1"/>
    <n v="38"/>
    <s v="Master"/>
    <s v="Chennai"/>
    <n v="3"/>
    <n v="9.6999999999999993"/>
    <n v="4"/>
    <n v="2"/>
    <n v="12"/>
    <n v="0"/>
    <s v="Band A"/>
    <n v="34600"/>
    <n v="8.1999999999999993"/>
    <n v="2.6"/>
    <n v="0.6"/>
    <n v="0"/>
    <n v="4.5"/>
    <n v="1.4"/>
    <n v="4"/>
    <s v="Yes"/>
    <n v="0"/>
    <n v="2"/>
    <n v="9.1999999999999993"/>
    <n v="0"/>
    <x v="0"/>
    <m/>
    <n v="0"/>
    <n v="0"/>
    <x v="0"/>
    <s v="5+ years"/>
    <s v="Low"/>
    <s v="3.3000000000000003"/>
    <n v="0.25"/>
    <n v="0"/>
  </r>
  <r>
    <s v="EMP0743"/>
    <s v="Customer Support"/>
    <x v="2"/>
    <n v="2.9"/>
    <s v="G2"/>
    <n v="37"/>
    <s v="Bachelor"/>
    <s v="Chennai"/>
    <n v="4"/>
    <n v="30.5"/>
    <n v="10"/>
    <n v="0"/>
    <n v="12"/>
    <n v="0"/>
    <s v="Band B"/>
    <n v="43800"/>
    <n v="12.1"/>
    <n v="2.5"/>
    <n v="2.1"/>
    <n v="0"/>
    <n v="3.8"/>
    <n v="3.1"/>
    <n v="4"/>
    <s v="Yes"/>
    <n v="0"/>
    <n v="0"/>
    <m/>
    <n v="0"/>
    <x v="0"/>
    <m/>
    <n v="1"/>
    <n v="0"/>
    <x v="1"/>
    <s v="1â€“3 years"/>
    <s v="High"/>
    <s v="3.6333333333333333"/>
    <s v="0.3333333333333333"/>
    <n v="0"/>
  </r>
  <r>
    <s v="EMP0744"/>
    <s v="Engineering"/>
    <x v="4"/>
    <n v="5.9"/>
    <s v="G4"/>
    <n v="29"/>
    <s v="Bachelor"/>
    <s v="Chennai"/>
    <n v="3"/>
    <n v="33.4"/>
    <n v="8"/>
    <n v="0"/>
    <n v="12"/>
    <n v="0"/>
    <s v="Band C"/>
    <n v="65600"/>
    <n v="9.4"/>
    <n v="3.1"/>
    <n v="1"/>
    <n v="0"/>
    <n v="3.9"/>
    <n v="2.5"/>
    <n v="3.6"/>
    <s v="Yes"/>
    <n v="0"/>
    <n v="0"/>
    <m/>
    <n v="0"/>
    <x v="0"/>
    <m/>
    <n v="1"/>
    <n v="0"/>
    <x v="1"/>
    <s v="5+ years"/>
    <s v="High"/>
    <s v="3.3333333333333335"/>
    <n v="0.25"/>
    <n v="0"/>
  </r>
  <r>
    <s v="EMP0745"/>
    <s v="Finance"/>
    <x v="18"/>
    <n v="0.9"/>
    <s v="G1"/>
    <n v="26"/>
    <s v="Bachelor"/>
    <s v="Hyderabad"/>
    <n v="1"/>
    <n v="7.5"/>
    <n v="7"/>
    <n v="0"/>
    <n v="12"/>
    <n v="0"/>
    <s v="Band A"/>
    <n v="25300"/>
    <n v="15.8"/>
    <n v="3.9"/>
    <n v="1"/>
    <n v="0"/>
    <n v="2.8"/>
    <n v="4.2"/>
    <n v="3.2"/>
    <s v="Yes"/>
    <n v="0"/>
    <n v="0"/>
    <m/>
    <n v="0"/>
    <x v="0"/>
    <m/>
    <n v="1"/>
    <n v="0"/>
    <x v="1"/>
    <s v="0â€“1 years"/>
    <s v="Low"/>
    <n v="3.4"/>
    <n v="8.3333333333333301E-2"/>
    <n v="0"/>
  </r>
  <r>
    <s v="EMP0746"/>
    <s v="Hr"/>
    <x v="7"/>
    <n v="2.6"/>
    <s v="G1"/>
    <n v="25"/>
    <s v="Bachelor"/>
    <s v="Remote"/>
    <n v="4"/>
    <n v="23.5"/>
    <n v="7"/>
    <n v="3"/>
    <n v="12"/>
    <n v="0"/>
    <s v="Band A"/>
    <n v="30500"/>
    <n v="4.3"/>
    <n v="3.7"/>
    <n v="1.1000000000000001"/>
    <n v="0"/>
    <n v="4.8"/>
    <n v="1.2"/>
    <n v="3.2"/>
    <s v="Yes"/>
    <n v="0"/>
    <n v="1"/>
    <n v="2.4"/>
    <n v="0"/>
    <x v="0"/>
    <m/>
    <n v="0"/>
    <n v="0"/>
    <x v="0"/>
    <s v="1â€“3 years"/>
    <s v="High"/>
    <s v="3.0666666666666664"/>
    <s v="0.3333333333333333"/>
    <n v="0"/>
  </r>
  <r>
    <s v="EMP0747"/>
    <s v="Sales"/>
    <x v="13"/>
    <n v="7.4"/>
    <s v="G3"/>
    <n v="35"/>
    <s v="Master"/>
    <s v="Remote"/>
    <n v="2"/>
    <n v="20.7"/>
    <n v="13"/>
    <n v="6"/>
    <n v="12"/>
    <n v="0"/>
    <s v="Band C"/>
    <n v="65700"/>
    <n v="10.7"/>
    <n v="2.5"/>
    <n v="0"/>
    <n v="0"/>
    <n v="3.1"/>
    <n v="3.5"/>
    <n v="3"/>
    <s v="Yes"/>
    <n v="0"/>
    <n v="0"/>
    <m/>
    <n v="1"/>
    <x v="0"/>
    <m/>
    <n v="1"/>
    <n v="0"/>
    <x v="1"/>
    <s v="5+ years"/>
    <s v="High"/>
    <s v="3.1999999999999997"/>
    <s v="0.16666666666666666"/>
    <n v="0"/>
  </r>
  <r>
    <s v="EMP0748"/>
    <s v="Hr"/>
    <x v="15"/>
    <n v="6.1"/>
    <s v="G2"/>
    <n v="29"/>
    <s v="Master"/>
    <s v="Chennai"/>
    <n v="2"/>
    <n v="19.5"/>
    <n v="5"/>
    <n v="3"/>
    <n v="12"/>
    <n v="0"/>
    <s v="Band B"/>
    <n v="37500"/>
    <n v="2.9"/>
    <n v="3.8"/>
    <n v="3.2"/>
    <n v="0"/>
    <n v="2.6"/>
    <n v="5"/>
    <n v="3.4"/>
    <s v="Yes"/>
    <n v="1"/>
    <n v="1"/>
    <n v="4.2"/>
    <n v="0"/>
    <x v="0"/>
    <m/>
    <n v="0"/>
    <n v="0"/>
    <x v="0"/>
    <s v="5+ years"/>
    <s v="Moderate"/>
    <s v="3.6666666666666665"/>
    <s v="0.16666666666666666"/>
    <n v="0"/>
  </r>
  <r>
    <s v="EMP0749"/>
    <s v="Operations"/>
    <x v="3"/>
    <n v="2.8"/>
    <s v="G3"/>
    <n v="28"/>
    <s v="Diploma"/>
    <s v="Hyderabad"/>
    <n v="3"/>
    <n v="1.6"/>
    <n v="6"/>
    <n v="1"/>
    <n v="12"/>
    <n v="0"/>
    <s v="Band B"/>
    <n v="44800"/>
    <n v="10.7"/>
    <n v="2.2999999999999998"/>
    <n v="1"/>
    <n v="0"/>
    <n v="2.8"/>
    <n v="3"/>
    <n v="2"/>
    <s v="Yes"/>
    <n v="0"/>
    <n v="0"/>
    <m/>
    <n v="0"/>
    <x v="1"/>
    <d v="2024-03-08T00:00:00"/>
    <n v="1"/>
    <n v="0"/>
    <x v="1"/>
    <s v="1â€“3 years"/>
    <s v="Low"/>
    <n v="2.6"/>
    <n v="0.25"/>
    <n v="1"/>
  </r>
  <r>
    <s v="EMP0750"/>
    <s v="Customer Support"/>
    <x v="9"/>
    <n v="4.0999999999999996"/>
    <s v="G5"/>
    <n v="33"/>
    <s v="Doctorate"/>
    <s v="Coimbatore"/>
    <n v="1"/>
    <n v="5.9"/>
    <n v="8"/>
    <n v="2"/>
    <n v="12"/>
    <n v="0"/>
    <s v="Band D"/>
    <n v="94300"/>
    <n v="1.1000000000000001"/>
    <n v="2.6"/>
    <n v="1"/>
    <n v="0"/>
    <n v="4.7"/>
    <n v="3.2"/>
    <n v="2.4"/>
    <s v="Yes"/>
    <n v="0"/>
    <n v="0"/>
    <m/>
    <n v="0"/>
    <x v="0"/>
    <m/>
    <n v="1"/>
    <n v="0"/>
    <x v="1"/>
    <s v="3â€“5 years"/>
    <s v="Low"/>
    <s v="3.4333333333333336"/>
    <n v="8.3333333333333301E-2"/>
    <n v="0"/>
  </r>
  <r>
    <s v="EMP0751"/>
    <s v="Sales"/>
    <x v="13"/>
    <n v="2.4"/>
    <s v="G3"/>
    <n v="26"/>
    <s v="Master"/>
    <s v="Hyderabad"/>
    <n v="3"/>
    <n v="8.8000000000000007"/>
    <n v="6"/>
    <n v="2"/>
    <n v="12"/>
    <n v="0"/>
    <s v="Band B"/>
    <n v="46000"/>
    <n v="3.1"/>
    <n v="3.3"/>
    <n v="3.6"/>
    <n v="0"/>
    <n v="2.2999999999999998"/>
    <n v="3.6"/>
    <n v="3.3"/>
    <s v="Yes"/>
    <n v="0"/>
    <n v="2"/>
    <n v="1.7"/>
    <n v="2"/>
    <x v="0"/>
    <m/>
    <n v="0"/>
    <n v="0"/>
    <x v="0"/>
    <s v="1â€“3 years"/>
    <s v="Low"/>
    <s v="3.0666666666666664"/>
    <n v="0.25"/>
    <n v="0"/>
  </r>
  <r>
    <s v="EMP0752"/>
    <s v="Sales"/>
    <x v="13"/>
    <n v="7.4"/>
    <s v="G4"/>
    <n v="37"/>
    <s v="Bachelor"/>
    <s v="Coimbatore"/>
    <n v="4"/>
    <n v="8.6"/>
    <n v="8"/>
    <n v="3"/>
    <n v="12"/>
    <n v="0"/>
    <s v="Band D"/>
    <n v="79300"/>
    <n v="2.9"/>
    <n v="2.1"/>
    <n v="1.9"/>
    <n v="0"/>
    <n v="2.6"/>
    <n v="3.7"/>
    <n v="1.6"/>
    <s v="Yes"/>
    <n v="0"/>
    <n v="0"/>
    <m/>
    <n v="0"/>
    <x v="0"/>
    <m/>
    <n v="1"/>
    <n v="0"/>
    <x v="1"/>
    <s v="5+ years"/>
    <s v="Low"/>
    <s v="2.6333333333333333"/>
    <s v="0.3333333333333333"/>
    <n v="0"/>
  </r>
  <r>
    <s v="EMP0753"/>
    <s v="Sales"/>
    <x v="8"/>
    <n v="9.5"/>
    <s v="G2"/>
    <n v="39"/>
    <s v="Bachelor"/>
    <s v="Chennai"/>
    <n v="6"/>
    <n v="9.6"/>
    <n v="10"/>
    <n v="2"/>
    <n v="12"/>
    <n v="0"/>
    <s v="Band B"/>
    <n v="36800"/>
    <n v="9"/>
    <n v="2.2999999999999998"/>
    <n v="0.6"/>
    <n v="0"/>
    <n v="5"/>
    <n v="2.8"/>
    <n v="1.8"/>
    <s v="No"/>
    <n v="0"/>
    <n v="1"/>
    <n v="3.6"/>
    <n v="0"/>
    <x v="0"/>
    <m/>
    <n v="0"/>
    <n v="0"/>
    <x v="0"/>
    <s v="5+ years"/>
    <s v="Low"/>
    <s v="3.1999999999999997"/>
    <n v="0.5"/>
    <n v="0"/>
  </r>
  <r>
    <s v="EMP0754"/>
    <s v="Hr"/>
    <x v="7"/>
    <n v="2"/>
    <s v="G4"/>
    <n v="32"/>
    <s v="Bachelor"/>
    <s v="Chennai"/>
    <n v="5"/>
    <n v="36"/>
    <n v="8"/>
    <n v="4"/>
    <n v="12"/>
    <n v="0"/>
    <s v="Band D"/>
    <n v="78200"/>
    <n v="9.4"/>
    <n v="4.5999999999999996"/>
    <n v="1.7"/>
    <n v="0"/>
    <n v="4.0999999999999996"/>
    <n v="2.2999999999999998"/>
    <n v="3.1"/>
    <s v="Yes"/>
    <n v="0"/>
    <n v="2"/>
    <n v="0.2"/>
    <n v="1"/>
    <x v="0"/>
    <m/>
    <n v="0"/>
    <n v="0"/>
    <x v="0"/>
    <s v="1â€“3 years"/>
    <s v="High"/>
    <s v="3.1666666666666665"/>
    <s v="0.4166666666666667"/>
    <n v="0"/>
  </r>
  <r>
    <s v="EMP0755"/>
    <s v="Operations"/>
    <x v="0"/>
    <n v="3.8"/>
    <s v="G1"/>
    <n v="30"/>
    <s v="Master"/>
    <s v="Remote"/>
    <n v="2"/>
    <n v="7.7"/>
    <n v="8"/>
    <n v="1"/>
    <n v="12"/>
    <n v="0"/>
    <s v="Band A"/>
    <n v="29500"/>
    <n v="17.8"/>
    <n v="4.4000000000000004"/>
    <n v="2"/>
    <n v="0"/>
    <n v="2.6"/>
    <n v="3.8"/>
    <n v="3.3"/>
    <s v="Yes"/>
    <n v="0"/>
    <n v="2"/>
    <n v="3.1"/>
    <n v="0"/>
    <x v="0"/>
    <m/>
    <n v="0"/>
    <n v="0"/>
    <x v="0"/>
    <s v="3â€“5 years"/>
    <s v="Low"/>
    <s v="3.233333333333333"/>
    <s v="0.16666666666666666"/>
    <n v="0"/>
  </r>
  <r>
    <s v="EMP0756"/>
    <s v="Engineering"/>
    <x v="4"/>
    <n v="1.1000000000000001"/>
    <s v="G1"/>
    <n v="40"/>
    <s v="Bachelor"/>
    <s v="Coimbatore"/>
    <n v="4"/>
    <n v="13.6"/>
    <n v="10"/>
    <n v="1"/>
    <n v="12"/>
    <n v="0"/>
    <s v="Band A"/>
    <n v="31400"/>
    <n v="7.6"/>
    <n v="5"/>
    <n v="1.1000000000000001"/>
    <n v="0"/>
    <n v="2.2999999999999998"/>
    <n v="1.5"/>
    <n v="3.1"/>
    <s v="Yes"/>
    <n v="0"/>
    <n v="0"/>
    <m/>
    <n v="0"/>
    <x v="0"/>
    <m/>
    <n v="1"/>
    <n v="0"/>
    <x v="1"/>
    <s v="1â€“3 years"/>
    <s v="Moderate"/>
    <s v="2.3000000000000003"/>
    <s v="0.3333333333333333"/>
    <n v="0"/>
  </r>
  <r>
    <s v="EMP0757"/>
    <s v="Sales"/>
    <x v="14"/>
    <n v="4.5"/>
    <s v="G3"/>
    <n v="35"/>
    <s v="Bachelor"/>
    <s v="Chennai"/>
    <n v="3"/>
    <n v="13.3"/>
    <n v="12"/>
    <n v="2"/>
    <n v="12"/>
    <n v="0"/>
    <s v="Band B"/>
    <n v="38300"/>
    <n v="11.1"/>
    <n v="3.6"/>
    <n v="5.0999999999999996"/>
    <n v="0"/>
    <n v="1.8"/>
    <n v="3.9"/>
    <n v="1.5"/>
    <s v="Yes"/>
    <n v="0"/>
    <n v="2"/>
    <n v="0.6"/>
    <n v="0"/>
    <x v="0"/>
    <m/>
    <n v="0"/>
    <n v="0"/>
    <x v="0"/>
    <s v="3â€“5 years"/>
    <s v="Moderate"/>
    <n v="2.4"/>
    <n v="0.25"/>
    <n v="0"/>
  </r>
  <r>
    <s v="EMP0758"/>
    <s v="Customer Support"/>
    <x v="2"/>
    <n v="5.5"/>
    <s v="G1"/>
    <n v="33"/>
    <s v="Master"/>
    <s v="Chennai"/>
    <n v="2"/>
    <n v="9.6999999999999993"/>
    <n v="4"/>
    <n v="2"/>
    <n v="12"/>
    <n v="0"/>
    <s v="Band A"/>
    <n v="23300"/>
    <n v="8.6"/>
    <n v="3.8"/>
    <n v="1.1000000000000001"/>
    <n v="0"/>
    <n v="3.4"/>
    <n v="2.8"/>
    <n v="4.5999999999999996"/>
    <s v="Yes"/>
    <n v="0"/>
    <n v="0"/>
    <m/>
    <n v="1"/>
    <x v="0"/>
    <m/>
    <n v="1"/>
    <n v="0"/>
    <x v="1"/>
    <s v="5+ years"/>
    <s v="Low"/>
    <s v="3.5999999999999996"/>
    <s v="0.16666666666666666"/>
    <n v="0"/>
  </r>
  <r>
    <s v="EMP0759"/>
    <s v="Engineering"/>
    <x v="10"/>
    <n v="4.8"/>
    <s v="G4"/>
    <n v="27"/>
    <s v="Master"/>
    <s v="Coimbatore"/>
    <n v="0"/>
    <n v="3.4"/>
    <n v="8"/>
    <n v="5"/>
    <n v="12"/>
    <n v="0"/>
    <s v="Band D"/>
    <n v="84300"/>
    <n v="10.8"/>
    <n v="3.1"/>
    <n v="1.3"/>
    <n v="0"/>
    <n v="4"/>
    <n v="3.2"/>
    <n v="2.2999999999999998"/>
    <s v="Yes"/>
    <n v="0"/>
    <n v="1"/>
    <n v="4.3"/>
    <n v="1"/>
    <x v="0"/>
    <m/>
    <n v="0"/>
    <n v="0"/>
    <x v="0"/>
    <s v="3â€“5 years"/>
    <s v="Low"/>
    <s v="3.1666666666666665"/>
    <n v="0"/>
    <n v="0"/>
  </r>
  <r>
    <s v="EMP0760"/>
    <s v="Hr"/>
    <x v="7"/>
    <n v="5.2"/>
    <s v="G3"/>
    <n v="31"/>
    <s v="Bachelor"/>
    <s v="Remote"/>
    <n v="2"/>
    <n v="10.8"/>
    <n v="14"/>
    <n v="3"/>
    <n v="12"/>
    <n v="0"/>
    <s v="Band B"/>
    <n v="49800"/>
    <n v="8.6"/>
    <n v="2.9"/>
    <n v="1.4"/>
    <n v="0"/>
    <n v="4.7"/>
    <n v="2.7"/>
    <n v="2.7"/>
    <s v="Yes"/>
    <n v="0"/>
    <n v="0"/>
    <m/>
    <n v="0"/>
    <x v="0"/>
    <m/>
    <n v="1"/>
    <n v="0"/>
    <x v="1"/>
    <s v="5+ years"/>
    <s v="Moderate"/>
    <s v="3.366666666666667"/>
    <s v="0.16666666666666666"/>
    <n v="0"/>
  </r>
  <r>
    <s v="EMP0761"/>
    <s v="Operations"/>
    <x v="6"/>
    <n v="3.5"/>
    <s v="G5"/>
    <n v="35"/>
    <s v="Master"/>
    <s v="Chennai"/>
    <n v="5"/>
    <n v="0.9"/>
    <n v="10"/>
    <n v="4"/>
    <n v="12"/>
    <n v="0"/>
    <s v="Band D"/>
    <n v="80000"/>
    <n v="12.4"/>
    <n v="4"/>
    <n v="2.5"/>
    <n v="0"/>
    <n v="1.6"/>
    <n v="4.5"/>
    <n v="2.4"/>
    <s v="Yes"/>
    <n v="0"/>
    <n v="0"/>
    <m/>
    <n v="1"/>
    <x v="0"/>
    <m/>
    <n v="1"/>
    <n v="0"/>
    <x v="1"/>
    <s v="3â€“5 years"/>
    <s v="Low"/>
    <s v="2.8333333333333335"/>
    <s v="0.4166666666666667"/>
    <n v="0"/>
  </r>
  <r>
    <s v="EMP0762"/>
    <s v="Engineering"/>
    <x v="10"/>
    <n v="3.5"/>
    <s v="G2"/>
    <n v="36"/>
    <s v="Bachelor"/>
    <s v="Chennai"/>
    <n v="5"/>
    <n v="14.7"/>
    <n v="17"/>
    <n v="2"/>
    <n v="12"/>
    <n v="0"/>
    <s v="Band B"/>
    <n v="37900"/>
    <n v="3.8"/>
    <n v="4.4000000000000004"/>
    <n v="0.5"/>
    <n v="0"/>
    <n v="2.1"/>
    <n v="3.4"/>
    <n v="4.4000000000000004"/>
    <s v="Yes"/>
    <n v="0"/>
    <n v="1"/>
    <n v="0"/>
    <n v="1"/>
    <x v="0"/>
    <m/>
    <n v="0"/>
    <n v="0"/>
    <x v="0"/>
    <s v="3â€“5 years"/>
    <s v="Moderate"/>
    <s v="3.3000000000000003"/>
    <s v="0.4166666666666667"/>
    <n v="0"/>
  </r>
  <r>
    <s v="EMP0763"/>
    <s v="Engineering"/>
    <x v="10"/>
    <n v="3.4"/>
    <s v="G2"/>
    <n v="35"/>
    <s v="Master"/>
    <s v="Hyderabad"/>
    <n v="3"/>
    <n v="0.7"/>
    <n v="5"/>
    <n v="1"/>
    <n v="12"/>
    <n v="0"/>
    <s v="Band B"/>
    <n v="39900"/>
    <n v="0"/>
    <n v="3.9"/>
    <n v="2.8"/>
    <n v="0"/>
    <n v="3.2"/>
    <n v="2.9"/>
    <n v="3.7"/>
    <s v="Yes"/>
    <n v="0"/>
    <n v="0"/>
    <m/>
    <n v="0"/>
    <x v="0"/>
    <m/>
    <n v="1"/>
    <n v="0"/>
    <x v="1"/>
    <s v="3â€“5 years"/>
    <s v="Low"/>
    <s v="3.266666666666667"/>
    <n v="0.25"/>
    <n v="0"/>
  </r>
  <r>
    <s v="EMP0764"/>
    <s v="Engineering"/>
    <x v="16"/>
    <n v="2.5"/>
    <s v="G3"/>
    <n v="32"/>
    <s v="Bachelor"/>
    <s v="Coimbatore"/>
    <n v="3"/>
    <n v="13.7"/>
    <n v="10"/>
    <n v="2"/>
    <n v="12"/>
    <n v="0"/>
    <s v="Band C"/>
    <n v="51400"/>
    <n v="9.6999999999999993"/>
    <n v="2.4"/>
    <n v="6.8"/>
    <n v="0"/>
    <n v="5"/>
    <n v="2.9"/>
    <n v="3"/>
    <s v="No"/>
    <n v="0"/>
    <n v="0"/>
    <m/>
    <n v="0"/>
    <x v="0"/>
    <m/>
    <n v="1"/>
    <n v="0"/>
    <x v="1"/>
    <s v="1â€“3 years"/>
    <s v="Moderate"/>
    <s v="3.6333333333333333"/>
    <n v="0.25"/>
    <n v="0"/>
  </r>
  <r>
    <s v="EMP0765"/>
    <s v="Customer Support"/>
    <x v="5"/>
    <n v="2.8"/>
    <s v="G2"/>
    <n v="24"/>
    <s v="Bachelor"/>
    <s v="Chennai"/>
    <n v="3"/>
    <n v="5.7"/>
    <n v="11"/>
    <n v="4"/>
    <n v="12"/>
    <n v="0"/>
    <s v="Band B"/>
    <n v="40600"/>
    <n v="0.8"/>
    <n v="3.6"/>
    <n v="0.2"/>
    <n v="0"/>
    <n v="4.0999999999999996"/>
    <n v="3.1"/>
    <n v="3"/>
    <s v="Yes"/>
    <n v="0"/>
    <n v="1"/>
    <n v="2.7"/>
    <n v="1"/>
    <x v="0"/>
    <m/>
    <n v="0"/>
    <n v="0"/>
    <x v="0"/>
    <s v="1â€“3 years"/>
    <s v="Low"/>
    <n v="3.4"/>
    <n v="0.25"/>
    <n v="0"/>
  </r>
  <r>
    <s v="EMP0766"/>
    <s v="Engineering"/>
    <x v="12"/>
    <n v="5.4"/>
    <s v="G3"/>
    <n v="33"/>
    <s v="Doctorate"/>
    <s v="Chennai"/>
    <n v="3"/>
    <n v="3.9"/>
    <n v="11"/>
    <n v="3"/>
    <n v="12"/>
    <n v="0"/>
    <s v="Band C"/>
    <n v="56800"/>
    <n v="13.2"/>
    <n v="2.5"/>
    <n v="0.5"/>
    <n v="0"/>
    <n v="3.6"/>
    <n v="5"/>
    <n v="3.5"/>
    <s v="Yes"/>
    <n v="0"/>
    <n v="0"/>
    <m/>
    <n v="0"/>
    <x v="0"/>
    <m/>
    <n v="1"/>
    <n v="0"/>
    <x v="1"/>
    <s v="5+ years"/>
    <s v="Low"/>
    <s v="4.033333333333333"/>
    <n v="0.25"/>
    <n v="0"/>
  </r>
  <r>
    <s v="EMP0767"/>
    <s v="Engineering"/>
    <x v="10"/>
    <n v="9.1"/>
    <s v="G3"/>
    <n v="30"/>
    <s v="Bachelor"/>
    <s v="Chennai"/>
    <n v="4"/>
    <n v="17.899999999999999"/>
    <n v="5"/>
    <n v="1"/>
    <n v="12"/>
    <n v="0"/>
    <s v="Band C"/>
    <n v="59500"/>
    <n v="5.8"/>
    <n v="2.9"/>
    <n v="0.2"/>
    <n v="0"/>
    <n v="2.2000000000000002"/>
    <n v="2"/>
    <n v="2.4"/>
    <s v="Yes"/>
    <n v="0"/>
    <n v="0"/>
    <m/>
    <n v="1"/>
    <x v="1"/>
    <d v="2026-08-03T00:00:00"/>
    <n v="1"/>
    <n v="0"/>
    <x v="1"/>
    <s v="5+ years"/>
    <s v="Moderate"/>
    <s v="2.1999999999999997"/>
    <s v="0.3333333333333333"/>
    <n v="1"/>
  </r>
  <r>
    <s v="EMP0768"/>
    <s v="Engineering"/>
    <x v="4"/>
    <n v="1.7"/>
    <s v="G5"/>
    <n v="22"/>
    <s v="Bachelor"/>
    <s v="Chennai"/>
    <n v="5"/>
    <n v="6.9"/>
    <n v="7"/>
    <n v="2"/>
    <n v="12"/>
    <n v="0"/>
    <s v="Band E"/>
    <n v="110400"/>
    <n v="3.8"/>
    <n v="4.7"/>
    <n v="0.1"/>
    <n v="0"/>
    <n v="1.4"/>
    <n v="4.2"/>
    <n v="3.7"/>
    <s v="Yes"/>
    <n v="0"/>
    <n v="1"/>
    <n v="1.4"/>
    <n v="1"/>
    <x v="0"/>
    <m/>
    <n v="0"/>
    <n v="0"/>
    <x v="0"/>
    <s v="1â€“3 years"/>
    <s v="Low"/>
    <n v="3.1"/>
    <s v="0.4166666666666667"/>
    <n v="0"/>
  </r>
  <r>
    <s v="EMP0769"/>
    <s v="Engineering"/>
    <x v="10"/>
    <n v="3.5"/>
    <s v="G3"/>
    <n v="30"/>
    <s v="Bachelor"/>
    <s v="Chennai"/>
    <n v="1"/>
    <n v="10.3"/>
    <n v="16"/>
    <n v="2"/>
    <n v="12"/>
    <n v="0"/>
    <s v="Band C"/>
    <n v="53100"/>
    <n v="18.8"/>
    <n v="2.1"/>
    <n v="0.5"/>
    <n v="0"/>
    <n v="3.3"/>
    <n v="3.7"/>
    <n v="3"/>
    <s v="Yes"/>
    <n v="0"/>
    <n v="0"/>
    <m/>
    <n v="1"/>
    <x v="0"/>
    <m/>
    <n v="1"/>
    <n v="0"/>
    <x v="1"/>
    <s v="3â€“5 years"/>
    <s v="Moderate"/>
    <s v="3.3333333333333335"/>
    <n v="8.3333333333333301E-2"/>
    <n v="0"/>
  </r>
  <r>
    <s v="EMP0770"/>
    <s v="Operations"/>
    <x v="0"/>
    <n v="1.4"/>
    <s v="G1"/>
    <n v="29"/>
    <s v="Bachelor"/>
    <s v="Chennai"/>
    <n v="2"/>
    <n v="1.7"/>
    <n v="10"/>
    <n v="5"/>
    <n v="12"/>
    <n v="0"/>
    <s v="Band A"/>
    <n v="27900"/>
    <n v="7.9"/>
    <n v="5"/>
    <n v="0.6"/>
    <n v="0"/>
    <n v="3.2"/>
    <n v="4.5999999999999996"/>
    <n v="3.8"/>
    <s v="Yes"/>
    <n v="0"/>
    <n v="2"/>
    <n v="0.8"/>
    <n v="0"/>
    <x v="0"/>
    <m/>
    <n v="0"/>
    <n v="0"/>
    <x v="0"/>
    <s v="1â€“3 years"/>
    <s v="Low"/>
    <s v="3.8666666666666667"/>
    <s v="0.16666666666666666"/>
    <n v="0"/>
  </r>
  <r>
    <s v="EMP0771"/>
    <s v="Sales"/>
    <x v="8"/>
    <n v="2.6"/>
    <s v="G2"/>
    <n v="32"/>
    <s v="Bachelor"/>
    <s v="Bengaluru"/>
    <n v="3"/>
    <n v="27.9"/>
    <n v="7"/>
    <n v="3"/>
    <n v="12"/>
    <n v="0"/>
    <s v="Band B"/>
    <n v="42000"/>
    <n v="7.2"/>
    <n v="3.7"/>
    <n v="2.7"/>
    <n v="0"/>
    <n v="3.1"/>
    <n v="3.8"/>
    <n v="3.8"/>
    <s v="Yes"/>
    <n v="0"/>
    <n v="4"/>
    <n v="1.7"/>
    <n v="1"/>
    <x v="0"/>
    <m/>
    <n v="0"/>
    <n v="0"/>
    <x v="0"/>
    <s v="1â€“3 years"/>
    <s v="High"/>
    <s v="3.5666666666666664"/>
    <n v="0.25"/>
    <n v="0"/>
  </r>
  <r>
    <s v="EMP0772"/>
    <s v="Finance"/>
    <x v="18"/>
    <n v="2.9"/>
    <s v="G3"/>
    <n v="31"/>
    <s v="Bachelor"/>
    <s v="Hyderabad"/>
    <n v="1"/>
    <n v="11.2"/>
    <n v="9"/>
    <n v="0"/>
    <n v="12"/>
    <n v="0"/>
    <s v="Band C"/>
    <n v="56200"/>
    <n v="11"/>
    <n v="2.8"/>
    <n v="3.5"/>
    <n v="0"/>
    <n v="3"/>
    <n v="3.2"/>
    <n v="2.9"/>
    <s v="No"/>
    <n v="0"/>
    <n v="0"/>
    <m/>
    <n v="0"/>
    <x v="1"/>
    <d v="2025-02-19T00:00:00"/>
    <n v="1"/>
    <n v="0"/>
    <x v="1"/>
    <s v="1â€“3 years"/>
    <s v="Moderate"/>
    <s v="3.033333333333333"/>
    <n v="8.3333333333333301E-2"/>
    <n v="1"/>
  </r>
  <r>
    <s v="EMP0773"/>
    <s v="Finance"/>
    <x v="18"/>
    <n v="4.3"/>
    <s v="G1"/>
    <n v="32"/>
    <s v="Master"/>
    <s v="Hyderabad"/>
    <n v="1"/>
    <n v="11.1"/>
    <n v="9"/>
    <n v="2"/>
    <n v="12"/>
    <n v="0"/>
    <s v="Band A"/>
    <n v="25800"/>
    <n v="11.3"/>
    <n v="3.3"/>
    <n v="1.7"/>
    <n v="0"/>
    <n v="2.6"/>
    <n v="4.0999999999999996"/>
    <n v="1.8"/>
    <s v="Yes"/>
    <n v="0"/>
    <n v="0"/>
    <m/>
    <n v="1"/>
    <x v="0"/>
    <m/>
    <n v="1"/>
    <n v="0"/>
    <x v="1"/>
    <s v="3â€“5 years"/>
    <s v="Moderate"/>
    <s v="2.8333333333333335"/>
    <n v="8.3333333333333301E-2"/>
    <n v="0"/>
  </r>
  <r>
    <s v="EMP0774"/>
    <s v="Customer Support"/>
    <x v="9"/>
    <n v="4.2"/>
    <s v="G2"/>
    <n v="26"/>
    <s v="Master"/>
    <s v="Coimbatore"/>
    <n v="2"/>
    <n v="14.9"/>
    <n v="10"/>
    <n v="1"/>
    <n v="12"/>
    <n v="0"/>
    <s v="Band B"/>
    <n v="38800"/>
    <n v="12.6"/>
    <n v="2.6"/>
    <n v="3.2"/>
    <n v="0"/>
    <n v="2.4"/>
    <n v="3.4"/>
    <n v="3.2"/>
    <s v="Yes"/>
    <n v="0"/>
    <n v="1"/>
    <n v="0.5"/>
    <n v="1"/>
    <x v="0"/>
    <m/>
    <n v="0"/>
    <n v="0"/>
    <x v="0"/>
    <s v="3â€“5 years"/>
    <s v="Moderate"/>
    <n v="3"/>
    <s v="0.16666666666666666"/>
    <n v="0"/>
  </r>
  <r>
    <s v="EMP0775"/>
    <s v="Engineering"/>
    <x v="12"/>
    <n v="3.7"/>
    <s v="G2"/>
    <n v="29"/>
    <s v="Bachelor"/>
    <s v="Chennai"/>
    <n v="4"/>
    <n v="0.3"/>
    <n v="8"/>
    <n v="1"/>
    <n v="12"/>
    <n v="0"/>
    <s v="Band B"/>
    <n v="41000"/>
    <n v="2.7"/>
    <n v="2.7"/>
    <n v="2.5"/>
    <n v="0"/>
    <n v="4.5999999999999996"/>
    <n v="3.9"/>
    <n v="2.2000000000000002"/>
    <s v="Yes"/>
    <n v="0"/>
    <n v="1"/>
    <n v="0.7"/>
    <n v="0"/>
    <x v="0"/>
    <m/>
    <n v="0"/>
    <n v="0"/>
    <x v="0"/>
    <s v="3â€“5 years"/>
    <s v="Low"/>
    <s v="3.5666666666666664"/>
    <s v="0.3333333333333333"/>
    <n v="0"/>
  </r>
  <r>
    <s v="EMP0776"/>
    <s v="Customer Support"/>
    <x v="5"/>
    <n v="5.0999999999999996"/>
    <s v="G1"/>
    <n v="25"/>
    <s v="Bachelor"/>
    <s v="Remote"/>
    <n v="5"/>
    <n v="29.9"/>
    <n v="10"/>
    <n v="1"/>
    <n v="12"/>
    <n v="0"/>
    <s v="Band A"/>
    <n v="27200"/>
    <n v="10.1"/>
    <n v="3.3"/>
    <n v="0.7"/>
    <n v="0"/>
    <n v="3.3"/>
    <n v="4.5"/>
    <n v="3.5"/>
    <s v="Yes"/>
    <n v="1"/>
    <n v="2"/>
    <n v="0.9"/>
    <n v="0"/>
    <x v="0"/>
    <m/>
    <n v="0"/>
    <n v="0"/>
    <x v="0"/>
    <s v="5+ years"/>
    <s v="High"/>
    <s v="3.766666666666667"/>
    <s v="0.4166666666666667"/>
    <n v="0"/>
  </r>
  <r>
    <s v="EMP0777"/>
    <s v="Operations"/>
    <x v="3"/>
    <n v="1.9"/>
    <s v="G2"/>
    <n v="21"/>
    <s v="Master"/>
    <s v="Hyderabad"/>
    <n v="1"/>
    <n v="7.4"/>
    <n v="12"/>
    <n v="0"/>
    <n v="12"/>
    <n v="0"/>
    <s v="Band B"/>
    <n v="35500"/>
    <n v="6.8"/>
    <n v="2.9"/>
    <n v="1.9"/>
    <n v="0"/>
    <n v="3.1"/>
    <n v="3.3"/>
    <n v="3.2"/>
    <s v="Yes"/>
    <n v="0"/>
    <n v="2"/>
    <n v="1.6"/>
    <n v="0"/>
    <x v="0"/>
    <m/>
    <n v="0"/>
    <n v="0"/>
    <x v="0"/>
    <s v="1â€“3 years"/>
    <s v="Low"/>
    <s v="3.2000000000000006"/>
    <n v="8.3333333333333301E-2"/>
    <n v="0"/>
  </r>
  <r>
    <s v="EMP0778"/>
    <s v="Engineering"/>
    <x v="4"/>
    <n v="4.3"/>
    <s v="G1"/>
    <n v="33"/>
    <s v="Bachelor"/>
    <s v="Coimbatore"/>
    <n v="3"/>
    <n v="28.7"/>
    <n v="13"/>
    <n v="1"/>
    <n v="12"/>
    <n v="0"/>
    <s v="Band A"/>
    <n v="24100"/>
    <n v="4.3"/>
    <n v="2.4"/>
    <n v="0.5"/>
    <n v="0"/>
    <n v="3.3"/>
    <n v="2.8"/>
    <n v="2.9"/>
    <s v="Yes"/>
    <n v="0"/>
    <n v="1"/>
    <n v="1.7"/>
    <n v="1"/>
    <x v="1"/>
    <d v="2025-11-01T00:00:00"/>
    <n v="0"/>
    <n v="0"/>
    <x v="0"/>
    <s v="3â€“5 years"/>
    <s v="High"/>
    <n v="3"/>
    <n v="0.25"/>
    <n v="1"/>
  </r>
  <r>
    <s v="EMP0779"/>
    <s v="Operations"/>
    <x v="3"/>
    <n v="6.3"/>
    <s v="G3"/>
    <n v="29"/>
    <s v="Bachelor"/>
    <s v="Chennai"/>
    <n v="4"/>
    <n v="7.2"/>
    <n v="17"/>
    <n v="0"/>
    <n v="12"/>
    <n v="0"/>
    <s v="Band B"/>
    <n v="36200"/>
    <n v="8.1999999999999993"/>
    <n v="3"/>
    <n v="1.3"/>
    <n v="0"/>
    <n v="3.9"/>
    <n v="2.6"/>
    <n v="2.4"/>
    <s v="Yes"/>
    <n v="0"/>
    <n v="0"/>
    <m/>
    <n v="0"/>
    <x v="0"/>
    <m/>
    <n v="1"/>
    <n v="0"/>
    <x v="1"/>
    <s v="5+ years"/>
    <s v="Low"/>
    <s v="2.966666666666667"/>
    <s v="0.3333333333333333"/>
    <n v="0"/>
  </r>
  <r>
    <s v="EMP0780"/>
    <s v="Customer Support"/>
    <x v="5"/>
    <n v="1.8"/>
    <s v="G1"/>
    <n v="31"/>
    <s v="Diploma"/>
    <s v="Chennai"/>
    <n v="2"/>
    <n v="5.8"/>
    <n v="5"/>
    <n v="0"/>
    <n v="12"/>
    <n v="0"/>
    <s v="Band A"/>
    <n v="26700"/>
    <n v="0.8"/>
    <n v="2"/>
    <n v="1.6"/>
    <n v="0"/>
    <n v="2.5"/>
    <n v="3.6"/>
    <n v="4.3"/>
    <s v="Yes"/>
    <n v="0"/>
    <n v="0"/>
    <m/>
    <n v="1"/>
    <x v="0"/>
    <m/>
    <n v="1"/>
    <n v="0"/>
    <x v="1"/>
    <s v="1â€“3 years"/>
    <s v="Low"/>
    <s v="3.4666666666666663"/>
    <s v="0.16666666666666666"/>
    <n v="0"/>
  </r>
  <r>
    <s v="EMP0781"/>
    <s v="Sales"/>
    <x v="13"/>
    <n v="0.7"/>
    <s v="G3"/>
    <n v="31"/>
    <s v="Bachelor"/>
    <s v="Coimbatore"/>
    <n v="6"/>
    <n v="14.2"/>
    <n v="6"/>
    <n v="1"/>
    <n v="12"/>
    <n v="0"/>
    <s v="Band C"/>
    <n v="52800"/>
    <n v="11.7"/>
    <n v="2.1"/>
    <n v="2.2000000000000002"/>
    <n v="0"/>
    <n v="3.3"/>
    <n v="2.4"/>
    <n v="3"/>
    <s v="No"/>
    <n v="1"/>
    <n v="0"/>
    <m/>
    <n v="0"/>
    <x v="0"/>
    <m/>
    <n v="1"/>
    <n v="0"/>
    <x v="1"/>
    <s v="0â€“1 years"/>
    <s v="Moderate"/>
    <n v="2.9"/>
    <n v="0.5"/>
    <n v="0"/>
  </r>
  <r>
    <s v="EMP0782"/>
    <s v="Customer Support"/>
    <x v="9"/>
    <n v="7.4"/>
    <s v="G1"/>
    <n v="31"/>
    <s v="Bachelor"/>
    <s v="Coimbatore"/>
    <n v="2"/>
    <n v="41"/>
    <n v="7"/>
    <n v="2"/>
    <n v="12"/>
    <n v="0"/>
    <s v="Band A"/>
    <n v="26300"/>
    <n v="6.8"/>
    <n v="2"/>
    <n v="4.7"/>
    <n v="0"/>
    <n v="2.8"/>
    <n v="3.3"/>
    <n v="5"/>
    <s v="Yes"/>
    <n v="1"/>
    <n v="0"/>
    <m/>
    <n v="1"/>
    <x v="1"/>
    <d v="2024-09-24T00:00:00"/>
    <n v="1"/>
    <n v="0"/>
    <x v="1"/>
    <s v="5+ years"/>
    <s v="High"/>
    <s v="3.6999999999999997"/>
    <s v="0.16666666666666666"/>
    <n v="1"/>
  </r>
  <r>
    <s v="EMP0783"/>
    <s v="Hr"/>
    <x v="15"/>
    <n v="1.4"/>
    <s v="G4"/>
    <n v="30"/>
    <s v="Master"/>
    <s v="Chennai"/>
    <n v="4"/>
    <n v="23.4"/>
    <n v="13"/>
    <n v="2"/>
    <n v="12"/>
    <n v="0"/>
    <s v="Band D"/>
    <n v="81600"/>
    <n v="6.1"/>
    <n v="4.7"/>
    <n v="0.3"/>
    <n v="0"/>
    <n v="3.2"/>
    <n v="2.2999999999999998"/>
    <n v="3.4"/>
    <s v="Yes"/>
    <n v="0"/>
    <n v="1"/>
    <n v="0.1"/>
    <n v="0"/>
    <x v="0"/>
    <m/>
    <n v="0"/>
    <n v="0"/>
    <x v="0"/>
    <s v="1â€“3 years"/>
    <s v="High"/>
    <s v="2.966666666666667"/>
    <s v="0.3333333333333333"/>
    <n v="0"/>
  </r>
  <r>
    <s v="EMP0784"/>
    <s v="Operations"/>
    <x v="0"/>
    <n v="2.5"/>
    <s v="G1"/>
    <n v="26"/>
    <s v="Doctorate"/>
    <s v="Remote"/>
    <n v="1"/>
    <n v="15.4"/>
    <n v="12"/>
    <n v="0"/>
    <n v="12"/>
    <n v="0"/>
    <s v="Band A"/>
    <n v="24700"/>
    <n v="7.4"/>
    <n v="3.6"/>
    <n v="1.3"/>
    <n v="0"/>
    <n v="4.8"/>
    <n v="3.7"/>
    <n v="3.7"/>
    <s v="Yes"/>
    <n v="0"/>
    <n v="0"/>
    <m/>
    <n v="0"/>
    <x v="0"/>
    <m/>
    <n v="1"/>
    <n v="0"/>
    <x v="1"/>
    <s v="1â€“3 years"/>
    <s v="Moderate"/>
    <s v="4.066666666666666"/>
    <n v="8.3333333333333301E-2"/>
    <n v="0"/>
  </r>
  <r>
    <s v="EMP0785"/>
    <s v="Customer Support"/>
    <x v="9"/>
    <n v="6.1"/>
    <s v="G3"/>
    <n v="25"/>
    <s v="Bachelor"/>
    <s v="Bengaluru"/>
    <n v="4"/>
    <n v="14"/>
    <n v="7"/>
    <n v="1"/>
    <n v="12"/>
    <n v="0"/>
    <s v="Band C"/>
    <n v="61200"/>
    <n v="7.3"/>
    <n v="3.7"/>
    <n v="4.0999999999999996"/>
    <n v="0"/>
    <n v="2.4"/>
    <n v="2.5"/>
    <n v="3.4"/>
    <s v="Yes"/>
    <n v="0"/>
    <n v="0"/>
    <m/>
    <n v="0"/>
    <x v="0"/>
    <m/>
    <n v="1"/>
    <n v="0"/>
    <x v="1"/>
    <s v="5+ years"/>
    <s v="Moderate"/>
    <s v="2.766666666666667"/>
    <s v="0.3333333333333333"/>
    <n v="0"/>
  </r>
  <r>
    <s v="EMP0786"/>
    <s v="Sales"/>
    <x v="13"/>
    <n v="1.8"/>
    <s v="G2"/>
    <n v="28"/>
    <s v="Bachelor"/>
    <s v="Bengaluru"/>
    <n v="2"/>
    <n v="10.7"/>
    <n v="13"/>
    <n v="1"/>
    <n v="12"/>
    <n v="0"/>
    <s v="Band B"/>
    <n v="39900"/>
    <n v="12.6"/>
    <n v="3.2"/>
    <n v="0.7"/>
    <n v="0"/>
    <n v="3.9"/>
    <n v="2"/>
    <n v="3.7"/>
    <s v="Yes"/>
    <n v="0"/>
    <n v="0"/>
    <m/>
    <n v="0"/>
    <x v="0"/>
    <m/>
    <n v="1"/>
    <n v="0"/>
    <x v="1"/>
    <s v="1â€“3 years"/>
    <s v="Moderate"/>
    <s v="3.2000000000000006"/>
    <s v="0.16666666666666666"/>
    <n v="0"/>
  </r>
  <r>
    <s v="EMP0787"/>
    <s v="Operations"/>
    <x v="6"/>
    <n v="7.1"/>
    <s v="G2"/>
    <n v="31"/>
    <s v="Bachelor"/>
    <s v="Chennai"/>
    <n v="1"/>
    <n v="27.8"/>
    <n v="7"/>
    <n v="1"/>
    <n v="12"/>
    <n v="0"/>
    <s v="Band C"/>
    <n v="51600"/>
    <n v="3.6"/>
    <n v="3.7"/>
    <n v="0.5"/>
    <n v="0"/>
    <n v="4.2"/>
    <n v="2.2000000000000002"/>
    <n v="4.3"/>
    <s v="No"/>
    <n v="0"/>
    <n v="0"/>
    <m/>
    <n v="0"/>
    <x v="0"/>
    <m/>
    <n v="1"/>
    <n v="0"/>
    <x v="1"/>
    <s v="5+ years"/>
    <s v="High"/>
    <s v="3.5666666666666664"/>
    <n v="8.3333333333333301E-2"/>
    <n v="0"/>
  </r>
  <r>
    <s v="EMP0788"/>
    <s v="Sales"/>
    <x v="13"/>
    <n v="2.2000000000000002"/>
    <s v="G2"/>
    <n v="26"/>
    <s v="Diploma"/>
    <s v="Hyderabad"/>
    <n v="1"/>
    <n v="18.2"/>
    <n v="6"/>
    <n v="2"/>
    <n v="12"/>
    <n v="0"/>
    <s v="Band B"/>
    <n v="40600"/>
    <n v="6.5"/>
    <n v="4.3"/>
    <n v="2.4"/>
    <n v="0"/>
    <n v="3.6"/>
    <n v="2.7"/>
    <n v="4.3"/>
    <s v="Yes"/>
    <n v="0"/>
    <n v="1"/>
    <n v="1.7"/>
    <n v="0"/>
    <x v="0"/>
    <m/>
    <n v="0"/>
    <n v="0"/>
    <x v="0"/>
    <s v="1â€“3 years"/>
    <s v="Moderate"/>
    <s v="3.5333333333333337"/>
    <n v="8.3333333333333301E-2"/>
    <n v="0"/>
  </r>
  <r>
    <s v="EMP0789"/>
    <s v="Operations"/>
    <x v="6"/>
    <n v="2"/>
    <s v="G4"/>
    <n v="36"/>
    <s v="Master"/>
    <s v="Bengaluru"/>
    <n v="2"/>
    <n v="2.2999999999999998"/>
    <n v="8"/>
    <n v="1"/>
    <n v="12"/>
    <n v="0"/>
    <s v="Band C"/>
    <n v="57900"/>
    <n v="7.1"/>
    <n v="3.6"/>
    <n v="2.1"/>
    <n v="0"/>
    <n v="3.2"/>
    <n v="2.8"/>
    <n v="2"/>
    <s v="Yes"/>
    <n v="0"/>
    <n v="2"/>
    <n v="0.1"/>
    <n v="0"/>
    <x v="0"/>
    <m/>
    <n v="0"/>
    <n v="0"/>
    <x v="0"/>
    <s v="1â€“3 years"/>
    <s v="Low"/>
    <s v="2.6666666666666665"/>
    <s v="0.16666666666666666"/>
    <n v="0"/>
  </r>
  <r>
    <s v="EMP0790"/>
    <s v="Operations"/>
    <x v="0"/>
    <n v="1.4"/>
    <s v="G4"/>
    <n v="21"/>
    <s v="Bachelor"/>
    <s v="Chennai"/>
    <n v="5"/>
    <n v="3.9"/>
    <n v="9"/>
    <n v="0"/>
    <n v="12"/>
    <n v="0"/>
    <s v="Band D"/>
    <n v="78900"/>
    <n v="3.7"/>
    <n v="4.7"/>
    <n v="0.2"/>
    <n v="0"/>
    <n v="5"/>
    <n v="3.3"/>
    <n v="4.0999999999999996"/>
    <s v="No"/>
    <n v="1"/>
    <n v="2"/>
    <n v="0.5"/>
    <n v="0"/>
    <x v="0"/>
    <m/>
    <n v="0"/>
    <n v="0"/>
    <x v="0"/>
    <s v="1â€“3 years"/>
    <s v="Low"/>
    <s v="4.133333333333334"/>
    <s v="0.4166666666666667"/>
    <n v="0"/>
  </r>
  <r>
    <s v="EMP0791"/>
    <s v="Engineering"/>
    <x v="4"/>
    <n v="2.2000000000000002"/>
    <s v="G2"/>
    <n v="30"/>
    <s v="Master"/>
    <s v="Bengaluru"/>
    <n v="2"/>
    <n v="15.8"/>
    <n v="7"/>
    <n v="2"/>
    <n v="12"/>
    <n v="0"/>
    <s v="Band B"/>
    <n v="45900"/>
    <n v="8.6"/>
    <n v="3.2"/>
    <n v="0.8"/>
    <n v="0"/>
    <n v="3.3"/>
    <n v="3.1"/>
    <n v="3.8"/>
    <s v="Yes"/>
    <n v="0"/>
    <n v="0"/>
    <m/>
    <n v="0"/>
    <x v="0"/>
    <m/>
    <n v="1"/>
    <n v="0"/>
    <x v="1"/>
    <s v="1â€“3 years"/>
    <s v="Moderate"/>
    <n v="3.4"/>
    <s v="0.16666666666666666"/>
    <n v="0"/>
  </r>
  <r>
    <s v="EMP0792"/>
    <s v="Sales"/>
    <x v="13"/>
    <n v="5.6"/>
    <s v="G1"/>
    <n v="28"/>
    <s v="Bachelor"/>
    <s v="Bengaluru"/>
    <n v="1"/>
    <n v="3.3"/>
    <n v="8"/>
    <n v="3"/>
    <n v="12"/>
    <n v="0"/>
    <s v="Band A"/>
    <n v="23200"/>
    <n v="5.0999999999999996"/>
    <n v="3.7"/>
    <n v="0.4"/>
    <n v="0"/>
    <n v="3.5"/>
    <n v="3.5"/>
    <n v="3.4"/>
    <s v="Yes"/>
    <n v="0"/>
    <n v="0"/>
    <m/>
    <n v="1"/>
    <x v="0"/>
    <m/>
    <n v="1"/>
    <n v="0"/>
    <x v="1"/>
    <s v="5+ years"/>
    <s v="Low"/>
    <s v="3.466666666666667"/>
    <n v="8.3333333333333301E-2"/>
    <n v="0"/>
  </r>
  <r>
    <s v="EMP0793"/>
    <s v="Sales"/>
    <x v="14"/>
    <n v="2.5"/>
    <s v="G3"/>
    <n v="32"/>
    <s v="Bachelor"/>
    <s v="Hyderabad"/>
    <n v="4"/>
    <n v="11.1"/>
    <n v="11"/>
    <n v="5"/>
    <n v="12"/>
    <n v="0"/>
    <s v="Band C"/>
    <n v="56400"/>
    <n v="2.4"/>
    <n v="3.8"/>
    <n v="0.4"/>
    <n v="0"/>
    <n v="3"/>
    <n v="3.6"/>
    <n v="4.8"/>
    <s v="Yes"/>
    <n v="0"/>
    <n v="0"/>
    <m/>
    <n v="1"/>
    <x v="0"/>
    <m/>
    <n v="1"/>
    <n v="0"/>
    <x v="1"/>
    <s v="1â€“3 years"/>
    <s v="Moderate"/>
    <s v="3.7999999999999994"/>
    <s v="0.3333333333333333"/>
    <n v="0"/>
  </r>
  <r>
    <s v="EMP0794"/>
    <s v="Engineering"/>
    <x v="12"/>
    <n v="7.4"/>
    <s v="G3"/>
    <n v="35"/>
    <s v="Bachelor"/>
    <s v="Chennai"/>
    <n v="2"/>
    <n v="19.3"/>
    <n v="7"/>
    <n v="3"/>
    <n v="12"/>
    <n v="0"/>
    <s v="Band C"/>
    <n v="62000"/>
    <n v="10.1"/>
    <n v="2.4"/>
    <n v="2"/>
    <n v="0"/>
    <n v="3.4"/>
    <n v="3.9"/>
    <n v="4.8"/>
    <s v="Yes"/>
    <n v="0"/>
    <n v="0"/>
    <m/>
    <n v="0"/>
    <x v="0"/>
    <m/>
    <n v="1"/>
    <n v="0"/>
    <x v="1"/>
    <s v="5+ years"/>
    <s v="Moderate"/>
    <s v="4.033333333333333"/>
    <s v="0.16666666666666666"/>
    <n v="0"/>
  </r>
  <r>
    <s v="EMP0795"/>
    <s v="Engineering"/>
    <x v="16"/>
    <n v="3.9"/>
    <s v="G1"/>
    <n v="31"/>
    <s v="Bachelor"/>
    <s v="Hyderabad"/>
    <n v="2"/>
    <n v="14.2"/>
    <n v="11"/>
    <n v="6"/>
    <n v="12"/>
    <n v="0"/>
    <s v="Band A"/>
    <n v="28100"/>
    <n v="14.2"/>
    <n v="3.2"/>
    <n v="2"/>
    <n v="0"/>
    <n v="4.2"/>
    <n v="1.5"/>
    <n v="4.0999999999999996"/>
    <s v="Yes"/>
    <n v="0"/>
    <n v="1"/>
    <n v="2.6"/>
    <n v="0"/>
    <x v="0"/>
    <m/>
    <n v="0"/>
    <n v="0"/>
    <x v="0"/>
    <s v="3â€“5 years"/>
    <s v="Moderate"/>
    <s v="3.266666666666667"/>
    <s v="0.16666666666666666"/>
    <n v="0"/>
  </r>
  <r>
    <s v="EMP0796"/>
    <s v="Sales"/>
    <x v="14"/>
    <n v="4.0999999999999996"/>
    <s v="G3"/>
    <n v="26"/>
    <s v="Master"/>
    <s v="Coimbatore"/>
    <n v="3"/>
    <n v="2.7"/>
    <n v="10"/>
    <n v="2"/>
    <n v="12"/>
    <n v="0"/>
    <s v="Band B"/>
    <n v="38000"/>
    <n v="8.1999999999999993"/>
    <n v="1.5"/>
    <n v="1.3"/>
    <n v="0"/>
    <n v="3.1"/>
    <n v="2.2000000000000002"/>
    <n v="3"/>
    <s v="No"/>
    <n v="0"/>
    <n v="0"/>
    <m/>
    <n v="0"/>
    <x v="0"/>
    <m/>
    <n v="1"/>
    <n v="0"/>
    <x v="1"/>
    <s v="3â€“5 years"/>
    <s v="Low"/>
    <s v="2.766666666666667"/>
    <n v="0.25"/>
    <n v="0"/>
  </r>
  <r>
    <s v="EMP0797"/>
    <s v="Engineering"/>
    <x v="4"/>
    <n v="1.9"/>
    <s v="G2"/>
    <n v="25"/>
    <s v="Master"/>
    <s v="Chennai"/>
    <n v="4"/>
    <n v="4.2"/>
    <n v="12"/>
    <n v="3"/>
    <n v="12"/>
    <n v="0"/>
    <s v="Band B"/>
    <n v="36700"/>
    <n v="7.6"/>
    <n v="3.1"/>
    <n v="0.3"/>
    <n v="0"/>
    <n v="1.4"/>
    <n v="3.7"/>
    <n v="2.4"/>
    <s v="No"/>
    <n v="0"/>
    <n v="0"/>
    <m/>
    <n v="0"/>
    <x v="0"/>
    <m/>
    <n v="1"/>
    <n v="0"/>
    <x v="1"/>
    <s v="1â€“3 years"/>
    <s v="Low"/>
    <n v="2.5"/>
    <s v="0.3333333333333333"/>
    <n v="0"/>
  </r>
  <r>
    <s v="EMP0798"/>
    <s v="Engineering"/>
    <x v="12"/>
    <n v="8.1"/>
    <s v="G3"/>
    <n v="38"/>
    <s v="Bachelor"/>
    <s v="Chennai"/>
    <n v="2"/>
    <n v="14.6"/>
    <n v="11"/>
    <n v="1"/>
    <n v="12"/>
    <n v="0"/>
    <s v="Band C"/>
    <n v="52800"/>
    <n v="7.5"/>
    <n v="2.9"/>
    <n v="0.4"/>
    <n v="0"/>
    <n v="3.8"/>
    <n v="3.4"/>
    <n v="4"/>
    <s v="No"/>
    <n v="0"/>
    <n v="0"/>
    <m/>
    <n v="0"/>
    <x v="0"/>
    <m/>
    <n v="1"/>
    <n v="0"/>
    <x v="1"/>
    <s v="5+ years"/>
    <s v="Moderate"/>
    <s v="3.733333333333333"/>
    <s v="0.16666666666666666"/>
    <n v="0"/>
  </r>
  <r>
    <s v="EMP0799"/>
    <s v="Operations"/>
    <x v="0"/>
    <n v="6.3"/>
    <s v="G2"/>
    <n v="39"/>
    <s v="Bachelor"/>
    <s v="Chennai"/>
    <n v="0"/>
    <n v="38"/>
    <n v="11"/>
    <n v="4"/>
    <n v="12"/>
    <n v="0"/>
    <s v="Band B"/>
    <n v="47900"/>
    <n v="5.9"/>
    <n v="2.9"/>
    <n v="1.8"/>
    <n v="0"/>
    <n v="2.2999999999999998"/>
    <n v="4.0999999999999996"/>
    <n v="4.5"/>
    <s v="Yes"/>
    <n v="0"/>
    <n v="1"/>
    <n v="0.3"/>
    <n v="1"/>
    <x v="0"/>
    <m/>
    <n v="0"/>
    <n v="0"/>
    <x v="0"/>
    <s v="5+ years"/>
    <s v="High"/>
    <s v="3.633333333333333"/>
    <n v="0"/>
    <n v="0"/>
  </r>
  <r>
    <s v="EMP0800"/>
    <s v="Operations"/>
    <x v="3"/>
    <n v="6.2"/>
    <s v="G2"/>
    <n v="34"/>
    <s v="Bachelor"/>
    <s v="Chennai"/>
    <n v="4"/>
    <n v="9.3000000000000007"/>
    <n v="4"/>
    <n v="3"/>
    <n v="12"/>
    <n v="0"/>
    <s v="Band B"/>
    <n v="40000"/>
    <n v="12.7"/>
    <n v="2.8"/>
    <n v="0.2"/>
    <n v="0"/>
    <n v="4"/>
    <n v="1.8"/>
    <n v="1.8"/>
    <s v="Yes"/>
    <n v="0"/>
    <n v="0"/>
    <m/>
    <n v="0"/>
    <x v="0"/>
    <m/>
    <n v="1"/>
    <n v="0"/>
    <x v="1"/>
    <s v="5+ years"/>
    <s v="Low"/>
    <s v="2.533333333333333"/>
    <s v="0.3333333333333333"/>
    <n v="0"/>
  </r>
  <r>
    <s v="EMP0801"/>
    <s v="Operations"/>
    <x v="0"/>
    <n v="3.3"/>
    <s v="G1"/>
    <n v="26"/>
    <s v="Master"/>
    <s v="Coimbatore"/>
    <n v="2"/>
    <n v="19.8"/>
    <n v="15"/>
    <n v="3"/>
    <n v="12"/>
    <n v="0"/>
    <s v="Band A"/>
    <n v="27100"/>
    <n v="8.4"/>
    <n v="3.7"/>
    <n v="0.1"/>
    <n v="0"/>
    <n v="3.3"/>
    <n v="2.8"/>
    <n v="4.3"/>
    <s v="Yes"/>
    <n v="0"/>
    <n v="0"/>
    <m/>
    <n v="0"/>
    <x v="0"/>
    <m/>
    <n v="1"/>
    <n v="0"/>
    <x v="1"/>
    <s v="3â€“5 years"/>
    <s v="Moderate"/>
    <s v="3.4666666666666663"/>
    <s v="0.16666666666666666"/>
    <n v="0"/>
  </r>
  <r>
    <s v="EMP0802"/>
    <s v="Sales"/>
    <x v="8"/>
    <n v="1.3"/>
    <s v="G3"/>
    <n v="29"/>
    <s v="Diploma"/>
    <s v="Bengaluru"/>
    <n v="5"/>
    <n v="14.3"/>
    <n v="10"/>
    <n v="2"/>
    <n v="12"/>
    <n v="0"/>
    <s v="Band B"/>
    <n v="48300"/>
    <n v="0"/>
    <n v="2.4"/>
    <n v="0.8"/>
    <n v="0"/>
    <n v="4.0999999999999996"/>
    <n v="2.9"/>
    <n v="3.2"/>
    <s v="Yes"/>
    <n v="0"/>
    <n v="1"/>
    <n v="1.1000000000000001"/>
    <n v="0"/>
    <x v="0"/>
    <m/>
    <n v="0"/>
    <n v="0"/>
    <x v="0"/>
    <s v="1â€“3 years"/>
    <s v="Moderate"/>
    <n v="3.4"/>
    <s v="0.4166666666666667"/>
    <n v="0"/>
  </r>
  <r>
    <s v="EMP0803"/>
    <s v="Customer Support"/>
    <x v="9"/>
    <n v="4.3"/>
    <s v="G1"/>
    <n v="40"/>
    <s v="Diploma"/>
    <s v="Chennai"/>
    <n v="5"/>
    <n v="5.6"/>
    <n v="6"/>
    <n v="3"/>
    <n v="12"/>
    <n v="0"/>
    <s v="Band A"/>
    <n v="30100"/>
    <n v="12.8"/>
    <n v="4.9000000000000004"/>
    <n v="1.3"/>
    <n v="0"/>
    <n v="2.4"/>
    <n v="3.3"/>
    <n v="2"/>
    <s v="Yes"/>
    <n v="0"/>
    <n v="2"/>
    <n v="2.8"/>
    <n v="2"/>
    <x v="0"/>
    <m/>
    <n v="0"/>
    <n v="0"/>
    <x v="0"/>
    <s v="3â€“5 years"/>
    <s v="Low"/>
    <s v="2.5666666666666664"/>
    <s v="0.4166666666666667"/>
    <n v="0"/>
  </r>
  <r>
    <s v="EMP0804"/>
    <s v="Finance"/>
    <x v="18"/>
    <n v="5.4"/>
    <s v="G4"/>
    <n v="32"/>
    <s v="Diploma"/>
    <s v="Remote"/>
    <n v="2"/>
    <n v="20"/>
    <n v="17"/>
    <n v="1"/>
    <n v="12"/>
    <n v="0"/>
    <s v="Band C"/>
    <n v="74100"/>
    <n v="11.8"/>
    <n v="3.7"/>
    <n v="0.1"/>
    <n v="0"/>
    <n v="2.8"/>
    <n v="3.2"/>
    <n v="3.8"/>
    <s v="Yes"/>
    <n v="0"/>
    <n v="0"/>
    <m/>
    <n v="0"/>
    <x v="0"/>
    <m/>
    <n v="1"/>
    <n v="0"/>
    <x v="1"/>
    <s v="5+ years"/>
    <s v="Moderate"/>
    <s v="3.266666666666667"/>
    <s v="0.16666666666666666"/>
    <n v="0"/>
  </r>
  <r>
    <s v="EMP0805"/>
    <s v="Engineering"/>
    <x v="16"/>
    <n v="5.5"/>
    <s v="G4"/>
    <n v="37"/>
    <s v="Bachelor"/>
    <s v="Chennai"/>
    <n v="3"/>
    <n v="1.6"/>
    <n v="9"/>
    <n v="1"/>
    <n v="12"/>
    <n v="0"/>
    <s v="Band C"/>
    <n v="66700"/>
    <n v="10.4"/>
    <n v="2.5"/>
    <n v="1.9"/>
    <n v="0"/>
    <n v="3"/>
    <n v="3.6"/>
    <n v="4.0999999999999996"/>
    <s v="Yes"/>
    <n v="0"/>
    <n v="1"/>
    <n v="4.2"/>
    <n v="1"/>
    <x v="0"/>
    <m/>
    <n v="0"/>
    <n v="0"/>
    <x v="0"/>
    <s v="5+ years"/>
    <s v="Low"/>
    <s v="3.5666666666666664"/>
    <n v="0.25"/>
    <n v="0"/>
  </r>
  <r>
    <s v="EMP0806"/>
    <s v="Engineering"/>
    <x v="4"/>
    <n v="5"/>
    <s v="G3"/>
    <n v="28"/>
    <s v="Bachelor"/>
    <s v="Bengaluru"/>
    <n v="4"/>
    <n v="18.899999999999999"/>
    <n v="9"/>
    <n v="2"/>
    <n v="12"/>
    <n v="0"/>
    <s v="Band C"/>
    <n v="56100"/>
    <n v="0"/>
    <n v="3.8"/>
    <n v="1.2"/>
    <n v="0"/>
    <n v="2"/>
    <n v="3.1"/>
    <n v="3.1"/>
    <s v="No"/>
    <n v="0"/>
    <n v="2"/>
    <n v="1.5"/>
    <n v="1"/>
    <x v="0"/>
    <m/>
    <n v="0"/>
    <n v="0"/>
    <x v="0"/>
    <s v="3â€“5 years"/>
    <s v="Moderate"/>
    <s v="2.733333333333333"/>
    <s v="0.3333333333333333"/>
    <n v="0"/>
  </r>
  <r>
    <s v="EMP0807"/>
    <s v="Operations"/>
    <x v="6"/>
    <n v="4.8"/>
    <s v="G1"/>
    <n v="31"/>
    <s v="Bachelor"/>
    <s v="Remote"/>
    <n v="4"/>
    <n v="15"/>
    <n v="7"/>
    <n v="0"/>
    <n v="12"/>
    <n v="0"/>
    <s v="Band A"/>
    <n v="27200"/>
    <n v="8"/>
    <n v="4.0999999999999996"/>
    <n v="0.4"/>
    <n v="0"/>
    <n v="3.3"/>
    <n v="4.4000000000000004"/>
    <n v="2.6"/>
    <s v="Yes"/>
    <n v="1"/>
    <n v="0"/>
    <m/>
    <n v="1"/>
    <x v="0"/>
    <m/>
    <n v="1"/>
    <n v="0"/>
    <x v="1"/>
    <s v="3â€“5 years"/>
    <s v="Moderate"/>
    <s v="3.4333333333333336"/>
    <s v="0.3333333333333333"/>
    <n v="0"/>
  </r>
  <r>
    <s v="EMP0808"/>
    <s v="Engineering"/>
    <x v="10"/>
    <n v="2.2000000000000002"/>
    <s v="G2"/>
    <n v="31"/>
    <s v="Bachelor"/>
    <s v="Hyderabad"/>
    <n v="2"/>
    <n v="6.1"/>
    <n v="4"/>
    <n v="1"/>
    <n v="12"/>
    <n v="0"/>
    <s v="Band A"/>
    <n v="26300"/>
    <n v="11.6"/>
    <n v="3.5"/>
    <n v="1.4"/>
    <n v="0"/>
    <n v="3.3"/>
    <n v="4.7"/>
    <n v="4.8"/>
    <s v="Yes"/>
    <n v="1"/>
    <n v="1"/>
    <n v="1.9"/>
    <n v="1"/>
    <x v="0"/>
    <m/>
    <n v="0"/>
    <n v="0"/>
    <x v="0"/>
    <s v="1â€“3 years"/>
    <s v="Low"/>
    <s v="4.266666666666667"/>
    <s v="0.16666666666666666"/>
    <n v="0"/>
  </r>
  <r>
    <s v="EMP0809"/>
    <s v="Finance"/>
    <x v="17"/>
    <n v="2.2999999999999998"/>
    <s v="G2"/>
    <n v="30"/>
    <s v="Bachelor"/>
    <s v="Bengaluru"/>
    <n v="5"/>
    <n v="3.6"/>
    <n v="12"/>
    <n v="1"/>
    <n v="12"/>
    <n v="0"/>
    <s v="Band B"/>
    <n v="41200"/>
    <n v="9.5"/>
    <n v="2.2999999999999998"/>
    <n v="0.1"/>
    <n v="0"/>
    <n v="4.3"/>
    <n v="2.2000000000000002"/>
    <n v="2.9"/>
    <s v="Yes"/>
    <n v="0"/>
    <n v="0"/>
    <m/>
    <n v="0"/>
    <x v="0"/>
    <m/>
    <n v="1"/>
    <n v="0"/>
    <x v="1"/>
    <s v="1â€“3 years"/>
    <s v="Low"/>
    <s v="3.1333333333333333"/>
    <s v="0.4166666666666667"/>
    <n v="0"/>
  </r>
  <r>
    <s v="EMP0810"/>
    <s v="Customer Support"/>
    <x v="5"/>
    <n v="1.4"/>
    <s v="G3"/>
    <n v="24"/>
    <s v="Diploma"/>
    <s v="Bengaluru"/>
    <n v="4"/>
    <n v="6.6"/>
    <n v="8"/>
    <n v="4"/>
    <n v="12"/>
    <n v="0"/>
    <s v="Band C"/>
    <n v="55600"/>
    <n v="8.8000000000000007"/>
    <n v="5"/>
    <n v="0.9"/>
    <n v="0"/>
    <n v="3.7"/>
    <n v="3.2"/>
    <n v="4.3"/>
    <s v="Yes"/>
    <n v="0"/>
    <n v="1"/>
    <n v="1.2"/>
    <n v="1"/>
    <x v="0"/>
    <m/>
    <n v="0"/>
    <n v="0"/>
    <x v="0"/>
    <s v="1â€“3 years"/>
    <s v="Low"/>
    <s v="3.733333333333333"/>
    <s v="0.3333333333333333"/>
    <n v="0"/>
  </r>
  <r>
    <s v="EMP0811"/>
    <s v="Engineering"/>
    <x v="12"/>
    <n v="7.5"/>
    <s v="G4"/>
    <n v="30"/>
    <s v="Master"/>
    <s v="Chennai"/>
    <n v="3"/>
    <n v="5.2"/>
    <n v="12"/>
    <n v="2"/>
    <n v="12"/>
    <n v="0"/>
    <s v="Band D"/>
    <n v="77600"/>
    <n v="11.6"/>
    <n v="3.8"/>
    <n v="1"/>
    <n v="0"/>
    <n v="3.1"/>
    <n v="3.9"/>
    <n v="2.2000000000000002"/>
    <s v="Yes"/>
    <n v="0"/>
    <n v="2"/>
    <n v="7"/>
    <n v="1"/>
    <x v="0"/>
    <m/>
    <n v="0"/>
    <n v="0"/>
    <x v="0"/>
    <s v="5+ years"/>
    <s v="Low"/>
    <s v="3.0666666666666664"/>
    <n v="0.25"/>
    <n v="0"/>
  </r>
  <r>
    <s v="EMP0812"/>
    <s v="Engineering"/>
    <x v="10"/>
    <n v="12.1"/>
    <s v="G2"/>
    <n v="42"/>
    <s v="Bachelor"/>
    <s v="Chennai"/>
    <n v="1"/>
    <n v="8"/>
    <n v="11"/>
    <n v="3"/>
    <n v="12"/>
    <n v="0"/>
    <s v="Band B"/>
    <n v="41400"/>
    <n v="8.6"/>
    <n v="2.1"/>
    <n v="1.3"/>
    <n v="0"/>
    <n v="3.6"/>
    <n v="3.7"/>
    <n v="3.7"/>
    <s v="Yes"/>
    <n v="0"/>
    <n v="0"/>
    <m/>
    <n v="0"/>
    <x v="0"/>
    <m/>
    <n v="1"/>
    <n v="0"/>
    <x v="1"/>
    <s v="5+ years"/>
    <s v="Low"/>
    <s v="3.6666666666666665"/>
    <n v="8.3333333333333301E-2"/>
    <n v="0"/>
  </r>
  <r>
    <s v="EMP0813"/>
    <s v="Customer Support"/>
    <x v="5"/>
    <n v="19.7"/>
    <s v="G4"/>
    <n v="50"/>
    <s v="Bachelor"/>
    <s v="Coimbatore"/>
    <n v="5"/>
    <n v="7.3"/>
    <n v="15"/>
    <n v="4"/>
    <n v="12"/>
    <n v="0"/>
    <s v="Band D"/>
    <n v="87800"/>
    <n v="12.8"/>
    <n v="3.4"/>
    <n v="1.5"/>
    <n v="0"/>
    <n v="3.6"/>
    <n v="2.8"/>
    <n v="3.7"/>
    <s v="Yes"/>
    <n v="0"/>
    <n v="0"/>
    <m/>
    <n v="0"/>
    <x v="0"/>
    <m/>
    <n v="1"/>
    <n v="0"/>
    <x v="1"/>
    <s v="5+ years"/>
    <s v="Low"/>
    <s v="3.366666666666667"/>
    <s v="0.4166666666666667"/>
    <n v="0"/>
  </r>
  <r>
    <s v="EMP0814"/>
    <s v="Finance"/>
    <x v="17"/>
    <n v="4.5"/>
    <s v="G1"/>
    <n v="37"/>
    <s v="Bachelor"/>
    <s v="Chennai"/>
    <n v="3"/>
    <n v="6.1"/>
    <n v="10"/>
    <n v="2"/>
    <n v="12"/>
    <n v="0"/>
    <s v="Band A"/>
    <n v="31900"/>
    <n v="8.6"/>
    <n v="3"/>
    <n v="2.5"/>
    <n v="0"/>
    <n v="2.9"/>
    <n v="3.4"/>
    <n v="4.0999999999999996"/>
    <s v="Yes"/>
    <n v="0"/>
    <n v="1"/>
    <n v="1.1000000000000001"/>
    <n v="0"/>
    <x v="0"/>
    <m/>
    <n v="0"/>
    <n v="0"/>
    <x v="0"/>
    <s v="3â€“5 years"/>
    <s v="Low"/>
    <s v="3.4666666666666663"/>
    <n v="0.25"/>
    <n v="0"/>
  </r>
  <r>
    <s v="EMP0815"/>
    <s v="Engineering"/>
    <x v="16"/>
    <n v="4.8"/>
    <s v="G2"/>
    <n v="38"/>
    <s v="Bachelor"/>
    <s v="Chennai"/>
    <n v="5"/>
    <n v="1.5"/>
    <n v="7"/>
    <n v="0"/>
    <n v="12"/>
    <n v="0"/>
    <s v="Band B"/>
    <n v="36600"/>
    <n v="8.3000000000000007"/>
    <n v="3.2"/>
    <n v="1.3"/>
    <n v="0"/>
    <n v="3.6"/>
    <n v="1.8"/>
    <n v="4.5999999999999996"/>
    <s v="Yes"/>
    <n v="0"/>
    <n v="0"/>
    <m/>
    <n v="0"/>
    <x v="0"/>
    <m/>
    <n v="1"/>
    <n v="0"/>
    <x v="1"/>
    <s v="3â€“5 years"/>
    <s v="Low"/>
    <s v="3.3333333333333335"/>
    <s v="0.4166666666666667"/>
    <n v="0"/>
  </r>
  <r>
    <s v="EMP0816"/>
    <s v="Customer Support"/>
    <x v="5"/>
    <n v="3.4"/>
    <s v="G1"/>
    <n v="30"/>
    <s v="Master"/>
    <s v="Chennai"/>
    <n v="2"/>
    <n v="3.1"/>
    <n v="8"/>
    <n v="1"/>
    <n v="12"/>
    <n v="0"/>
    <s v="Band A"/>
    <n v="31500"/>
    <n v="11.6"/>
    <n v="2.1"/>
    <n v="0.2"/>
    <n v="0"/>
    <n v="4"/>
    <n v="3.2"/>
    <n v="2.7"/>
    <s v="Yes"/>
    <n v="0"/>
    <n v="1"/>
    <n v="1.3"/>
    <n v="1"/>
    <x v="0"/>
    <m/>
    <n v="0"/>
    <n v="0"/>
    <x v="0"/>
    <s v="3â€“5 years"/>
    <s v="Low"/>
    <s v="3.3000000000000003"/>
    <s v="0.16666666666666666"/>
    <n v="0"/>
  </r>
  <r>
    <s v="EMP0817"/>
    <s v="Customer Support"/>
    <x v="9"/>
    <n v="4.4000000000000004"/>
    <s v="G3"/>
    <n v="29"/>
    <s v="Bachelor"/>
    <s v="Remote"/>
    <n v="2"/>
    <n v="22.4"/>
    <n v="8"/>
    <n v="2"/>
    <n v="12"/>
    <n v="0"/>
    <s v="Band B"/>
    <n v="44300"/>
    <n v="6.4"/>
    <n v="3.2"/>
    <n v="0.5"/>
    <n v="0"/>
    <n v="2.4"/>
    <n v="1.9"/>
    <n v="3.4"/>
    <s v="Yes"/>
    <n v="1"/>
    <n v="0"/>
    <m/>
    <n v="0"/>
    <x v="0"/>
    <m/>
    <n v="1"/>
    <n v="0"/>
    <x v="1"/>
    <s v="3â€“5 years"/>
    <s v="High"/>
    <s v="2.5666666666666664"/>
    <s v="0.16666666666666666"/>
    <n v="0"/>
  </r>
  <r>
    <s v="EMP0818"/>
    <s v="Finance"/>
    <x v="17"/>
    <n v="1.8"/>
    <s v="G1"/>
    <n v="33"/>
    <s v="Bachelor"/>
    <s v="Hyderabad"/>
    <n v="3"/>
    <n v="6.3"/>
    <n v="8"/>
    <n v="4"/>
    <n v="12"/>
    <n v="0"/>
    <s v="Band A"/>
    <n v="28600"/>
    <n v="3.6"/>
    <n v="2.5"/>
    <n v="0.1"/>
    <n v="0"/>
    <n v="3.6"/>
    <n v="3.7"/>
    <n v="2.2999999999999998"/>
    <s v="Yes"/>
    <n v="0"/>
    <n v="1"/>
    <m/>
    <n v="0"/>
    <x v="0"/>
    <m/>
    <n v="1"/>
    <n v="0"/>
    <x v="0"/>
    <s v="1â€“3 years"/>
    <s v="Low"/>
    <s v="3.2000000000000006"/>
    <n v="0.25"/>
    <n v="0"/>
  </r>
  <r>
    <s v="EMP0819"/>
    <s v="Operations"/>
    <x v="6"/>
    <n v="3.4"/>
    <s v="G2"/>
    <n v="32"/>
    <s v="Master"/>
    <s v="Hyderabad"/>
    <n v="4"/>
    <n v="8.1999999999999993"/>
    <n v="6"/>
    <n v="2"/>
    <n v="12"/>
    <n v="0"/>
    <s v="Band B"/>
    <n v="38900"/>
    <n v="8"/>
    <n v="2.9"/>
    <n v="5.7"/>
    <n v="0"/>
    <n v="1"/>
    <n v="2.2000000000000002"/>
    <n v="2.2999999999999998"/>
    <s v="Yes"/>
    <n v="0"/>
    <n v="1"/>
    <n v="1.7"/>
    <n v="0"/>
    <x v="0"/>
    <m/>
    <n v="0"/>
    <n v="0"/>
    <x v="0"/>
    <s v="3â€“5 years"/>
    <s v="Low"/>
    <s v="1.8333333333333333"/>
    <s v="0.3333333333333333"/>
    <n v="0"/>
  </r>
  <r>
    <s v="EMP0820"/>
    <s v="Sales"/>
    <x v="14"/>
    <n v="2"/>
    <s v="G4"/>
    <n v="24"/>
    <s v="Master"/>
    <s v="Bengaluru"/>
    <n v="6"/>
    <n v="6.9"/>
    <n v="10"/>
    <n v="3"/>
    <n v="12"/>
    <n v="0"/>
    <s v="Band D"/>
    <n v="78400"/>
    <n v="10.4"/>
    <n v="3.5"/>
    <n v="5.0999999999999996"/>
    <n v="0"/>
    <n v="1.6"/>
    <n v="3.3"/>
    <n v="2.9"/>
    <s v="Yes"/>
    <n v="0"/>
    <n v="1"/>
    <n v="0.3"/>
    <n v="0"/>
    <x v="0"/>
    <m/>
    <n v="0"/>
    <n v="0"/>
    <x v="0"/>
    <s v="1â€“3 years"/>
    <s v="Low"/>
    <n v="2.6"/>
    <n v="0.5"/>
    <n v="0"/>
  </r>
  <r>
    <s v="EMP0821"/>
    <s v="Engineering"/>
    <x v="12"/>
    <n v="3.1"/>
    <s v="G3"/>
    <n v="25"/>
    <s v="Master"/>
    <s v="Chennai"/>
    <n v="1"/>
    <n v="28.2"/>
    <n v="8"/>
    <n v="1"/>
    <n v="12"/>
    <n v="0"/>
    <s v="Band B"/>
    <n v="47000"/>
    <n v="11.7"/>
    <n v="2.8"/>
    <n v="0.2"/>
    <n v="0"/>
    <n v="3.8"/>
    <n v="3.5"/>
    <n v="3.7"/>
    <s v="Yes"/>
    <n v="0"/>
    <n v="0"/>
    <m/>
    <n v="1"/>
    <x v="0"/>
    <m/>
    <n v="1"/>
    <n v="0"/>
    <x v="1"/>
    <s v="3â€“5 years"/>
    <s v="High"/>
    <s v="3.6666666666666665"/>
    <n v="8.3333333333333301E-2"/>
    <n v="0"/>
  </r>
  <r>
    <s v="EMP0822"/>
    <s v="Finance"/>
    <x v="17"/>
    <n v="2.1"/>
    <s v="G1"/>
    <n v="30"/>
    <s v="Bachelor"/>
    <s v="Chennai"/>
    <n v="1"/>
    <n v="5.0999999999999996"/>
    <n v="7"/>
    <n v="2"/>
    <n v="12"/>
    <n v="0"/>
    <s v="Band A"/>
    <n v="25300"/>
    <n v="11.7"/>
    <n v="2.9"/>
    <n v="2.9"/>
    <n v="0"/>
    <n v="3.3"/>
    <n v="3.3"/>
    <n v="4.7"/>
    <s v="Yes"/>
    <n v="1"/>
    <n v="1"/>
    <n v="0.7"/>
    <n v="0"/>
    <x v="0"/>
    <m/>
    <n v="0"/>
    <n v="0"/>
    <x v="0"/>
    <s v="1â€“3 years"/>
    <s v="Low"/>
    <s v="3.766666666666667"/>
    <n v="8.3333333333333301E-2"/>
    <n v="0"/>
  </r>
  <r>
    <s v="EMP0823"/>
    <s v="Sales"/>
    <x v="13"/>
    <n v="5.4"/>
    <s v="G1"/>
    <n v="31"/>
    <s v="Bachelor"/>
    <s v="Bengaluru"/>
    <n v="2"/>
    <n v="4.7"/>
    <n v="6"/>
    <n v="3"/>
    <n v="12"/>
    <n v="0"/>
    <s v="Band A"/>
    <n v="24500"/>
    <n v="7.7"/>
    <n v="3.9"/>
    <n v="1.9"/>
    <n v="0"/>
    <n v="2.5"/>
    <n v="2.6"/>
    <n v="4.9000000000000004"/>
    <s v="Yes"/>
    <n v="0"/>
    <n v="0"/>
    <m/>
    <n v="1"/>
    <x v="0"/>
    <m/>
    <n v="1"/>
    <n v="0"/>
    <x v="1"/>
    <s v="5+ years"/>
    <s v="Low"/>
    <s v="3.3333333333333335"/>
    <s v="0.16666666666666666"/>
    <n v="0"/>
  </r>
  <r>
    <s v="EMP0824"/>
    <s v="Operations"/>
    <x v="0"/>
    <n v="5.9"/>
    <s v="G2"/>
    <n v="32"/>
    <s v="Master"/>
    <s v="Bengaluru"/>
    <n v="1"/>
    <n v="15.3"/>
    <n v="7"/>
    <n v="3"/>
    <n v="12"/>
    <n v="0"/>
    <s v="Band B"/>
    <n v="37500"/>
    <n v="7.3"/>
    <n v="2.4"/>
    <n v="3.3"/>
    <n v="0"/>
    <n v="3.3"/>
    <n v="3"/>
    <n v="3.1"/>
    <s v="Yes"/>
    <n v="0"/>
    <n v="1"/>
    <m/>
    <n v="0"/>
    <x v="0"/>
    <m/>
    <n v="1"/>
    <n v="0"/>
    <x v="0"/>
    <s v="5+ years"/>
    <s v="Moderate"/>
    <s v="3.1333333333333333"/>
    <n v="8.3333333333333301E-2"/>
    <n v="0"/>
  </r>
  <r>
    <s v="EMP0825"/>
    <s v="Customer Support"/>
    <x v="2"/>
    <n v="4.7"/>
    <s v="G2"/>
    <n v="35"/>
    <s v="Bachelor"/>
    <s v="Coimbatore"/>
    <n v="3"/>
    <n v="11.8"/>
    <n v="4"/>
    <n v="3"/>
    <n v="12"/>
    <n v="0"/>
    <s v="Band B"/>
    <n v="40800"/>
    <n v="5.6"/>
    <n v="2.6"/>
    <n v="0.5"/>
    <n v="0"/>
    <n v="2.9"/>
    <n v="4.3"/>
    <n v="3.6"/>
    <s v="Yes"/>
    <n v="0"/>
    <n v="1"/>
    <n v="3.4"/>
    <n v="0"/>
    <x v="0"/>
    <m/>
    <n v="0"/>
    <n v="0"/>
    <x v="0"/>
    <s v="3â€“5 years"/>
    <s v="Moderate"/>
    <s v="3.5999999999999996"/>
    <n v="0.25"/>
    <n v="0"/>
  </r>
  <r>
    <s v="EMP0826"/>
    <s v="Engineering"/>
    <x v="4"/>
    <n v="2.2999999999999998"/>
    <s v="G1"/>
    <n v="31"/>
    <s v="Master"/>
    <s v="Coimbatore"/>
    <n v="2"/>
    <n v="15.6"/>
    <n v="8"/>
    <n v="2"/>
    <n v="12"/>
    <n v="0"/>
    <s v="Band A"/>
    <n v="22100"/>
    <n v="9"/>
    <n v="2.1"/>
    <n v="1.9"/>
    <n v="0"/>
    <n v="2.4"/>
    <n v="2.8"/>
    <n v="4.2"/>
    <s v="Yes"/>
    <n v="0"/>
    <n v="0"/>
    <m/>
    <n v="1"/>
    <x v="0"/>
    <m/>
    <n v="1"/>
    <n v="0"/>
    <x v="1"/>
    <s v="1â€“3 years"/>
    <s v="Moderate"/>
    <s v="3.133333333333333"/>
    <s v="0.16666666666666666"/>
    <n v="0"/>
  </r>
  <r>
    <s v="EMP0827"/>
    <s v="Finance"/>
    <x v="11"/>
    <n v="1.3"/>
    <s v="G3"/>
    <n v="33"/>
    <s v="Master"/>
    <s v="Coimbatore"/>
    <n v="3"/>
    <n v="14.9"/>
    <n v="10"/>
    <n v="1"/>
    <n v="12"/>
    <n v="0"/>
    <s v="Band B"/>
    <n v="49200"/>
    <n v="1.4"/>
    <n v="2.5"/>
    <n v="0.6"/>
    <n v="0"/>
    <n v="1.8"/>
    <n v="3.2"/>
    <n v="4"/>
    <s v="Yes"/>
    <n v="0"/>
    <n v="0"/>
    <m/>
    <n v="0"/>
    <x v="0"/>
    <m/>
    <n v="1"/>
    <n v="0"/>
    <x v="1"/>
    <s v="1â€“3 years"/>
    <s v="Moderate"/>
    <n v="3"/>
    <n v="0.25"/>
    <n v="0"/>
  </r>
  <r>
    <s v="EMP0828"/>
    <s v="Engineering"/>
    <x v="4"/>
    <n v="5.9"/>
    <s v="G2"/>
    <n v="24"/>
    <s v="Bachelor"/>
    <s v="Chennai"/>
    <n v="3"/>
    <n v="20.399999999999999"/>
    <n v="7"/>
    <n v="1"/>
    <n v="12"/>
    <n v="0"/>
    <s v="Band B"/>
    <n v="43200"/>
    <n v="8.1"/>
    <n v="3.3"/>
    <n v="0.4"/>
    <n v="0"/>
    <n v="1.5"/>
    <n v="2.7"/>
    <n v="3.3"/>
    <s v="Yes"/>
    <n v="0"/>
    <n v="0"/>
    <m/>
    <n v="0"/>
    <x v="0"/>
    <m/>
    <n v="1"/>
    <n v="0"/>
    <x v="1"/>
    <s v="5+ years"/>
    <s v="High"/>
    <n v="2.5"/>
    <n v="0.25"/>
    <n v="0"/>
  </r>
  <r>
    <s v="EMP0829"/>
    <s v="Customer Support"/>
    <x v="2"/>
    <n v="3.8"/>
    <s v="G3"/>
    <n v="31"/>
    <s v="Bachelor"/>
    <s v="Chennai"/>
    <n v="3"/>
    <n v="2.6"/>
    <n v="6"/>
    <n v="0"/>
    <n v="12"/>
    <n v="0"/>
    <s v="Band C"/>
    <n v="52700"/>
    <n v="19.399999999999999"/>
    <n v="3.8"/>
    <n v="1.4"/>
    <n v="0"/>
    <n v="4"/>
    <n v="4.0999999999999996"/>
    <n v="3.5"/>
    <s v="Yes"/>
    <n v="0"/>
    <n v="2"/>
    <n v="1.9"/>
    <n v="0"/>
    <x v="0"/>
    <m/>
    <n v="0"/>
    <n v="0"/>
    <x v="0"/>
    <s v="3â€“5 years"/>
    <s v="Low"/>
    <s v="3.8666666666666667"/>
    <n v="0.25"/>
    <n v="0"/>
  </r>
  <r>
    <s v="EMP0830"/>
    <s v="Sales"/>
    <x v="13"/>
    <n v="0.7"/>
    <s v="G2"/>
    <n v="29"/>
    <s v="Bachelor"/>
    <s v="Coimbatore"/>
    <n v="5"/>
    <n v="14.2"/>
    <n v="14"/>
    <n v="2"/>
    <n v="12"/>
    <n v="0"/>
    <s v="Band B"/>
    <n v="38300"/>
    <n v="2"/>
    <n v="2.5"/>
    <n v="2.5"/>
    <n v="0"/>
    <n v="2.9"/>
    <n v="3.3"/>
    <n v="3.3"/>
    <s v="Yes"/>
    <n v="0"/>
    <n v="0"/>
    <m/>
    <n v="0"/>
    <x v="0"/>
    <m/>
    <n v="1"/>
    <n v="0"/>
    <x v="1"/>
    <s v="0â€“1 years"/>
    <s v="Moderate"/>
    <s v="3.1666666666666665"/>
    <s v="0.4166666666666667"/>
    <n v="0"/>
  </r>
  <r>
    <s v="EMP0831"/>
    <s v="Operations"/>
    <x v="0"/>
    <n v="4.2"/>
    <s v="G1"/>
    <n v="24"/>
    <s v="Bachelor"/>
    <s v="Bengaluru"/>
    <n v="5"/>
    <n v="4.8"/>
    <n v="5"/>
    <n v="2"/>
    <n v="12"/>
    <n v="0"/>
    <s v="Band A"/>
    <n v="23700"/>
    <n v="8.6"/>
    <n v="3.7"/>
    <n v="2.2999999999999998"/>
    <n v="0"/>
    <n v="4.2"/>
    <n v="2.5"/>
    <n v="3.2"/>
    <s v="No"/>
    <n v="0"/>
    <n v="0"/>
    <m/>
    <n v="0"/>
    <x v="0"/>
    <m/>
    <n v="1"/>
    <n v="0"/>
    <x v="1"/>
    <s v="3â€“5 years"/>
    <s v="Low"/>
    <s v="3.3000000000000003"/>
    <s v="0.4166666666666667"/>
    <n v="0"/>
  </r>
  <r>
    <s v="EMP0832"/>
    <s v="Finance"/>
    <x v="17"/>
    <n v="4.9000000000000004"/>
    <s v="G1"/>
    <n v="28"/>
    <s v="Bachelor"/>
    <s v="Remote"/>
    <n v="5"/>
    <n v="1"/>
    <n v="13"/>
    <n v="1"/>
    <n v="12"/>
    <n v="0"/>
    <s v="Band A"/>
    <n v="28900"/>
    <n v="9.5"/>
    <n v="3.3"/>
    <n v="3.1"/>
    <n v="0"/>
    <n v="2.9"/>
    <n v="3.3"/>
    <n v="3.1"/>
    <s v="Yes"/>
    <n v="1"/>
    <n v="0"/>
    <m/>
    <n v="0"/>
    <x v="0"/>
    <m/>
    <n v="1"/>
    <n v="0"/>
    <x v="1"/>
    <s v="3â€“5 years"/>
    <s v="Low"/>
    <s v="3.0999999999999996"/>
    <s v="0.4166666666666667"/>
    <n v="0"/>
  </r>
  <r>
    <s v="EMP0833"/>
    <s v="Sales"/>
    <x v="13"/>
    <n v="1"/>
    <s v="G2"/>
    <n v="24"/>
    <s v="Master"/>
    <s v="Coimbatore"/>
    <n v="1"/>
    <n v="14.8"/>
    <n v="9"/>
    <n v="2"/>
    <n v="12"/>
    <n v="0"/>
    <s v="Band B"/>
    <n v="38100"/>
    <n v="10"/>
    <n v="2"/>
    <n v="0.6"/>
    <n v="0"/>
    <n v="3.6"/>
    <n v="3"/>
    <n v="3.3"/>
    <s v="Yes"/>
    <n v="0"/>
    <n v="0"/>
    <m/>
    <n v="1"/>
    <x v="0"/>
    <m/>
    <n v="1"/>
    <n v="0"/>
    <x v="1"/>
    <s v="0â€“1 years"/>
    <s v="Moderate"/>
    <s v="3.2999999999999994"/>
    <n v="8.3333333333333301E-2"/>
    <n v="0"/>
  </r>
  <r>
    <s v="EMP0834"/>
    <s v="Operations"/>
    <x v="3"/>
    <n v="5.5"/>
    <s v="G1"/>
    <n v="32"/>
    <s v="Bachelor"/>
    <s v="Bengaluru"/>
    <n v="3"/>
    <n v="14.1"/>
    <n v="14"/>
    <n v="5"/>
    <n v="12"/>
    <n v="0"/>
    <s v="Band A"/>
    <n v="28900"/>
    <n v="4.0999999999999996"/>
    <n v="3.4"/>
    <n v="5.0999999999999996"/>
    <n v="0"/>
    <n v="3.2"/>
    <n v="4.5"/>
    <n v="3.1"/>
    <s v="No"/>
    <n v="0"/>
    <n v="0"/>
    <m/>
    <n v="0"/>
    <x v="1"/>
    <d v="2024-04-21T00:00:00"/>
    <n v="1"/>
    <n v="0"/>
    <x v="1"/>
    <s v="5+ years"/>
    <s v="Moderate"/>
    <n v="3.6"/>
    <n v="0.25"/>
    <n v="1"/>
  </r>
  <r>
    <s v="EMP0835"/>
    <s v="Operations"/>
    <x v="3"/>
    <n v="1.1000000000000001"/>
    <s v="G2"/>
    <n v="34"/>
    <s v="Master"/>
    <s v="Hyderabad"/>
    <n v="3"/>
    <n v="10"/>
    <n v="12"/>
    <n v="4"/>
    <n v="12"/>
    <n v="0"/>
    <s v="Band B"/>
    <n v="38700"/>
    <n v="10.1"/>
    <n v="4.3"/>
    <n v="1.4"/>
    <n v="0"/>
    <n v="3.3"/>
    <n v="3.2"/>
    <n v="2.5"/>
    <s v="Yes"/>
    <n v="0"/>
    <n v="0"/>
    <m/>
    <n v="1"/>
    <x v="1"/>
    <d v="2026-09-17T00:00:00"/>
    <n v="1"/>
    <n v="0"/>
    <x v="1"/>
    <s v="1â€“3 years"/>
    <s v="Low"/>
    <n v="3"/>
    <n v="0.25"/>
    <n v="1"/>
  </r>
  <r>
    <s v="EMP0836"/>
    <s v="Finance"/>
    <x v="11"/>
    <n v="2.1"/>
    <s v="G4"/>
    <n v="36"/>
    <s v="Bachelor"/>
    <s v="Chennai"/>
    <n v="1"/>
    <n v="20.6"/>
    <n v="9"/>
    <n v="2"/>
    <n v="12"/>
    <n v="0"/>
    <s v="Band C"/>
    <n v="67500"/>
    <n v="5.9"/>
    <n v="1.5"/>
    <n v="0.3"/>
    <n v="0"/>
    <n v="3.4"/>
    <n v="2"/>
    <n v="4.0999999999999996"/>
    <s v="Yes"/>
    <n v="0"/>
    <n v="0"/>
    <m/>
    <n v="0"/>
    <x v="0"/>
    <m/>
    <n v="1"/>
    <n v="0"/>
    <x v="1"/>
    <s v="1â€“3 years"/>
    <s v="High"/>
    <s v="3.1666666666666665"/>
    <n v="8.3333333333333301E-2"/>
    <n v="0"/>
  </r>
  <r>
    <s v="EMP0837"/>
    <s v="Operations"/>
    <x v="0"/>
    <n v="1.1000000000000001"/>
    <s v="G4"/>
    <n v="24"/>
    <s v="Master"/>
    <s v="Bengaluru"/>
    <n v="2"/>
    <n v="4.8"/>
    <n v="10"/>
    <n v="3"/>
    <n v="12"/>
    <n v="0"/>
    <s v="Band C"/>
    <n v="66200"/>
    <n v="2.2999999999999998"/>
    <n v="5"/>
    <n v="2.9"/>
    <n v="0"/>
    <n v="2.9"/>
    <n v="3.6"/>
    <n v="3.8"/>
    <s v="Yes"/>
    <n v="0"/>
    <n v="1"/>
    <n v="0.3"/>
    <n v="1"/>
    <x v="0"/>
    <m/>
    <n v="0"/>
    <n v="0"/>
    <x v="0"/>
    <s v="1â€“3 years"/>
    <s v="Low"/>
    <s v="3.4333333333333336"/>
    <s v="0.16666666666666666"/>
    <n v="0"/>
  </r>
  <r>
    <s v="EMP0838"/>
    <s v="Customer Support"/>
    <x v="9"/>
    <n v="1.9"/>
    <s v="G2"/>
    <n v="30"/>
    <s v="Bachelor"/>
    <s v="Coimbatore"/>
    <n v="1"/>
    <n v="16.7"/>
    <n v="7"/>
    <n v="2"/>
    <n v="12"/>
    <n v="0"/>
    <s v="Band A"/>
    <n v="33300"/>
    <n v="11.8"/>
    <n v="2.7"/>
    <n v="1.2"/>
    <n v="0"/>
    <n v="2.2000000000000002"/>
    <n v="4.8"/>
    <n v="4.9000000000000004"/>
    <s v="Yes"/>
    <n v="0"/>
    <n v="0"/>
    <m/>
    <n v="0"/>
    <x v="0"/>
    <m/>
    <n v="1"/>
    <n v="0"/>
    <x v="1"/>
    <s v="1â€“3 years"/>
    <s v="Moderate"/>
    <s v="3.966666666666667"/>
    <n v="8.3333333333333301E-2"/>
    <n v="0"/>
  </r>
  <r>
    <s v="EMP0839"/>
    <s v="Sales"/>
    <x v="13"/>
    <n v="1.3"/>
    <s v="G3"/>
    <n v="30"/>
    <s v="Master"/>
    <s v="Bengaluru"/>
    <n v="1"/>
    <n v="8.8000000000000007"/>
    <n v="8"/>
    <n v="0"/>
    <n v="12"/>
    <n v="0"/>
    <s v="Band C"/>
    <n v="58100"/>
    <n v="10.7"/>
    <n v="1.7"/>
    <n v="0.7"/>
    <n v="0"/>
    <n v="4"/>
    <n v="4.3"/>
    <n v="3.7"/>
    <s v="Yes"/>
    <n v="0"/>
    <n v="0"/>
    <m/>
    <n v="1"/>
    <x v="0"/>
    <m/>
    <n v="1"/>
    <n v="0"/>
    <x v="1"/>
    <s v="1â€“3 years"/>
    <s v="Low"/>
    <n v="4"/>
    <n v="8.3333333333333301E-2"/>
    <n v="0"/>
  </r>
  <r>
    <s v="EMP0840"/>
    <s v="Finance"/>
    <x v="17"/>
    <n v="7.4"/>
    <s v="G3"/>
    <n v="35"/>
    <s v="Master"/>
    <s v="Chennai"/>
    <n v="1"/>
    <n v="9.4"/>
    <n v="9"/>
    <n v="2"/>
    <n v="12"/>
    <n v="0"/>
    <s v="Band B"/>
    <n v="47900"/>
    <n v="4.0999999999999996"/>
    <n v="3.3"/>
    <n v="1.2"/>
    <n v="0"/>
    <n v="4.7"/>
    <n v="2.2000000000000002"/>
    <n v="3.1"/>
    <s v="Yes"/>
    <n v="0"/>
    <n v="1"/>
    <n v="0.2"/>
    <n v="0"/>
    <x v="0"/>
    <m/>
    <n v="0"/>
    <n v="0"/>
    <x v="0"/>
    <s v="5+ years"/>
    <s v="Low"/>
    <s v="3.3333333333333335"/>
    <n v="8.3333333333333301E-2"/>
    <n v="0"/>
  </r>
  <r>
    <s v="EMP0841"/>
    <s v="Engineering"/>
    <x v="10"/>
    <n v="3.2"/>
    <s v="G4"/>
    <n v="31"/>
    <s v="Bachelor"/>
    <s v="Remote"/>
    <n v="3"/>
    <n v="1.2"/>
    <n v="8"/>
    <n v="0"/>
    <n v="12"/>
    <n v="0"/>
    <s v="Band C"/>
    <n v="72600"/>
    <n v="5.8"/>
    <n v="3.9"/>
    <n v="0.1"/>
    <n v="0"/>
    <n v="4.8"/>
    <n v="3"/>
    <n v="2.9"/>
    <s v="Yes"/>
    <n v="0"/>
    <n v="0"/>
    <m/>
    <n v="0"/>
    <x v="0"/>
    <m/>
    <n v="1"/>
    <n v="0"/>
    <x v="1"/>
    <s v="3â€“5 years"/>
    <s v="Low"/>
    <s v="3.5666666666666664"/>
    <n v="0.25"/>
    <n v="0"/>
  </r>
  <r>
    <s v="EMP0842"/>
    <s v="Operations"/>
    <x v="0"/>
    <n v="2.7"/>
    <s v="G2"/>
    <n v="30"/>
    <s v="Bachelor"/>
    <s v="Remote"/>
    <n v="3"/>
    <n v="20.8"/>
    <n v="7"/>
    <n v="1"/>
    <n v="12"/>
    <n v="0"/>
    <s v="Band B"/>
    <n v="46800"/>
    <n v="5.7"/>
    <n v="2.9"/>
    <n v="4.3"/>
    <n v="0"/>
    <n v="2.8"/>
    <n v="3.2"/>
    <n v="3.4"/>
    <s v="Yes"/>
    <n v="0"/>
    <n v="2"/>
    <n v="1.6"/>
    <n v="0"/>
    <x v="0"/>
    <m/>
    <n v="0"/>
    <n v="0"/>
    <x v="0"/>
    <s v="1â€“3 years"/>
    <s v="High"/>
    <s v="3.1333333333333333"/>
    <n v="0.25"/>
    <n v="0"/>
  </r>
  <r>
    <s v="EMP0843"/>
    <s v="Finance"/>
    <x v="17"/>
    <n v="7.9"/>
    <s v="G2"/>
    <n v="41"/>
    <s v="Master"/>
    <s v="Chennai"/>
    <n v="6"/>
    <n v="13.7"/>
    <n v="9"/>
    <n v="2"/>
    <n v="12"/>
    <n v="0"/>
    <s v="Band B"/>
    <n v="46800"/>
    <n v="1.4"/>
    <n v="3.5"/>
    <n v="2.1"/>
    <n v="0"/>
    <n v="2.6"/>
    <n v="3.2"/>
    <n v="3.8"/>
    <s v="Yes"/>
    <n v="0"/>
    <n v="0"/>
    <m/>
    <n v="0"/>
    <x v="1"/>
    <d v="2025-10-18T00:00:00"/>
    <n v="1"/>
    <n v="0"/>
    <x v="1"/>
    <s v="5+ years"/>
    <s v="Moderate"/>
    <s v="3.2000000000000006"/>
    <n v="0.5"/>
    <n v="1"/>
  </r>
  <r>
    <s v="EMP0844"/>
    <s v="Sales"/>
    <x v="8"/>
    <n v="7.6"/>
    <s v="G2"/>
    <n v="38"/>
    <s v="Bachelor"/>
    <s v="Chennai"/>
    <n v="2"/>
    <n v="16.2"/>
    <n v="8"/>
    <n v="0"/>
    <n v="12"/>
    <n v="0"/>
    <s v="Band B"/>
    <n v="43700"/>
    <n v="11"/>
    <n v="5"/>
    <n v="1.4"/>
    <n v="0"/>
    <n v="2.8"/>
    <n v="3.5"/>
    <n v="3.2"/>
    <s v="Yes"/>
    <n v="0"/>
    <n v="1"/>
    <n v="0.1"/>
    <n v="0"/>
    <x v="0"/>
    <m/>
    <n v="0"/>
    <n v="0"/>
    <x v="0"/>
    <s v="5+ years"/>
    <s v="Moderate"/>
    <s v="3.1666666666666665"/>
    <s v="0.16666666666666666"/>
    <n v="0"/>
  </r>
  <r>
    <s v="EMP0845"/>
    <s v="Engineering"/>
    <x v="10"/>
    <n v="2.9"/>
    <s v="G1"/>
    <n v="25"/>
    <s v="Master"/>
    <s v="Chennai"/>
    <n v="2"/>
    <n v="105"/>
    <n v="8"/>
    <n v="4"/>
    <n v="12"/>
    <n v="1"/>
    <s v="Band A"/>
    <n v="29200"/>
    <n v="11.2"/>
    <n v="3.4"/>
    <n v="1"/>
    <n v="0"/>
    <n v="3.1"/>
    <n v="2.9"/>
    <n v="2.2000000000000002"/>
    <s v="Yes"/>
    <n v="0"/>
    <n v="0"/>
    <m/>
    <n v="0"/>
    <x v="0"/>
    <m/>
    <n v="1"/>
    <n v="0"/>
    <x v="1"/>
    <s v="1â€“3 years"/>
    <s v="Extreme"/>
    <s v="2.733333333333333"/>
    <s v="0.16666666666666666"/>
    <n v="0"/>
  </r>
  <r>
    <s v="EMP0846"/>
    <s v="Customer Support"/>
    <x v="2"/>
    <n v="4.7"/>
    <s v="G2"/>
    <n v="34"/>
    <s v="Master"/>
    <s v="Hyderabad"/>
    <n v="0"/>
    <n v="12.5"/>
    <n v="1"/>
    <n v="3"/>
    <n v="12"/>
    <n v="0"/>
    <s v="Band B"/>
    <n v="38900"/>
    <n v="6.7"/>
    <n v="5"/>
    <n v="3.2"/>
    <n v="0"/>
    <n v="3.3"/>
    <n v="3.3"/>
    <n v="2.8"/>
    <s v="Yes"/>
    <n v="1"/>
    <n v="1"/>
    <n v="3"/>
    <n v="0"/>
    <x v="0"/>
    <m/>
    <n v="0"/>
    <n v="0"/>
    <x v="0"/>
    <s v="3â€“5 years"/>
    <s v="Moderate"/>
    <s v="3.133333333333333"/>
    <n v="0"/>
    <n v="0"/>
  </r>
  <r>
    <s v="EMP0847"/>
    <s v="Sales"/>
    <x v="14"/>
    <n v="2.4"/>
    <s v="G4"/>
    <n v="32"/>
    <s v="Master"/>
    <s v="Bengaluru"/>
    <n v="3"/>
    <n v="8.8000000000000007"/>
    <n v="9"/>
    <n v="4"/>
    <n v="12"/>
    <n v="0"/>
    <s v="Band C"/>
    <n v="62800"/>
    <n v="7.9"/>
    <n v="4.3"/>
    <n v="4.5"/>
    <n v="0"/>
    <n v="2.4"/>
    <n v="4.0999999999999996"/>
    <n v="3.4"/>
    <s v="Yes"/>
    <n v="0"/>
    <n v="3"/>
    <n v="0"/>
    <n v="1"/>
    <x v="0"/>
    <m/>
    <n v="0"/>
    <n v="0"/>
    <x v="0"/>
    <s v="1â€“3 years"/>
    <s v="Low"/>
    <s v="3.3000000000000003"/>
    <n v="0.25"/>
    <n v="0"/>
  </r>
  <r>
    <s v="EMP0848"/>
    <s v="Operations"/>
    <x v="3"/>
    <n v="3.6"/>
    <s v="G4"/>
    <n v="31"/>
    <s v="Bachelor"/>
    <s v="Chennai"/>
    <n v="4"/>
    <n v="14.3"/>
    <n v="9"/>
    <n v="1"/>
    <n v="12"/>
    <n v="0"/>
    <s v="Band C"/>
    <n v="69500"/>
    <n v="8.5"/>
    <n v="3.2"/>
    <n v="0.3"/>
    <n v="0"/>
    <n v="2"/>
    <n v="2.2000000000000002"/>
    <n v="4"/>
    <s v="Yes"/>
    <n v="0"/>
    <n v="1"/>
    <n v="1.8"/>
    <n v="0"/>
    <x v="0"/>
    <m/>
    <n v="0"/>
    <n v="0"/>
    <x v="0"/>
    <s v="3â€“5 years"/>
    <s v="Moderate"/>
    <s v="2.733333333333333"/>
    <s v="0.3333333333333333"/>
    <n v="0"/>
  </r>
  <r>
    <s v="EMP0849"/>
    <s v="Engineering"/>
    <x v="10"/>
    <n v="1.6"/>
    <s v="G1"/>
    <n v="32"/>
    <s v="Bachelor"/>
    <s v="Hyderabad"/>
    <n v="2"/>
    <n v="12.1"/>
    <n v="8"/>
    <n v="2"/>
    <n v="12"/>
    <n v="0"/>
    <s v="Band A"/>
    <n v="29900"/>
    <n v="9"/>
    <n v="3.5"/>
    <n v="1.4"/>
    <n v="0"/>
    <n v="3.3"/>
    <n v="2.5"/>
    <n v="2.2000000000000002"/>
    <s v="Yes"/>
    <n v="0"/>
    <n v="1"/>
    <n v="0.3"/>
    <n v="0"/>
    <x v="0"/>
    <m/>
    <n v="0"/>
    <n v="0"/>
    <x v="0"/>
    <s v="1â€“3 years"/>
    <s v="Moderate"/>
    <s v="2.6666666666666665"/>
    <s v="0.16666666666666666"/>
    <n v="0"/>
  </r>
  <r>
    <s v="EMP0850"/>
    <s v="Customer Support"/>
    <x v="2"/>
    <n v="5.2"/>
    <s v="G2"/>
    <n v="32"/>
    <s v="Doctorate"/>
    <s v="Chennai"/>
    <n v="3"/>
    <n v="32.1"/>
    <n v="7"/>
    <n v="2"/>
    <n v="12"/>
    <n v="0"/>
    <s v="Band B"/>
    <n v="41700"/>
    <n v="2.6"/>
    <n v="2.9"/>
    <n v="1.8"/>
    <n v="0"/>
    <n v="1"/>
    <n v="2.2000000000000002"/>
    <n v="3.6"/>
    <s v="Yes"/>
    <n v="0"/>
    <n v="0"/>
    <m/>
    <n v="0"/>
    <x v="0"/>
    <m/>
    <n v="1"/>
    <n v="0"/>
    <x v="1"/>
    <s v="5+ years"/>
    <s v="High"/>
    <s v="2.266666666666667"/>
    <n v="0.25"/>
    <n v="0"/>
  </r>
  <r>
    <s v="EMP0851"/>
    <s v="Engineering"/>
    <x v="16"/>
    <n v="8.1"/>
    <s v="G2"/>
    <n v="35"/>
    <s v="Bachelor"/>
    <s v="Coimbatore"/>
    <n v="1"/>
    <n v="25.4"/>
    <n v="10"/>
    <n v="2"/>
    <n v="12"/>
    <n v="0"/>
    <s v="Band B"/>
    <n v="45400"/>
    <n v="10"/>
    <n v="3.4"/>
    <n v="3.2"/>
    <n v="0"/>
    <n v="3.2"/>
    <n v="3.8"/>
    <n v="3.6"/>
    <s v="Yes"/>
    <n v="0"/>
    <n v="2"/>
    <n v="0.2"/>
    <n v="0"/>
    <x v="0"/>
    <m/>
    <n v="0"/>
    <n v="0"/>
    <x v="0"/>
    <s v="5+ years"/>
    <s v="High"/>
    <s v="3.533333333333333"/>
    <n v="8.3333333333333301E-2"/>
    <n v="0"/>
  </r>
  <r>
    <s v="EMP0852"/>
    <s v="Engineering"/>
    <x v="10"/>
    <n v="7.2"/>
    <s v="G2"/>
    <n v="34"/>
    <s v="Diploma"/>
    <s v="Coimbatore"/>
    <n v="6"/>
    <n v="8"/>
    <n v="13"/>
    <n v="1"/>
    <n v="12"/>
    <n v="0"/>
    <s v="Band B"/>
    <n v="47000"/>
    <n v="3.3"/>
    <n v="3.7"/>
    <n v="2.4"/>
    <n v="0"/>
    <n v="2.4"/>
    <n v="3.3"/>
    <n v="3"/>
    <s v="Yes"/>
    <n v="0"/>
    <n v="1"/>
    <n v="2.7"/>
    <n v="0"/>
    <x v="0"/>
    <m/>
    <n v="0"/>
    <n v="0"/>
    <x v="0"/>
    <s v="5+ years"/>
    <s v="Low"/>
    <n v="2.9"/>
    <n v="0.5"/>
    <n v="0"/>
  </r>
  <r>
    <s v="EMP0853"/>
    <s v="Customer Support"/>
    <x v="5"/>
    <n v="4"/>
    <s v="G3"/>
    <n v="22"/>
    <s v="Diploma"/>
    <s v="Coimbatore"/>
    <n v="4"/>
    <n v="14.8"/>
    <n v="10"/>
    <n v="2"/>
    <n v="12"/>
    <n v="0"/>
    <s v="Band C"/>
    <n v="52500"/>
    <n v="10.7"/>
    <n v="2.8"/>
    <n v="1.9"/>
    <n v="0"/>
    <n v="4"/>
    <n v="4"/>
    <n v="2.9"/>
    <s v="Yes"/>
    <n v="0"/>
    <n v="1"/>
    <n v="1"/>
    <n v="0"/>
    <x v="0"/>
    <m/>
    <n v="0"/>
    <n v="0"/>
    <x v="0"/>
    <s v="3â€“5 years"/>
    <s v="Moderate"/>
    <s v="3.6333333333333333"/>
    <s v="0.3333333333333333"/>
    <n v="0"/>
  </r>
  <r>
    <s v="EMP0854"/>
    <s v="Customer Support"/>
    <x v="5"/>
    <n v="0.6"/>
    <s v="G1"/>
    <n v="26"/>
    <s v="Master"/>
    <s v="Coimbatore"/>
    <n v="3"/>
    <n v="7.4"/>
    <n v="6"/>
    <n v="1"/>
    <n v="12"/>
    <n v="0"/>
    <s v="Band A"/>
    <n v="28600"/>
    <n v="3.7"/>
    <n v="2"/>
    <n v="1.3"/>
    <n v="0"/>
    <n v="4.2"/>
    <n v="2.5"/>
    <n v="2.8"/>
    <s v="Yes"/>
    <n v="0"/>
    <n v="0"/>
    <m/>
    <n v="0"/>
    <x v="0"/>
    <m/>
    <n v="1"/>
    <n v="0"/>
    <x v="1"/>
    <s v="0â€“1 years"/>
    <s v="Low"/>
    <s v="3.1666666666666665"/>
    <n v="0.25"/>
    <n v="0"/>
  </r>
  <r>
    <s v="EMP0855"/>
    <s v="Engineering"/>
    <x v="12"/>
    <n v="2.2999999999999998"/>
    <s v="G4"/>
    <n v="26"/>
    <s v="Bachelor"/>
    <s v="Chennai"/>
    <n v="5"/>
    <n v="20.2"/>
    <n v="12"/>
    <n v="4"/>
    <n v="12"/>
    <n v="0"/>
    <s v="Band C"/>
    <n v="54300"/>
    <n v="2.8"/>
    <n v="4.4000000000000004"/>
    <n v="0.2"/>
    <n v="0"/>
    <n v="4.3"/>
    <n v="2.1"/>
    <n v="3.5"/>
    <s v="No"/>
    <n v="0"/>
    <n v="0"/>
    <m/>
    <n v="0"/>
    <x v="0"/>
    <m/>
    <n v="1"/>
    <n v="0"/>
    <x v="1"/>
    <s v="1â€“3 years"/>
    <s v="High"/>
    <s v="3.3000000000000003"/>
    <s v="0.4166666666666667"/>
    <n v="0"/>
  </r>
  <r>
    <s v="EMP0856"/>
    <s v="Hr"/>
    <x v="1"/>
    <n v="3.6"/>
    <s v="G5"/>
    <n v="25"/>
    <s v="Bachelor"/>
    <s v="Coimbatore"/>
    <n v="3"/>
    <n v="9.1"/>
    <n v="6"/>
    <n v="0"/>
    <n v="12"/>
    <n v="0"/>
    <s v="Band E"/>
    <n v="123600"/>
    <n v="7.9"/>
    <n v="4.0999999999999996"/>
    <n v="1.5"/>
    <n v="0"/>
    <n v="3"/>
    <n v="3.3"/>
    <n v="4.3"/>
    <s v="Yes"/>
    <n v="1"/>
    <n v="4"/>
    <n v="2.6"/>
    <n v="0"/>
    <x v="0"/>
    <m/>
    <n v="0"/>
    <n v="0"/>
    <x v="0"/>
    <s v="3â€“5 years"/>
    <s v="Low"/>
    <s v="3.533333333333333"/>
    <n v="0.25"/>
    <n v="0"/>
  </r>
  <r>
    <s v="EMP0857"/>
    <s v="Operations"/>
    <x v="3"/>
    <n v="1.2"/>
    <s v="G3"/>
    <n v="33"/>
    <s v="Bachelor"/>
    <s v="Remote"/>
    <n v="2"/>
    <n v="6.5"/>
    <n v="8"/>
    <n v="2"/>
    <n v="12"/>
    <n v="0"/>
    <s v="Band B"/>
    <n v="49400"/>
    <n v="7.8"/>
    <n v="1.9"/>
    <n v="1"/>
    <n v="0"/>
    <n v="2.2999999999999998"/>
    <n v="3"/>
    <n v="4.4000000000000004"/>
    <s v="Yes"/>
    <n v="0"/>
    <n v="0"/>
    <m/>
    <n v="1"/>
    <x v="0"/>
    <m/>
    <n v="1"/>
    <n v="0"/>
    <x v="1"/>
    <s v="1â€“3 years"/>
    <s v="Low"/>
    <s v="3.233333333333333"/>
    <s v="0.16666666666666666"/>
    <n v="0"/>
  </r>
  <r>
    <s v="EMP0858"/>
    <s v="Customer Support"/>
    <x v="9"/>
    <n v="1"/>
    <s v="G3"/>
    <n v="29"/>
    <s v="Master"/>
    <s v="Coimbatore"/>
    <n v="5"/>
    <n v="12.4"/>
    <n v="14"/>
    <n v="4"/>
    <n v="12"/>
    <n v="0"/>
    <s v="Band C"/>
    <n v="56100"/>
    <n v="8.4"/>
    <n v="3.4"/>
    <n v="0.3"/>
    <n v="0"/>
    <n v="2.6"/>
    <n v="3.4"/>
    <n v="2.5"/>
    <s v="No"/>
    <n v="0"/>
    <n v="0"/>
    <m/>
    <n v="1"/>
    <x v="0"/>
    <m/>
    <n v="1"/>
    <n v="0"/>
    <x v="1"/>
    <s v="0â€“1 years"/>
    <s v="Moderate"/>
    <s v="2.8333333333333335"/>
    <s v="0.4166666666666667"/>
    <n v="0"/>
  </r>
  <r>
    <s v="EMP0859"/>
    <s v="Sales"/>
    <x v="14"/>
    <n v="9.6"/>
    <s v="G3"/>
    <n v="35"/>
    <s v="Bachelor"/>
    <s v="Remote"/>
    <n v="1"/>
    <n v="24"/>
    <n v="14"/>
    <n v="2"/>
    <n v="12"/>
    <n v="0"/>
    <s v="Band C"/>
    <n v="55000"/>
    <n v="4.4000000000000004"/>
    <n v="4.0999999999999996"/>
    <n v="4.5"/>
    <n v="0"/>
    <n v="3.6"/>
    <n v="1.7"/>
    <n v="3.3"/>
    <s v="Yes"/>
    <n v="0"/>
    <n v="0"/>
    <m/>
    <n v="0"/>
    <x v="0"/>
    <m/>
    <n v="1"/>
    <n v="0"/>
    <x v="1"/>
    <s v="5+ years"/>
    <s v="High"/>
    <s v="2.8666666666666667"/>
    <n v="8.3333333333333301E-2"/>
    <n v="0"/>
  </r>
  <r>
    <s v="EMP0860"/>
    <s v="Finance"/>
    <x v="11"/>
    <n v="6.6"/>
    <s v="G2"/>
    <n v="30"/>
    <s v="Master"/>
    <s v="Coimbatore"/>
    <n v="1"/>
    <n v="21.4"/>
    <n v="8"/>
    <n v="1"/>
    <n v="12"/>
    <n v="0"/>
    <s v="Band B"/>
    <n v="38500"/>
    <n v="8.8000000000000007"/>
    <n v="4"/>
    <n v="1.4"/>
    <n v="0"/>
    <n v="3.3"/>
    <n v="3.6"/>
    <n v="1.6"/>
    <s v="Yes"/>
    <n v="1"/>
    <n v="1"/>
    <n v="5.6"/>
    <n v="1"/>
    <x v="0"/>
    <m/>
    <n v="0"/>
    <n v="0"/>
    <x v="0"/>
    <s v="5+ years"/>
    <s v="High"/>
    <s v="2.8333333333333335"/>
    <n v="8.3333333333333301E-2"/>
    <n v="0"/>
  </r>
  <r>
    <s v="EMP0861"/>
    <s v="Operations"/>
    <x v="6"/>
    <n v="5.4"/>
    <s v="G1"/>
    <n v="33"/>
    <s v="Master"/>
    <s v="Hyderabad"/>
    <n v="2"/>
    <n v="6.9"/>
    <n v="14"/>
    <n v="2"/>
    <n v="12"/>
    <n v="0"/>
    <s v="Band A"/>
    <n v="28600"/>
    <n v="9.1999999999999993"/>
    <n v="2.6"/>
    <n v="2.2999999999999998"/>
    <n v="0"/>
    <n v="4.5999999999999996"/>
    <n v="2.4"/>
    <n v="3.5"/>
    <s v="Yes"/>
    <n v="0"/>
    <n v="1"/>
    <n v="5.0999999999999996"/>
    <n v="1"/>
    <x v="0"/>
    <m/>
    <n v="0"/>
    <n v="0"/>
    <x v="0"/>
    <s v="5+ years"/>
    <s v="Low"/>
    <n v="3.5"/>
    <s v="0.16666666666666666"/>
    <n v="0"/>
  </r>
  <r>
    <s v="EMP0862"/>
    <s v="Operations"/>
    <x v="0"/>
    <n v="6.1"/>
    <s v="G3"/>
    <n v="36"/>
    <s v="Doctorate"/>
    <s v="Chennai"/>
    <n v="4"/>
    <n v="30.2"/>
    <n v="11"/>
    <n v="2"/>
    <n v="12"/>
    <n v="0"/>
    <s v="Band B"/>
    <n v="47000"/>
    <n v="12.7"/>
    <n v="4.0999999999999996"/>
    <n v="1.1000000000000001"/>
    <n v="0"/>
    <n v="3"/>
    <n v="2.6"/>
    <n v="3.9"/>
    <s v="Yes"/>
    <n v="0"/>
    <n v="0"/>
    <m/>
    <n v="1"/>
    <x v="0"/>
    <m/>
    <n v="1"/>
    <n v="0"/>
    <x v="1"/>
    <s v="5+ years"/>
    <s v="High"/>
    <s v="3.1666666666666665"/>
    <s v="0.3333333333333333"/>
    <n v="0"/>
  </r>
  <r>
    <s v="EMP0863"/>
    <s v="Operations"/>
    <x v="0"/>
    <n v="1.4"/>
    <s v="G1"/>
    <n v="24"/>
    <s v="Master"/>
    <s v="Hyderabad"/>
    <n v="4"/>
    <n v="4.4000000000000004"/>
    <n v="8"/>
    <n v="3"/>
    <n v="12"/>
    <n v="0"/>
    <s v="Band A"/>
    <n v="19700"/>
    <n v="8.6999999999999993"/>
    <n v="3.2"/>
    <n v="0.4"/>
    <n v="0"/>
    <n v="3.8"/>
    <n v="4.3"/>
    <n v="4.7"/>
    <s v="Yes"/>
    <n v="0"/>
    <n v="1"/>
    <n v="0.3"/>
    <n v="0"/>
    <x v="0"/>
    <m/>
    <n v="0"/>
    <n v="0"/>
    <x v="0"/>
    <s v="1â€“3 years"/>
    <s v="Low"/>
    <s v="4.266666666666667"/>
    <s v="0.3333333333333333"/>
    <n v="0"/>
  </r>
  <r>
    <s v="EMP0864"/>
    <s v="Finance"/>
    <x v="11"/>
    <n v="1.9"/>
    <s v="G4"/>
    <n v="28"/>
    <s v="Bachelor"/>
    <s v="Chennai"/>
    <n v="2"/>
    <n v="5.8"/>
    <n v="9"/>
    <n v="2"/>
    <n v="12"/>
    <n v="0"/>
    <s v="Band D"/>
    <n v="79700"/>
    <n v="5.6"/>
    <n v="3.5"/>
    <n v="2.5"/>
    <n v="0"/>
    <n v="1.7"/>
    <n v="1.2"/>
    <n v="2"/>
    <s v="No"/>
    <n v="0"/>
    <n v="0"/>
    <m/>
    <n v="0"/>
    <x v="0"/>
    <m/>
    <n v="1"/>
    <n v="0"/>
    <x v="1"/>
    <s v="1â€“3 years"/>
    <s v="Low"/>
    <s v="1.6333333333333335"/>
    <s v="0.16666666666666666"/>
    <n v="0"/>
  </r>
  <r>
    <s v="EMP0865"/>
    <s v="Engineering"/>
    <x v="16"/>
    <n v="4.5"/>
    <s v="G2"/>
    <n v="34"/>
    <s v="Bachelor"/>
    <s v="Chennai"/>
    <n v="4"/>
    <n v="19.600000000000001"/>
    <n v="11"/>
    <n v="1"/>
    <n v="12"/>
    <n v="0"/>
    <s v="Band B"/>
    <n v="42000"/>
    <n v="2.6"/>
    <n v="2.4"/>
    <n v="4.8"/>
    <n v="0"/>
    <n v="2.5"/>
    <n v="3.5"/>
    <n v="2.5"/>
    <s v="Yes"/>
    <n v="0"/>
    <n v="1"/>
    <n v="2"/>
    <n v="0"/>
    <x v="0"/>
    <m/>
    <n v="0"/>
    <n v="0"/>
    <x v="0"/>
    <s v="3â€“5 years"/>
    <s v="Moderate"/>
    <s v="2.8333333333333335"/>
    <s v="0.3333333333333333"/>
    <n v="0"/>
  </r>
  <r>
    <s v="EMP0866"/>
    <s v="Customer Support"/>
    <x v="5"/>
    <n v="4.7"/>
    <s v="G2"/>
    <n v="23"/>
    <s v="Diploma"/>
    <s v="Chennai"/>
    <n v="2"/>
    <n v="1"/>
    <n v="16"/>
    <n v="3"/>
    <n v="12"/>
    <n v="0"/>
    <s v="Band B"/>
    <n v="35200"/>
    <n v="1.9"/>
    <n v="1"/>
    <n v="3.1"/>
    <n v="0"/>
    <n v="1.6"/>
    <n v="3.5"/>
    <n v="3.5"/>
    <s v="Yes"/>
    <n v="0"/>
    <n v="0"/>
    <m/>
    <n v="0"/>
    <x v="0"/>
    <m/>
    <n v="1"/>
    <n v="0"/>
    <x v="1"/>
    <s v="3â€“5 years"/>
    <s v="Low"/>
    <s v="2.8666666666666667"/>
    <s v="0.16666666666666666"/>
    <n v="0"/>
  </r>
  <r>
    <s v="EMP0867"/>
    <s v="Customer Support"/>
    <x v="5"/>
    <n v="1.1000000000000001"/>
    <s v="G2"/>
    <n v="27"/>
    <s v="Doctorate"/>
    <s v="Chennai"/>
    <n v="3"/>
    <n v="10.4"/>
    <n v="5"/>
    <n v="5"/>
    <n v="12"/>
    <n v="0"/>
    <s v="Band B"/>
    <n v="40100"/>
    <n v="9.3000000000000007"/>
    <n v="2.5"/>
    <n v="2"/>
    <n v="0"/>
    <n v="4.2"/>
    <n v="2.5"/>
    <n v="2.1"/>
    <s v="Yes"/>
    <n v="0"/>
    <n v="0"/>
    <m/>
    <n v="1"/>
    <x v="0"/>
    <m/>
    <n v="1"/>
    <n v="0"/>
    <x v="1"/>
    <s v="1â€“3 years"/>
    <s v="Moderate"/>
    <s v="2.9333333333333336"/>
    <n v="0.25"/>
    <n v="0"/>
  </r>
  <r>
    <s v="EMP0868"/>
    <s v="Operations"/>
    <x v="6"/>
    <n v="4.3"/>
    <s v="G5"/>
    <n v="29"/>
    <s v="Bachelor"/>
    <s v="Remote"/>
    <n v="3"/>
    <n v="7.9"/>
    <n v="14"/>
    <n v="2"/>
    <n v="12"/>
    <n v="0"/>
    <s v="Band D"/>
    <n v="108000"/>
    <n v="11.2"/>
    <n v="3.7"/>
    <n v="1"/>
    <n v="0"/>
    <n v="3.2"/>
    <n v="2.8"/>
    <n v="3.5"/>
    <s v="No"/>
    <n v="0"/>
    <n v="1"/>
    <n v="1.3"/>
    <n v="1"/>
    <x v="0"/>
    <m/>
    <n v="0"/>
    <n v="0"/>
    <x v="0"/>
    <s v="3â€“5 years"/>
    <s v="Low"/>
    <s v="3.1666666666666665"/>
    <n v="0.25"/>
    <n v="0"/>
  </r>
  <r>
    <s v="EMP0869"/>
    <s v="Engineering"/>
    <x v="4"/>
    <n v="3.6"/>
    <s v="G1"/>
    <n v="29"/>
    <s v="Bachelor"/>
    <s v="Remote"/>
    <n v="3"/>
    <n v="31.4"/>
    <n v="9"/>
    <n v="2"/>
    <n v="12"/>
    <n v="0"/>
    <s v="Band A"/>
    <n v="26300"/>
    <n v="4.4000000000000004"/>
    <n v="3"/>
    <n v="1.7"/>
    <n v="0"/>
    <n v="3.8"/>
    <n v="4.3"/>
    <n v="3.9"/>
    <s v="Yes"/>
    <n v="0"/>
    <n v="0"/>
    <m/>
    <n v="0"/>
    <x v="0"/>
    <m/>
    <n v="1"/>
    <n v="0"/>
    <x v="1"/>
    <s v="3â€“5 years"/>
    <s v="High"/>
    <n v="4"/>
    <n v="0.25"/>
    <n v="0"/>
  </r>
  <r>
    <s v="EMP0870"/>
    <s v="Engineering"/>
    <x v="16"/>
    <n v="7"/>
    <s v="G1"/>
    <n v="31"/>
    <s v="Master"/>
    <s v="Hyderabad"/>
    <n v="6"/>
    <n v="3.7"/>
    <n v="4"/>
    <n v="1"/>
    <n v="12"/>
    <n v="0"/>
    <s v="Band A"/>
    <n v="31600"/>
    <n v="9"/>
    <n v="3.8"/>
    <n v="2.4"/>
    <n v="0"/>
    <n v="3.4"/>
    <n v="5"/>
    <n v="2.4"/>
    <s v="Yes"/>
    <n v="0"/>
    <n v="0"/>
    <m/>
    <n v="0"/>
    <x v="0"/>
    <m/>
    <n v="1"/>
    <n v="0"/>
    <x v="1"/>
    <s v="5+ years"/>
    <s v="Low"/>
    <n v="3.6"/>
    <n v="0.5"/>
    <n v="0"/>
  </r>
  <r>
    <s v="EMP0871"/>
    <s v="Operations"/>
    <x v="6"/>
    <n v="4.7"/>
    <s v="G1"/>
    <n v="31"/>
    <s v="Bachelor"/>
    <s v="Chennai"/>
    <n v="2"/>
    <n v="4.0999999999999996"/>
    <n v="4"/>
    <n v="2"/>
    <n v="12"/>
    <n v="0"/>
    <s v="Band A"/>
    <n v="32700"/>
    <n v="7.3"/>
    <n v="4.2"/>
    <n v="0.9"/>
    <n v="0"/>
    <n v="3.7"/>
    <n v="4.2"/>
    <n v="3.5"/>
    <s v="No"/>
    <n v="0"/>
    <n v="2"/>
    <n v="2.8"/>
    <n v="1"/>
    <x v="0"/>
    <m/>
    <n v="0"/>
    <n v="0"/>
    <x v="0"/>
    <s v="3â€“5 years"/>
    <s v="Low"/>
    <s v="3.8000000000000003"/>
    <s v="0.16666666666666666"/>
    <n v="0"/>
  </r>
  <r>
    <s v="EMP0872"/>
    <s v="Engineering"/>
    <x v="4"/>
    <n v="10.3"/>
    <s v="G3"/>
    <n v="44"/>
    <s v="Master"/>
    <s v="Hyderabad"/>
    <n v="0"/>
    <n v="34.4"/>
    <n v="9"/>
    <n v="1"/>
    <n v="12"/>
    <n v="0"/>
    <s v="Band B"/>
    <n v="48400"/>
    <n v="10.9"/>
    <n v="2.9"/>
    <n v="2.4"/>
    <n v="0"/>
    <n v="3"/>
    <n v="4.9000000000000004"/>
    <n v="2.4"/>
    <s v="Yes"/>
    <n v="0"/>
    <n v="2"/>
    <n v="5.0999999999999996"/>
    <n v="0"/>
    <x v="0"/>
    <m/>
    <n v="0"/>
    <n v="0"/>
    <x v="0"/>
    <s v="5+ years"/>
    <s v="High"/>
    <s v="3.4333333333333336"/>
    <n v="0"/>
    <n v="0"/>
  </r>
  <r>
    <s v="EMP0873"/>
    <s v="Customer Support"/>
    <x v="9"/>
    <n v="2.9"/>
    <s v="G5"/>
    <n v="28"/>
    <s v="Diploma"/>
    <s v="Bengaluru"/>
    <n v="2"/>
    <n v="8"/>
    <n v="8"/>
    <n v="3"/>
    <n v="12"/>
    <n v="0"/>
    <s v="Band D"/>
    <n v="102400"/>
    <n v="11.5"/>
    <n v="2.8"/>
    <n v="1.1000000000000001"/>
    <n v="0"/>
    <n v="3.1"/>
    <n v="2.6"/>
    <n v="4.5"/>
    <s v="Yes"/>
    <n v="0"/>
    <n v="3"/>
    <n v="2.1"/>
    <n v="0"/>
    <x v="0"/>
    <m/>
    <n v="0"/>
    <n v="0"/>
    <x v="0"/>
    <s v="1â€“3 years"/>
    <s v="Low"/>
    <n v="3.4"/>
    <s v="0.16666666666666666"/>
    <n v="0"/>
  </r>
  <r>
    <s v="EMP0874"/>
    <s v="Sales"/>
    <x v="13"/>
    <n v="1.5"/>
    <s v="G2"/>
    <n v="29"/>
    <s v="Bachelor"/>
    <s v="Chennai"/>
    <n v="2"/>
    <n v="23.4"/>
    <n v="13"/>
    <n v="1"/>
    <n v="12"/>
    <n v="0"/>
    <s v="Band B"/>
    <n v="39700"/>
    <n v="0"/>
    <n v="1.2"/>
    <n v="0.5"/>
    <n v="0"/>
    <n v="3.2"/>
    <n v="1.8"/>
    <n v="3.6"/>
    <s v="Yes"/>
    <n v="0"/>
    <n v="0"/>
    <m/>
    <n v="0"/>
    <x v="1"/>
    <d v="2024-09-13T00:00:00"/>
    <n v="1"/>
    <n v="0"/>
    <x v="1"/>
    <s v="1â€“3 years"/>
    <s v="High"/>
    <s v="2.8666666666666667"/>
    <s v="0.16666666666666666"/>
    <n v="1"/>
  </r>
  <r>
    <s v="EMP0875"/>
    <s v="Operations"/>
    <x v="3"/>
    <n v="10.1"/>
    <s v="G4"/>
    <n v="44"/>
    <s v="Bachelor"/>
    <s v="Coimbatore"/>
    <n v="2"/>
    <n v="7"/>
    <n v="12"/>
    <n v="3"/>
    <n v="12"/>
    <n v="0"/>
    <s v="Band D"/>
    <n v="96200"/>
    <n v="12.1"/>
    <n v="1.8"/>
    <n v="1.2"/>
    <n v="0"/>
    <n v="3.7"/>
    <n v="3.2"/>
    <n v="2.9"/>
    <s v="Yes"/>
    <n v="0"/>
    <n v="0"/>
    <m/>
    <n v="1"/>
    <x v="0"/>
    <m/>
    <n v="1"/>
    <n v="0"/>
    <x v="1"/>
    <s v="5+ years"/>
    <s v="Low"/>
    <s v="3.266666666666667"/>
    <s v="0.16666666666666666"/>
    <n v="0"/>
  </r>
  <r>
    <s v="EMP0876"/>
    <s v="Customer Support"/>
    <x v="2"/>
    <n v="4.9000000000000004"/>
    <s v="G2"/>
    <n v="29"/>
    <s v="Bachelor"/>
    <s v="Bengaluru"/>
    <n v="4"/>
    <n v="5.6"/>
    <n v="14"/>
    <n v="5"/>
    <n v="12"/>
    <n v="0"/>
    <s v="Band B"/>
    <n v="42300"/>
    <n v="9"/>
    <n v="2"/>
    <n v="1.5"/>
    <n v="0"/>
    <n v="3.7"/>
    <n v="3.9"/>
    <n v="2.4"/>
    <s v="Yes"/>
    <n v="0"/>
    <n v="0"/>
    <m/>
    <n v="0"/>
    <x v="0"/>
    <m/>
    <n v="1"/>
    <n v="0"/>
    <x v="1"/>
    <s v="3â€“5 years"/>
    <s v="Low"/>
    <s v="3.3333333333333335"/>
    <s v="0.3333333333333333"/>
    <n v="0"/>
  </r>
  <r>
    <s v="EMP0877"/>
    <s v="Sales"/>
    <x v="8"/>
    <n v="3.6"/>
    <s v="G3"/>
    <n v="37"/>
    <s v="Bachelor"/>
    <s v="Chennai"/>
    <n v="2"/>
    <n v="24.2"/>
    <n v="9"/>
    <n v="1"/>
    <n v="12"/>
    <n v="0"/>
    <s v="Band C"/>
    <n v="50600"/>
    <n v="5.9"/>
    <n v="3.7"/>
    <n v="2.9"/>
    <n v="0"/>
    <n v="5"/>
    <n v="1.5"/>
    <n v="3.7"/>
    <s v="Yes"/>
    <n v="0"/>
    <n v="1"/>
    <n v="1.6"/>
    <n v="2"/>
    <x v="0"/>
    <m/>
    <n v="0"/>
    <n v="0"/>
    <x v="0"/>
    <s v="3â€“5 years"/>
    <s v="High"/>
    <n v="3.4"/>
    <s v="0.16666666666666666"/>
    <n v="0"/>
  </r>
  <r>
    <s v="EMP0878"/>
    <s v="Sales"/>
    <x v="14"/>
    <n v="1.9"/>
    <s v="G1"/>
    <n v="28"/>
    <s v="Master"/>
    <s v="Coimbatore"/>
    <n v="4"/>
    <n v="40.200000000000003"/>
    <n v="10"/>
    <n v="3"/>
    <n v="12"/>
    <n v="0"/>
    <s v="Band A"/>
    <n v="27000"/>
    <n v="6"/>
    <n v="2.9"/>
    <n v="1.7"/>
    <n v="0"/>
    <n v="4.8"/>
    <n v="2.4"/>
    <n v="4.5"/>
    <s v="Yes"/>
    <n v="0"/>
    <n v="2"/>
    <n v="0"/>
    <n v="1"/>
    <x v="0"/>
    <m/>
    <n v="0"/>
    <n v="0"/>
    <x v="0"/>
    <s v="1â€“3 years"/>
    <s v="High"/>
    <n v="3.9"/>
    <s v="0.3333333333333333"/>
    <n v="0"/>
  </r>
  <r>
    <s v="EMP0879"/>
    <s v="Operations"/>
    <x v="0"/>
    <n v="2.9"/>
    <s v="G2"/>
    <n v="36"/>
    <s v="Bachelor"/>
    <s v="Bengaluru"/>
    <n v="2"/>
    <n v="25.5"/>
    <n v="10"/>
    <n v="1"/>
    <n v="12"/>
    <n v="0"/>
    <s v="Band B"/>
    <n v="47900"/>
    <n v="8.1"/>
    <n v="2.7"/>
    <n v="0.2"/>
    <n v="0"/>
    <n v="1.7"/>
    <n v="2.5"/>
    <n v="2.8"/>
    <s v="Yes"/>
    <n v="0"/>
    <n v="1"/>
    <n v="0.4"/>
    <n v="0"/>
    <x v="0"/>
    <m/>
    <n v="0"/>
    <n v="0"/>
    <x v="0"/>
    <s v="1â€“3 years"/>
    <s v="High"/>
    <s v="2.3333333333333335"/>
    <s v="0.16666666666666666"/>
    <n v="0"/>
  </r>
  <r>
    <s v="EMP0880"/>
    <s v="Finance"/>
    <x v="17"/>
    <n v="2.8"/>
    <s v="G3"/>
    <n v="32"/>
    <s v="Bachelor"/>
    <s v="Chennai"/>
    <n v="1"/>
    <n v="6.6"/>
    <n v="11"/>
    <n v="2"/>
    <n v="12"/>
    <n v="0"/>
    <s v="Band C"/>
    <n v="50400"/>
    <n v="6"/>
    <n v="2.6"/>
    <n v="2.4"/>
    <n v="0"/>
    <n v="3.2"/>
    <n v="3.5"/>
    <n v="3"/>
    <s v="Yes"/>
    <n v="0"/>
    <n v="0"/>
    <m/>
    <n v="0"/>
    <x v="0"/>
    <m/>
    <n v="1"/>
    <n v="0"/>
    <x v="1"/>
    <s v="1â€“3 years"/>
    <s v="Low"/>
    <s v="3.233333333333333"/>
    <n v="8.3333333333333301E-2"/>
    <n v="0"/>
  </r>
  <r>
    <s v="EMP0881"/>
    <s v="Sales"/>
    <x v="13"/>
    <n v="1.4"/>
    <s v="G3"/>
    <n v="29"/>
    <s v="Master"/>
    <s v="Coimbatore"/>
    <n v="2"/>
    <n v="10"/>
    <n v="8"/>
    <n v="0"/>
    <n v="12"/>
    <n v="0"/>
    <s v="Band C"/>
    <n v="55700"/>
    <n v="4.3"/>
    <n v="2.5"/>
    <n v="1"/>
    <n v="0"/>
    <n v="2.9"/>
    <n v="3.4"/>
    <n v="2.8"/>
    <s v="Yes"/>
    <n v="0"/>
    <n v="1"/>
    <n v="1.3"/>
    <n v="0"/>
    <x v="0"/>
    <m/>
    <n v="0"/>
    <n v="0"/>
    <x v="0"/>
    <s v="1â€“3 years"/>
    <s v="Low"/>
    <s v="3.033333333333333"/>
    <s v="0.16666666666666666"/>
    <n v="0"/>
  </r>
  <r>
    <s v="EMP0882"/>
    <s v="Operations"/>
    <x v="6"/>
    <n v="0.4"/>
    <s v="G2"/>
    <n v="26"/>
    <s v="Master"/>
    <s v="Coimbatore"/>
    <n v="3"/>
    <n v="4.3"/>
    <n v="7"/>
    <n v="4"/>
    <n v="12"/>
    <n v="0"/>
    <s v="Band B"/>
    <n v="36900"/>
    <n v="5.2"/>
    <n v="4"/>
    <n v="0.2"/>
    <n v="0"/>
    <n v="4.5"/>
    <n v="2.5"/>
    <n v="4.5999999999999996"/>
    <s v="Yes"/>
    <n v="0"/>
    <n v="0"/>
    <m/>
    <n v="0"/>
    <x v="0"/>
    <m/>
    <n v="1"/>
    <n v="0"/>
    <x v="1"/>
    <s v="0â€“1 years"/>
    <s v="Low"/>
    <s v="3.8666666666666667"/>
    <n v="0.25"/>
    <n v="0"/>
  </r>
  <r>
    <s v="EMP0883"/>
    <s v="Customer Support"/>
    <x v="2"/>
    <n v="2.7"/>
    <s v="G4"/>
    <n v="26"/>
    <s v="Diploma"/>
    <s v="Bengaluru"/>
    <n v="3"/>
    <n v="5"/>
    <n v="9"/>
    <n v="2"/>
    <n v="12"/>
    <n v="0"/>
    <s v="Band D"/>
    <n v="79900"/>
    <n v="3.8"/>
    <n v="3.3"/>
    <n v="2.4"/>
    <n v="0"/>
    <n v="3"/>
    <n v="3.4"/>
    <n v="1.9"/>
    <s v="Yes"/>
    <n v="0"/>
    <n v="3"/>
    <n v="0.7"/>
    <n v="0"/>
    <x v="0"/>
    <m/>
    <n v="0"/>
    <n v="0"/>
    <x v="0"/>
    <s v="1â€“3 years"/>
    <s v="Low"/>
    <s v="2.766666666666667"/>
    <n v="0.25"/>
    <n v="0"/>
  </r>
  <r>
    <s v="EMP0884"/>
    <s v="Hr"/>
    <x v="1"/>
    <n v="6.3"/>
    <s v="G5"/>
    <n v="33"/>
    <s v="Master"/>
    <s v="Remote"/>
    <n v="2"/>
    <n v="4.8"/>
    <n v="5"/>
    <n v="1"/>
    <n v="12"/>
    <n v="0"/>
    <s v="Band E"/>
    <n v="114800"/>
    <n v="13.4"/>
    <n v="4.0999999999999996"/>
    <n v="2.7"/>
    <n v="0"/>
    <n v="3.7"/>
    <n v="2.2000000000000002"/>
    <n v="4.4000000000000004"/>
    <s v="Yes"/>
    <n v="0"/>
    <n v="0"/>
    <m/>
    <n v="0"/>
    <x v="0"/>
    <m/>
    <n v="1"/>
    <n v="0"/>
    <x v="1"/>
    <s v="5+ years"/>
    <s v="Low"/>
    <s v="3.4333333333333336"/>
    <s v="0.16666666666666666"/>
    <n v="0"/>
  </r>
  <r>
    <s v="EMP0885"/>
    <s v="Engineering"/>
    <x v="10"/>
    <n v="8.6"/>
    <s v="G2"/>
    <n v="38"/>
    <s v="Diploma"/>
    <s v="Hyderabad"/>
    <n v="3"/>
    <n v="7.1"/>
    <n v="13"/>
    <n v="1"/>
    <n v="12"/>
    <n v="0"/>
    <s v="Band B"/>
    <n v="41600"/>
    <n v="8.1999999999999993"/>
    <n v="1.2"/>
    <n v="1.5"/>
    <n v="0"/>
    <n v="1.2"/>
    <n v="2.8"/>
    <n v="3.1"/>
    <s v="Yes"/>
    <n v="0"/>
    <n v="0"/>
    <m/>
    <n v="1"/>
    <x v="0"/>
    <m/>
    <n v="1"/>
    <n v="0"/>
    <x v="1"/>
    <s v="5+ years"/>
    <s v="Low"/>
    <s v="2.3666666666666667"/>
    <n v="0.25"/>
    <n v="0"/>
  </r>
  <r>
    <s v="EMP0886"/>
    <s v="Sales"/>
    <x v="13"/>
    <n v="7.2"/>
    <s v="G3"/>
    <n v="33"/>
    <s v="Bachelor"/>
    <s v="Bengaluru"/>
    <n v="5"/>
    <n v="11.3"/>
    <n v="7"/>
    <n v="4"/>
    <n v="12"/>
    <n v="0"/>
    <s v="Band C"/>
    <n v="53300"/>
    <n v="17"/>
    <n v="3.7"/>
    <n v="1.8"/>
    <n v="0"/>
    <n v="1.9"/>
    <n v="2.1"/>
    <n v="3.3"/>
    <s v="Yes"/>
    <n v="0"/>
    <n v="0"/>
    <m/>
    <n v="0"/>
    <x v="0"/>
    <m/>
    <n v="1"/>
    <n v="0"/>
    <x v="1"/>
    <s v="5+ years"/>
    <s v="Moderate"/>
    <s v="2.433333333333333"/>
    <s v="0.4166666666666667"/>
    <n v="0"/>
  </r>
  <r>
    <s v="EMP0887"/>
    <s v="Sales"/>
    <x v="14"/>
    <n v="7.5"/>
    <s v="G4"/>
    <n v="32"/>
    <s v="Bachelor"/>
    <s v="Bengaluru"/>
    <n v="3"/>
    <n v="10.3"/>
    <n v="4"/>
    <n v="1"/>
    <n v="12"/>
    <n v="0"/>
    <s v="Band C"/>
    <n v="71900"/>
    <n v="9.5"/>
    <n v="2.8"/>
    <n v="1.5"/>
    <n v="0"/>
    <n v="5"/>
    <n v="3.3"/>
    <n v="3.1"/>
    <s v="Yes"/>
    <n v="1"/>
    <n v="1"/>
    <n v="2.2000000000000002"/>
    <n v="0"/>
    <x v="0"/>
    <m/>
    <n v="0"/>
    <n v="0"/>
    <x v="0"/>
    <s v="5+ years"/>
    <s v="Moderate"/>
    <s v="3.8000000000000003"/>
    <n v="0.25"/>
    <n v="0"/>
  </r>
  <r>
    <s v="EMP0888"/>
    <s v="Engineering"/>
    <x v="16"/>
    <n v="1.6"/>
    <s v="G2"/>
    <n v="27"/>
    <s v="Master"/>
    <s v="Bengaluru"/>
    <n v="6"/>
    <n v="17.600000000000001"/>
    <n v="4"/>
    <n v="0"/>
    <n v="12"/>
    <n v="0"/>
    <s v="Band A"/>
    <n v="30100"/>
    <n v="10.4"/>
    <n v="2.9"/>
    <n v="2.2999999999999998"/>
    <n v="0"/>
    <n v="3.3"/>
    <n v="2.5"/>
    <n v="3.6"/>
    <s v="Yes"/>
    <n v="0"/>
    <n v="1"/>
    <n v="0.5"/>
    <n v="3"/>
    <x v="0"/>
    <m/>
    <n v="0"/>
    <n v="0"/>
    <x v="0"/>
    <s v="1â€“3 years"/>
    <s v="Moderate"/>
    <s v="3.1333333333333333"/>
    <n v="0.5"/>
    <n v="0"/>
  </r>
  <r>
    <s v="EMP0889"/>
    <s v="Engineering"/>
    <x v="16"/>
    <n v="4.5"/>
    <s v="G4"/>
    <n v="34"/>
    <s v="Bachelor"/>
    <s v="Coimbatore"/>
    <n v="2"/>
    <n v="11.8"/>
    <n v="9"/>
    <n v="2"/>
    <n v="12"/>
    <n v="0"/>
    <s v="Band C"/>
    <n v="73500"/>
    <n v="3.8"/>
    <n v="4.4000000000000004"/>
    <n v="1.1000000000000001"/>
    <n v="0"/>
    <n v="2.4"/>
    <n v="3.8"/>
    <n v="2.8"/>
    <s v="Yes"/>
    <n v="0"/>
    <n v="1"/>
    <n v="0.8"/>
    <n v="0"/>
    <x v="0"/>
    <m/>
    <n v="0"/>
    <n v="0"/>
    <x v="0"/>
    <s v="3â€“5 years"/>
    <s v="Moderate"/>
    <n v="3"/>
    <s v="0.16666666666666666"/>
    <n v="0"/>
  </r>
  <r>
    <s v="EMP0890"/>
    <s v="Operations"/>
    <x v="6"/>
    <n v="5.5"/>
    <s v="G2"/>
    <n v="36"/>
    <s v="Bachelor"/>
    <s v="Chennai"/>
    <n v="3"/>
    <n v="16.399999999999999"/>
    <n v="12"/>
    <n v="2"/>
    <n v="12"/>
    <n v="0"/>
    <s v="Band B"/>
    <n v="40400"/>
    <n v="7.1"/>
    <n v="2.8"/>
    <n v="0.1"/>
    <n v="0"/>
    <n v="3.5"/>
    <n v="3.3"/>
    <n v="4.2"/>
    <s v="No"/>
    <n v="1"/>
    <n v="0"/>
    <m/>
    <n v="0"/>
    <x v="0"/>
    <m/>
    <n v="1"/>
    <n v="0"/>
    <x v="1"/>
    <s v="5+ years"/>
    <s v="Moderate"/>
    <s v="3.6666666666666665"/>
    <n v="0.25"/>
    <n v="0"/>
  </r>
  <r>
    <s v="EMP0891"/>
    <s v="Sales"/>
    <x v="13"/>
    <n v="5.7"/>
    <s v="G4"/>
    <n v="29"/>
    <s v="Master"/>
    <s v="Bengaluru"/>
    <n v="5"/>
    <n v="18.399999999999999"/>
    <n v="12"/>
    <n v="2"/>
    <n v="12"/>
    <n v="0"/>
    <s v="Band C"/>
    <n v="66600"/>
    <n v="8.3000000000000007"/>
    <n v="3.6"/>
    <n v="0.5"/>
    <n v="0"/>
    <n v="2.4"/>
    <n v="3"/>
    <n v="4.3"/>
    <s v="Yes"/>
    <n v="0"/>
    <n v="0"/>
    <m/>
    <n v="0"/>
    <x v="0"/>
    <m/>
    <n v="1"/>
    <n v="0"/>
    <x v="1"/>
    <s v="5+ years"/>
    <s v="Moderate"/>
    <s v="3.233333333333333"/>
    <s v="0.4166666666666667"/>
    <n v="0"/>
  </r>
  <r>
    <s v="EMP0892"/>
    <s v="Customer Support"/>
    <x v="2"/>
    <n v="3.6"/>
    <s v="G1"/>
    <n v="27"/>
    <s v="Bachelor"/>
    <s v="Bengaluru"/>
    <n v="2"/>
    <n v="6.7"/>
    <n v="10"/>
    <n v="1"/>
    <n v="12"/>
    <n v="0"/>
    <s v="Band A"/>
    <n v="22400"/>
    <n v="5.5"/>
    <n v="2.2999999999999998"/>
    <n v="0.6"/>
    <n v="0"/>
    <n v="3"/>
    <n v="4.8"/>
    <n v="3.4"/>
    <s v="No"/>
    <n v="1"/>
    <n v="2"/>
    <n v="2.2999999999999998"/>
    <n v="1"/>
    <x v="0"/>
    <m/>
    <n v="0"/>
    <n v="0"/>
    <x v="0"/>
    <s v="3â€“5 years"/>
    <s v="Low"/>
    <s v="3.733333333333333"/>
    <s v="0.16666666666666666"/>
    <n v="0"/>
  </r>
  <r>
    <s v="EMP0893"/>
    <s v="Sales"/>
    <x v="8"/>
    <n v="4.2"/>
    <s v="G2"/>
    <n v="32"/>
    <s v="Bachelor"/>
    <s v="Coimbatore"/>
    <n v="1"/>
    <n v="9"/>
    <n v="12"/>
    <n v="2"/>
    <n v="12"/>
    <n v="0"/>
    <s v="Band B"/>
    <n v="40200"/>
    <n v="6.1"/>
    <n v="3.2"/>
    <n v="1"/>
    <n v="0"/>
    <n v="2"/>
    <n v="3.5"/>
    <n v="3.9"/>
    <s v="Yes"/>
    <n v="0"/>
    <n v="0"/>
    <m/>
    <n v="0"/>
    <x v="0"/>
    <m/>
    <n v="1"/>
    <n v="0"/>
    <x v="1"/>
    <s v="3â€“5 years"/>
    <s v="Low"/>
    <s v="3.1333333333333333"/>
    <n v="8.3333333333333301E-2"/>
    <n v="0"/>
  </r>
  <r>
    <s v="EMP0894"/>
    <s v="Engineering"/>
    <x v="4"/>
    <n v="7.1"/>
    <s v="G3"/>
    <n v="39"/>
    <s v="Master"/>
    <s v="Hyderabad"/>
    <n v="2"/>
    <n v="45"/>
    <n v="8"/>
    <n v="4"/>
    <n v="12"/>
    <n v="0"/>
    <s v="Band C"/>
    <n v="58200"/>
    <n v="9.6999999999999993"/>
    <n v="1.8"/>
    <n v="1.1000000000000001"/>
    <n v="0"/>
    <n v="2.6"/>
    <n v="2.9"/>
    <n v="3.1"/>
    <s v="Yes"/>
    <n v="0"/>
    <n v="1"/>
    <n v="1.8"/>
    <n v="0"/>
    <x v="1"/>
    <d v="2024-12-23T00:00:00"/>
    <n v="0"/>
    <n v="0"/>
    <x v="0"/>
    <s v="5+ years"/>
    <s v="High"/>
    <s v="2.8666666666666667"/>
    <s v="0.16666666666666666"/>
    <n v="1"/>
  </r>
  <r>
    <s v="EMP0895"/>
    <s v="Operations"/>
    <x v="6"/>
    <n v="5.3"/>
    <s v="G3"/>
    <n v="36"/>
    <s v="Bachelor"/>
    <s v="Bengaluru"/>
    <n v="5"/>
    <n v="6.2"/>
    <n v="10"/>
    <n v="1"/>
    <n v="12"/>
    <n v="0"/>
    <s v="Band C"/>
    <n v="57200"/>
    <n v="9.8000000000000007"/>
    <n v="3.1"/>
    <n v="4.2"/>
    <n v="0"/>
    <n v="2.9"/>
    <n v="2.7"/>
    <n v="3.4"/>
    <s v="Yes"/>
    <n v="0"/>
    <n v="0"/>
    <m/>
    <n v="1"/>
    <x v="0"/>
    <m/>
    <n v="1"/>
    <n v="0"/>
    <x v="1"/>
    <s v="5+ years"/>
    <s v="Low"/>
    <n v="3"/>
    <s v="0.4166666666666667"/>
    <n v="0"/>
  </r>
  <r>
    <s v="EMP0896"/>
    <s v="Customer Support"/>
    <x v="2"/>
    <n v="6"/>
    <s v="G4"/>
    <n v="27"/>
    <s v="Bachelor"/>
    <s v="Coimbatore"/>
    <n v="1"/>
    <n v="17.100000000000001"/>
    <n v="10"/>
    <n v="0"/>
    <n v="12"/>
    <n v="0"/>
    <s v="Band C"/>
    <n v="65400"/>
    <n v="2.7"/>
    <n v="3.5"/>
    <n v="1.3"/>
    <n v="0"/>
    <n v="4.3"/>
    <n v="2.1"/>
    <n v="4.5999999999999996"/>
    <s v="Yes"/>
    <n v="0"/>
    <n v="4"/>
    <n v="5.4"/>
    <n v="2"/>
    <x v="0"/>
    <m/>
    <n v="0"/>
    <n v="0"/>
    <x v="0"/>
    <s v="5+ years"/>
    <s v="Moderate"/>
    <s v="3.6666666666666665"/>
    <n v="8.3333333333333301E-2"/>
    <n v="0"/>
  </r>
  <r>
    <s v="EMP0897"/>
    <s v="Sales"/>
    <x v="8"/>
    <n v="2.6"/>
    <s v="G5"/>
    <n v="28"/>
    <s v="Bachelor"/>
    <s v="Chennai"/>
    <n v="3"/>
    <n v="2.9"/>
    <n v="10"/>
    <n v="0"/>
    <n v="12"/>
    <n v="0"/>
    <s v="Band D"/>
    <n v="100400"/>
    <n v="9.1"/>
    <n v="4.2"/>
    <n v="1.8"/>
    <n v="0"/>
    <n v="3.7"/>
    <n v="3.1"/>
    <n v="2.9"/>
    <s v="No"/>
    <n v="0"/>
    <n v="0"/>
    <m/>
    <n v="1"/>
    <x v="0"/>
    <m/>
    <n v="1"/>
    <n v="0"/>
    <x v="1"/>
    <s v="1â€“3 years"/>
    <s v="Low"/>
    <s v="3.233333333333334"/>
    <n v="0.25"/>
    <n v="0"/>
  </r>
  <r>
    <s v="EMP0898"/>
    <s v="Engineering"/>
    <x v="12"/>
    <n v="5.8"/>
    <s v="G1"/>
    <n v="28"/>
    <s v="Doctorate"/>
    <s v="Chennai"/>
    <n v="2"/>
    <n v="18.7"/>
    <n v="6"/>
    <n v="1"/>
    <n v="12"/>
    <n v="0"/>
    <s v="Band A"/>
    <n v="29000"/>
    <n v="10.199999999999999"/>
    <n v="2.5"/>
    <n v="1.2"/>
    <n v="0"/>
    <n v="3.9"/>
    <n v="3.5"/>
    <n v="4.0999999999999996"/>
    <s v="Yes"/>
    <n v="0"/>
    <n v="0"/>
    <m/>
    <n v="0"/>
    <x v="0"/>
    <m/>
    <n v="1"/>
    <n v="0"/>
    <x v="1"/>
    <s v="5+ years"/>
    <s v="Moderate"/>
    <s v="3.8333333333333335"/>
    <s v="0.16666666666666666"/>
    <n v="0"/>
  </r>
  <r>
    <s v="EMP0899"/>
    <s v="Engineering"/>
    <x v="4"/>
    <n v="4.0999999999999996"/>
    <s v="G2"/>
    <n v="29"/>
    <s v="Bachelor"/>
    <s v="Chennai"/>
    <n v="3"/>
    <n v="5.3"/>
    <n v="8"/>
    <n v="2"/>
    <n v="12"/>
    <n v="0"/>
    <s v="Band B"/>
    <n v="43300"/>
    <n v="5.6"/>
    <n v="2.7"/>
    <n v="1.5"/>
    <n v="0"/>
    <n v="3.3"/>
    <n v="1.5"/>
    <n v="3.8"/>
    <s v="Yes"/>
    <n v="0"/>
    <n v="0"/>
    <m/>
    <n v="0"/>
    <x v="0"/>
    <m/>
    <n v="1"/>
    <n v="0"/>
    <x v="1"/>
    <s v="3â€“5 years"/>
    <s v="Low"/>
    <s v="2.8666666666666667"/>
    <n v="0.25"/>
    <n v="0"/>
  </r>
  <r>
    <s v="EMP0900"/>
    <s v="Finance"/>
    <x v="18"/>
    <n v="6.6"/>
    <s v="G2"/>
    <n v="39"/>
    <s v="Diploma"/>
    <s v="Coimbatore"/>
    <n v="2"/>
    <n v="10.6"/>
    <n v="11"/>
    <n v="1"/>
    <n v="12"/>
    <n v="0"/>
    <s v="Band B"/>
    <n v="35900"/>
    <n v="5.2"/>
    <n v="2.6"/>
    <n v="1.8"/>
    <n v="0"/>
    <n v="4"/>
    <n v="2"/>
    <n v="3.4"/>
    <s v="Yes"/>
    <n v="1"/>
    <n v="0"/>
    <m/>
    <n v="0"/>
    <x v="0"/>
    <m/>
    <n v="1"/>
    <n v="0"/>
    <x v="1"/>
    <s v="5+ years"/>
    <s v="Moderate"/>
    <s v="3.1333333333333333"/>
    <s v="0.16666666666666666"/>
    <n v="0"/>
  </r>
  <r>
    <s v="EMP0901"/>
    <s v="Hr"/>
    <x v="7"/>
    <n v="2.2000000000000002"/>
    <s v="G2"/>
    <n v="23"/>
    <s v="Bachelor"/>
    <s v="Chennai"/>
    <n v="4"/>
    <n v="9.8000000000000007"/>
    <n v="13"/>
    <n v="0"/>
    <n v="12"/>
    <n v="0"/>
    <s v="Band B"/>
    <n v="43400"/>
    <n v="9.8000000000000007"/>
    <n v="3"/>
    <n v="3.2"/>
    <n v="0"/>
    <n v="2.5"/>
    <n v="2.7"/>
    <n v="3.7"/>
    <s v="Yes"/>
    <n v="0"/>
    <n v="0"/>
    <m/>
    <n v="0"/>
    <x v="1"/>
    <d v="2026-01-30T00:00:00"/>
    <n v="1"/>
    <n v="0"/>
    <x v="1"/>
    <s v="1â€“3 years"/>
    <s v="Low"/>
    <s v="2.966666666666667"/>
    <s v="0.3333333333333333"/>
    <n v="1"/>
  </r>
  <r>
    <s v="EMP0902"/>
    <s v="Sales"/>
    <x v="14"/>
    <n v="6.3"/>
    <s v="G2"/>
    <n v="26"/>
    <s v="Bachelor"/>
    <s v="Chennai"/>
    <n v="5"/>
    <n v="9.9"/>
    <n v="7"/>
    <n v="1"/>
    <n v="12"/>
    <n v="0"/>
    <s v="Band B"/>
    <n v="47800"/>
    <n v="0"/>
    <n v="2.2999999999999998"/>
    <n v="3.1"/>
    <n v="0"/>
    <n v="2.6"/>
    <n v="2.2000000000000002"/>
    <n v="3.6"/>
    <s v="Yes"/>
    <n v="0"/>
    <n v="1"/>
    <n v="2.4"/>
    <n v="1"/>
    <x v="0"/>
    <m/>
    <n v="0"/>
    <n v="0"/>
    <x v="0"/>
    <s v="5+ years"/>
    <s v="Low"/>
    <s v="2.8000000000000003"/>
    <s v="0.4166666666666667"/>
    <n v="0"/>
  </r>
  <r>
    <s v="EMP0903"/>
    <s v="Engineering"/>
    <x v="4"/>
    <n v="2.9"/>
    <s v="G4"/>
    <n v="26"/>
    <s v="Doctorate"/>
    <s v="Chennai"/>
    <n v="4"/>
    <n v="8.6999999999999993"/>
    <n v="3"/>
    <n v="1"/>
    <n v="12"/>
    <n v="0"/>
    <s v="Band C"/>
    <n v="71900"/>
    <n v="8"/>
    <n v="1.3"/>
    <n v="0.2"/>
    <n v="0"/>
    <n v="3.7"/>
    <n v="3.2"/>
    <n v="2.5"/>
    <s v="Yes"/>
    <n v="0"/>
    <n v="2"/>
    <n v="2.7"/>
    <n v="0"/>
    <x v="0"/>
    <m/>
    <n v="0"/>
    <n v="0"/>
    <x v="0"/>
    <s v="1â€“3 years"/>
    <s v="Low"/>
    <s v="3.1333333333333333"/>
    <s v="0.3333333333333333"/>
    <n v="0"/>
  </r>
  <r>
    <s v="EMP0904"/>
    <s v="Hr"/>
    <x v="7"/>
    <n v="6.3"/>
    <s v="G4"/>
    <n v="33"/>
    <s v="Bachelor"/>
    <s v="Hyderabad"/>
    <n v="9"/>
    <n v="14.4"/>
    <n v="10"/>
    <n v="3"/>
    <n v="12"/>
    <n v="0"/>
    <s v="Band D"/>
    <n v="78100"/>
    <n v="14.5"/>
    <n v="2.2999999999999998"/>
    <n v="0.6"/>
    <n v="0"/>
    <n v="3"/>
    <n v="3.4"/>
    <n v="3.4"/>
    <s v="No"/>
    <n v="1"/>
    <n v="0"/>
    <m/>
    <n v="0"/>
    <x v="0"/>
    <m/>
    <n v="1"/>
    <n v="0"/>
    <x v="1"/>
    <s v="5+ years"/>
    <s v="Moderate"/>
    <s v="3.266666666666667"/>
    <n v="0.75"/>
    <n v="0"/>
  </r>
  <r>
    <s v="EMP0905"/>
    <s v="Customer Support"/>
    <x v="2"/>
    <n v="4.5999999999999996"/>
    <s v="G1"/>
    <n v="33"/>
    <s v="Diploma"/>
    <s v="Hyderabad"/>
    <n v="2"/>
    <n v="22.8"/>
    <n v="12"/>
    <n v="4"/>
    <n v="12"/>
    <n v="0"/>
    <s v="Band A"/>
    <n v="31800"/>
    <n v="0"/>
    <n v="3.2"/>
    <n v="1"/>
    <n v="0"/>
    <n v="3.3"/>
    <n v="3.1"/>
    <n v="2.6"/>
    <s v="Yes"/>
    <n v="0"/>
    <n v="1"/>
    <n v="0.3"/>
    <n v="0"/>
    <x v="0"/>
    <m/>
    <n v="0"/>
    <n v="0"/>
    <x v="0"/>
    <s v="3â€“5 years"/>
    <s v="High"/>
    <n v="3"/>
    <s v="0.16666666666666666"/>
    <n v="0"/>
  </r>
  <r>
    <s v="EMP0906"/>
    <s v="Operations"/>
    <x v="0"/>
    <n v="3.9"/>
    <s v="G2"/>
    <n v="32"/>
    <s v="Bachelor"/>
    <s v="Coimbatore"/>
    <n v="2"/>
    <n v="4.0999999999999996"/>
    <n v="15"/>
    <n v="4"/>
    <n v="12"/>
    <n v="0"/>
    <s v="Band A"/>
    <n v="34300"/>
    <n v="11.3"/>
    <n v="3.1"/>
    <n v="2.9"/>
    <n v="0"/>
    <n v="3.2"/>
    <n v="3.7"/>
    <n v="3.2"/>
    <s v="Yes"/>
    <n v="0"/>
    <n v="0"/>
    <m/>
    <n v="0"/>
    <x v="0"/>
    <m/>
    <n v="1"/>
    <n v="0"/>
    <x v="1"/>
    <s v="3â€“5 years"/>
    <s v="Low"/>
    <s v="3.366666666666667"/>
    <s v="0.16666666666666666"/>
    <n v="0"/>
  </r>
  <r>
    <s v="EMP0907"/>
    <s v="Hr"/>
    <x v="7"/>
    <n v="3.1"/>
    <s v="G3"/>
    <n v="34"/>
    <s v="Diploma"/>
    <s v="Chennai"/>
    <n v="7"/>
    <n v="8.9"/>
    <n v="7"/>
    <n v="5"/>
    <n v="12"/>
    <n v="0"/>
    <s v="Band B"/>
    <n v="49800"/>
    <n v="10.199999999999999"/>
    <n v="3.7"/>
    <n v="1.7"/>
    <n v="0"/>
    <n v="4.4000000000000004"/>
    <n v="2.7"/>
    <n v="4.5"/>
    <s v="Yes"/>
    <n v="0"/>
    <n v="1"/>
    <n v="0.3"/>
    <n v="1"/>
    <x v="0"/>
    <m/>
    <n v="0"/>
    <n v="0"/>
    <x v="0"/>
    <s v="3â€“5 years"/>
    <s v="Low"/>
    <s v="3.866666666666667"/>
    <s v="0.5833333333333334"/>
    <n v="0"/>
  </r>
  <r>
    <s v="EMP0908"/>
    <s v="Engineering"/>
    <x v="4"/>
    <n v="3.6"/>
    <s v="G2"/>
    <n v="23"/>
    <s v="Bachelor"/>
    <s v="Chennai"/>
    <n v="2"/>
    <n v="1.4"/>
    <n v="5"/>
    <n v="1"/>
    <n v="12"/>
    <n v="0"/>
    <s v="Band B"/>
    <n v="39800"/>
    <n v="2.2000000000000002"/>
    <n v="4"/>
    <n v="1.1000000000000001"/>
    <n v="0"/>
    <n v="4.5"/>
    <n v="3.2"/>
    <n v="3.9"/>
    <s v="No"/>
    <n v="0"/>
    <n v="2"/>
    <n v="1.9"/>
    <n v="1"/>
    <x v="0"/>
    <m/>
    <n v="0"/>
    <n v="0"/>
    <x v="0"/>
    <s v="3â€“5 years"/>
    <s v="Low"/>
    <s v="3.8666666666666667"/>
    <s v="0.16666666666666666"/>
    <n v="0"/>
  </r>
  <r>
    <s v="EMP0909"/>
    <s v="Sales"/>
    <x v="13"/>
    <n v="2.7"/>
    <s v="G1"/>
    <n v="33"/>
    <s v="Doctorate"/>
    <s v="Chennai"/>
    <n v="3"/>
    <n v="11.7"/>
    <n v="15"/>
    <n v="3"/>
    <n v="12"/>
    <n v="0"/>
    <s v="Band B"/>
    <n v="35200"/>
    <n v="10.1"/>
    <n v="2.8"/>
    <n v="0.3"/>
    <n v="0"/>
    <n v="2.7"/>
    <n v="2.2999999999999998"/>
    <n v="2.2999999999999998"/>
    <s v="No"/>
    <n v="0"/>
    <n v="1"/>
    <m/>
    <n v="0"/>
    <x v="1"/>
    <d v="2024-10-31T00:00:00"/>
    <n v="1"/>
    <n v="0"/>
    <x v="0"/>
    <s v="1â€“3 years"/>
    <s v="Moderate"/>
    <s v="2.433333333333333"/>
    <n v="0.25"/>
    <n v="1"/>
  </r>
  <r>
    <s v="EMP0910"/>
    <s v="Sales"/>
    <x v="8"/>
    <n v="3"/>
    <s v="G2"/>
    <n v="28"/>
    <s v="Master"/>
    <s v="Coimbatore"/>
    <n v="2"/>
    <n v="3.8"/>
    <n v="9"/>
    <n v="1"/>
    <n v="12"/>
    <n v="0"/>
    <s v="Band A"/>
    <n v="33000"/>
    <n v="12"/>
    <n v="1.8"/>
    <n v="2.5"/>
    <n v="0"/>
    <n v="1.7"/>
    <n v="3.5"/>
    <n v="3.2"/>
    <s v="No"/>
    <n v="0"/>
    <n v="0"/>
    <m/>
    <n v="0"/>
    <x v="0"/>
    <m/>
    <n v="1"/>
    <n v="0"/>
    <x v="1"/>
    <s v="1â€“3 years"/>
    <s v="Low"/>
    <s v="2.8000000000000003"/>
    <s v="0.16666666666666666"/>
    <n v="0"/>
  </r>
  <r>
    <s v="EMP0911"/>
    <s v="Operations"/>
    <x v="6"/>
    <n v="5.2"/>
    <s v="G2"/>
    <n v="34"/>
    <s v="Diploma"/>
    <s v="Chennai"/>
    <n v="3"/>
    <n v="10.199999999999999"/>
    <n v="14"/>
    <n v="4"/>
    <n v="12"/>
    <n v="0"/>
    <s v="Band B"/>
    <n v="47700"/>
    <n v="3.3"/>
    <n v="3.6"/>
    <n v="3.3"/>
    <n v="0"/>
    <n v="2.7"/>
    <n v="3.3"/>
    <n v="3.6"/>
    <s v="Yes"/>
    <n v="0"/>
    <n v="0"/>
    <m/>
    <n v="1"/>
    <x v="0"/>
    <m/>
    <n v="1"/>
    <n v="0"/>
    <x v="1"/>
    <s v="5+ years"/>
    <s v="Moderate"/>
    <s v="3.1999999999999997"/>
    <n v="0.25"/>
    <n v="0"/>
  </r>
  <r>
    <s v="EMP0912"/>
    <s v="Customer Support"/>
    <x v="5"/>
    <n v="0.8"/>
    <s v="G1"/>
    <n v="22"/>
    <s v="Bachelor"/>
    <s v="Chennai"/>
    <n v="1"/>
    <n v="12.1"/>
    <n v="7"/>
    <n v="3"/>
    <n v="12"/>
    <n v="0"/>
    <s v="Band A"/>
    <n v="27400"/>
    <n v="5.2"/>
    <n v="3.2"/>
    <n v="0.5"/>
    <n v="0"/>
    <n v="2.5"/>
    <n v="3.3"/>
    <n v="4"/>
    <s v="Yes"/>
    <n v="1"/>
    <n v="1"/>
    <n v="0.4"/>
    <n v="0"/>
    <x v="0"/>
    <m/>
    <n v="0"/>
    <n v="0"/>
    <x v="0"/>
    <s v="0â€“1 years"/>
    <s v="Moderate"/>
    <s v="3.266666666666667"/>
    <n v="8.3333333333333301E-2"/>
    <n v="0"/>
  </r>
  <r>
    <s v="EMP0913"/>
    <s v="Customer Support"/>
    <x v="2"/>
    <n v="6.2"/>
    <s v="G3"/>
    <n v="32"/>
    <s v="Bachelor"/>
    <s v="Remote"/>
    <n v="6"/>
    <n v="1.7"/>
    <n v="9"/>
    <n v="1"/>
    <n v="12"/>
    <n v="0"/>
    <s v="Band C"/>
    <n v="55000"/>
    <n v="8.1"/>
    <n v="3"/>
    <n v="0.2"/>
    <n v="0"/>
    <n v="4"/>
    <n v="3.1"/>
    <n v="2.9"/>
    <s v="Yes"/>
    <n v="0"/>
    <n v="2"/>
    <n v="4"/>
    <n v="1"/>
    <x v="0"/>
    <m/>
    <n v="0"/>
    <n v="0"/>
    <x v="0"/>
    <s v="5+ years"/>
    <s v="Low"/>
    <s v="3.3333333333333335"/>
    <n v="0.5"/>
    <n v="0"/>
  </r>
  <r>
    <s v="EMP0914"/>
    <s v="Customer Support"/>
    <x v="5"/>
    <n v="6.3"/>
    <s v="G2"/>
    <n v="33"/>
    <s v="Bachelor"/>
    <s v="Coimbatore"/>
    <n v="3"/>
    <n v="13.5"/>
    <n v="6"/>
    <n v="2"/>
    <n v="12"/>
    <n v="0"/>
    <s v="Band B"/>
    <n v="46400"/>
    <n v="11.9"/>
    <n v="4.3"/>
    <n v="1.2"/>
    <n v="0"/>
    <n v="4.0999999999999996"/>
    <n v="3.2"/>
    <n v="2.4"/>
    <s v="Yes"/>
    <n v="0"/>
    <n v="1"/>
    <n v="1.6"/>
    <n v="1"/>
    <x v="0"/>
    <m/>
    <n v="0"/>
    <n v="0"/>
    <x v="0"/>
    <s v="5+ years"/>
    <s v="Moderate"/>
    <s v="3.233333333333333"/>
    <n v="0.25"/>
    <n v="0"/>
  </r>
  <r>
    <s v="EMP0915"/>
    <s v="Customer Support"/>
    <x v="2"/>
    <n v="3.1"/>
    <s v="G3"/>
    <n v="34"/>
    <s v="Bachelor"/>
    <s v="Hyderabad"/>
    <n v="3"/>
    <n v="22"/>
    <n v="10"/>
    <n v="2"/>
    <n v="12"/>
    <n v="0"/>
    <s v="Band C"/>
    <n v="65700"/>
    <n v="5.8"/>
    <n v="3.6"/>
    <n v="1.3"/>
    <n v="0"/>
    <n v="2.4"/>
    <n v="3.5"/>
    <n v="3.4"/>
    <s v="Yes"/>
    <n v="0"/>
    <n v="1"/>
    <n v="1"/>
    <n v="1"/>
    <x v="1"/>
    <d v="2025-11-21T00:00:00"/>
    <n v="0"/>
    <n v="0"/>
    <x v="0"/>
    <s v="3â€“5 years"/>
    <s v="High"/>
    <n v="3.1"/>
    <n v="0.25"/>
    <n v="1"/>
  </r>
  <r>
    <s v="EMP0916"/>
    <s v="Customer Support"/>
    <x v="2"/>
    <n v="4.2"/>
    <s v="G2"/>
    <n v="24"/>
    <s v="Bachelor"/>
    <s v="Chennai"/>
    <n v="2"/>
    <n v="15.9"/>
    <n v="9"/>
    <n v="3"/>
    <n v="12"/>
    <n v="0"/>
    <s v="Band B"/>
    <n v="41200"/>
    <n v="7.8"/>
    <n v="3.3"/>
    <n v="4"/>
    <n v="0"/>
    <n v="2.6"/>
    <n v="3.5"/>
    <n v="3.9"/>
    <s v="No"/>
    <n v="0"/>
    <n v="2"/>
    <n v="2"/>
    <n v="0"/>
    <x v="0"/>
    <m/>
    <n v="0"/>
    <n v="0"/>
    <x v="0"/>
    <s v="3â€“5 years"/>
    <s v="Moderate"/>
    <s v="3.3333333333333335"/>
    <s v="0.16666666666666666"/>
    <n v="0"/>
  </r>
  <r>
    <s v="EMP0917"/>
    <s v="Engineering"/>
    <x v="12"/>
    <n v="1.7"/>
    <s v="G4"/>
    <n v="28"/>
    <s v="Master"/>
    <s v="Chennai"/>
    <n v="1"/>
    <n v="4.2"/>
    <n v="8"/>
    <n v="0"/>
    <n v="12"/>
    <n v="0"/>
    <s v="Band D"/>
    <n v="79800"/>
    <n v="5.3"/>
    <n v="3.3"/>
    <n v="0.7"/>
    <n v="0"/>
    <n v="2"/>
    <n v="2.6"/>
    <n v="3.6"/>
    <s v="Yes"/>
    <n v="0"/>
    <n v="1"/>
    <n v="1"/>
    <n v="1"/>
    <x v="0"/>
    <m/>
    <n v="0"/>
    <n v="0"/>
    <x v="0"/>
    <s v="1â€“3 years"/>
    <s v="Low"/>
    <s v="2.733333333333333"/>
    <n v="8.3333333333333301E-2"/>
    <n v="0"/>
  </r>
  <r>
    <s v="EMP0918"/>
    <s v="Engineering"/>
    <x v="4"/>
    <n v="5"/>
    <s v="G1"/>
    <n v="27"/>
    <s v="Master"/>
    <s v="Remote"/>
    <n v="1"/>
    <n v="9.6999999999999993"/>
    <n v="5"/>
    <n v="0"/>
    <n v="12"/>
    <n v="0"/>
    <s v="Band A"/>
    <n v="26000"/>
    <n v="8.1"/>
    <n v="4"/>
    <n v="0.6"/>
    <n v="0"/>
    <n v="3.4"/>
    <n v="3.9"/>
    <n v="2.7"/>
    <s v="Yes"/>
    <n v="0"/>
    <n v="0"/>
    <m/>
    <n v="1"/>
    <x v="0"/>
    <m/>
    <n v="1"/>
    <n v="0"/>
    <x v="1"/>
    <s v="3â€“5 years"/>
    <s v="Low"/>
    <s v="3.3333333333333335"/>
    <n v="8.3333333333333301E-2"/>
    <n v="0"/>
  </r>
  <r>
    <s v="EMP0919"/>
    <s v="Sales"/>
    <x v="14"/>
    <n v="1.9"/>
    <s v="G1"/>
    <n v="30"/>
    <s v="Bachelor"/>
    <s v="Coimbatore"/>
    <n v="5"/>
    <n v="10.6"/>
    <n v="8"/>
    <n v="3"/>
    <n v="12"/>
    <n v="0"/>
    <s v="Band A"/>
    <n v="26200"/>
    <n v="12.2"/>
    <n v="2.6"/>
    <n v="0.6"/>
    <n v="0"/>
    <n v="3.3"/>
    <n v="3.7"/>
    <n v="4.8"/>
    <s v="Yes"/>
    <n v="1"/>
    <n v="0"/>
    <m/>
    <n v="0"/>
    <x v="0"/>
    <m/>
    <n v="1"/>
    <n v="0"/>
    <x v="1"/>
    <s v="1â€“3 years"/>
    <s v="Moderate"/>
    <s v="3.9333333333333336"/>
    <s v="0.4166666666666667"/>
    <n v="0"/>
  </r>
  <r>
    <s v="EMP0920"/>
    <s v="Finance"/>
    <x v="11"/>
    <n v="0.1"/>
    <s v="G2"/>
    <n v="29"/>
    <s v="Master"/>
    <s v="Bengaluru"/>
    <n v="6"/>
    <n v="9"/>
    <n v="12"/>
    <n v="3"/>
    <n v="12"/>
    <n v="0"/>
    <s v="Band A"/>
    <n v="31800"/>
    <n v="8.4"/>
    <n v="2.4"/>
    <n v="0.4"/>
    <n v="0"/>
    <n v="4"/>
    <n v="2.5"/>
    <n v="3.3"/>
    <s v="Yes"/>
    <n v="0"/>
    <n v="1"/>
    <n v="0.3"/>
    <n v="1"/>
    <x v="0"/>
    <m/>
    <n v="0"/>
    <n v="0"/>
    <x v="0"/>
    <s v="0â€“1 years"/>
    <s v="Low"/>
    <s v="3.266666666666667"/>
    <n v="0.5"/>
    <n v="0"/>
  </r>
  <r>
    <s v="EMP0921"/>
    <s v="Engineering"/>
    <x v="10"/>
    <n v="8.3000000000000007"/>
    <s v="G2"/>
    <n v="39"/>
    <s v="Bachelor"/>
    <s v="Remote"/>
    <n v="1"/>
    <n v="2.7"/>
    <n v="6"/>
    <n v="3"/>
    <n v="12"/>
    <n v="0"/>
    <s v="Band B"/>
    <n v="39000"/>
    <n v="6.6"/>
    <n v="3"/>
    <n v="1.1000000000000001"/>
    <n v="0"/>
    <n v="3.7"/>
    <n v="2.2000000000000002"/>
    <n v="3.6"/>
    <s v="No"/>
    <n v="0"/>
    <n v="0"/>
    <m/>
    <n v="0"/>
    <x v="0"/>
    <m/>
    <n v="1"/>
    <n v="0"/>
    <x v="1"/>
    <s v="5+ years"/>
    <s v="Low"/>
    <s v="3.1666666666666665"/>
    <n v="8.3333333333333301E-2"/>
    <n v="0"/>
  </r>
  <r>
    <s v="EMP0922"/>
    <s v="Customer Support"/>
    <x v="9"/>
    <n v="1.6"/>
    <s v="G2"/>
    <n v="25"/>
    <s v="Bachelor"/>
    <s v="Coimbatore"/>
    <n v="1"/>
    <n v="4.9000000000000004"/>
    <n v="6"/>
    <n v="0"/>
    <n v="12"/>
    <n v="0"/>
    <s v="Band B"/>
    <n v="40600"/>
    <n v="7.9"/>
    <n v="2.1"/>
    <n v="2.6"/>
    <n v="0"/>
    <n v="3.8"/>
    <n v="2.6"/>
    <n v="2.9"/>
    <s v="Yes"/>
    <n v="0"/>
    <n v="1"/>
    <n v="1.1000000000000001"/>
    <n v="0"/>
    <x v="0"/>
    <m/>
    <n v="0"/>
    <n v="0"/>
    <x v="0"/>
    <s v="1â€“3 years"/>
    <s v="Low"/>
    <n v="3.1"/>
    <n v="8.3333333333333301E-2"/>
    <n v="0"/>
  </r>
  <r>
    <s v="EMP0923"/>
    <s v="Operations"/>
    <x v="6"/>
    <n v="3.6"/>
    <s v="G3"/>
    <n v="33"/>
    <s v="Master"/>
    <s v="Chennai"/>
    <n v="0"/>
    <n v="8.4"/>
    <n v="9"/>
    <n v="2"/>
    <n v="12"/>
    <n v="0"/>
    <s v="Band C"/>
    <n v="54600"/>
    <n v="4.8"/>
    <n v="3.2"/>
    <n v="2.7"/>
    <n v="0"/>
    <n v="1.9"/>
    <n v="1.9"/>
    <n v="4.3"/>
    <s v="Yes"/>
    <n v="0"/>
    <n v="0"/>
    <m/>
    <n v="0"/>
    <x v="0"/>
    <m/>
    <n v="1"/>
    <n v="0"/>
    <x v="1"/>
    <s v="3â€“5 years"/>
    <s v="Low"/>
    <s v="2.6999999999999997"/>
    <n v="0"/>
    <n v="0"/>
  </r>
  <r>
    <s v="EMP0924"/>
    <s v="Finance"/>
    <x v="11"/>
    <n v="4.4000000000000004"/>
    <s v="G2"/>
    <n v="36"/>
    <s v="Diploma"/>
    <s v="Coimbatore"/>
    <n v="3"/>
    <n v="78"/>
    <n v="6"/>
    <n v="2"/>
    <n v="12"/>
    <n v="1"/>
    <s v="Band B"/>
    <n v="47500"/>
    <n v="4"/>
    <n v="3.3"/>
    <n v="0.4"/>
    <n v="0"/>
    <n v="2.7"/>
    <n v="3.4"/>
    <n v="3.9"/>
    <s v="Yes"/>
    <n v="0"/>
    <n v="3"/>
    <n v="1.8"/>
    <n v="0"/>
    <x v="0"/>
    <m/>
    <n v="0"/>
    <n v="0"/>
    <x v="0"/>
    <s v="3â€“5 years"/>
    <s v="Extreme"/>
    <s v="3.3333333333333335"/>
    <n v="0.25"/>
    <n v="0"/>
  </r>
  <r>
    <s v="EMP0925"/>
    <s v="Engineering"/>
    <x v="10"/>
    <n v="5.2"/>
    <s v="G1"/>
    <n v="25"/>
    <s v="Bachelor"/>
    <s v="Chennai"/>
    <n v="4"/>
    <n v="6.1"/>
    <n v="7"/>
    <n v="2"/>
    <n v="12"/>
    <n v="0"/>
    <s v="Band B"/>
    <n v="36600"/>
    <n v="12.8"/>
    <n v="3.1"/>
    <n v="3"/>
    <n v="0"/>
    <n v="4.2"/>
    <n v="4.3"/>
    <n v="3.7"/>
    <s v="Yes"/>
    <n v="0"/>
    <n v="0"/>
    <m/>
    <n v="0"/>
    <x v="0"/>
    <m/>
    <n v="1"/>
    <n v="0"/>
    <x v="1"/>
    <s v="5+ years"/>
    <s v="Low"/>
    <s v="4.066666666666666"/>
    <s v="0.3333333333333333"/>
    <n v="0"/>
  </r>
  <r>
    <s v="EMP0926"/>
    <s v="Sales"/>
    <x v="13"/>
    <n v="3.8"/>
    <s v="G2"/>
    <n v="32"/>
    <s v="Master"/>
    <s v="Chennai"/>
    <n v="1"/>
    <n v="1.2"/>
    <n v="8"/>
    <n v="1"/>
    <n v="12"/>
    <n v="0"/>
    <s v="Band B"/>
    <n v="38400"/>
    <n v="14.6"/>
    <n v="2.9"/>
    <n v="1.4"/>
    <n v="0"/>
    <n v="2.8"/>
    <n v="4.5"/>
    <n v="2.5"/>
    <s v="Yes"/>
    <n v="0"/>
    <n v="0"/>
    <m/>
    <n v="2"/>
    <x v="0"/>
    <m/>
    <n v="1"/>
    <n v="0"/>
    <x v="1"/>
    <s v="3â€“5 years"/>
    <s v="Low"/>
    <s v="3.266666666666667"/>
    <n v="8.3333333333333301E-2"/>
    <n v="0"/>
  </r>
  <r>
    <s v="EMP0927"/>
    <s v="Engineering"/>
    <x v="12"/>
    <n v="4.5999999999999996"/>
    <s v="G4"/>
    <n v="34"/>
    <s v="Bachelor"/>
    <s v="Chennai"/>
    <n v="7"/>
    <n v="6.5"/>
    <n v="5"/>
    <n v="4"/>
    <n v="12"/>
    <n v="0"/>
    <s v="Band C"/>
    <n v="66800"/>
    <n v="0.8"/>
    <n v="4.7"/>
    <n v="2.4"/>
    <n v="0"/>
    <n v="1.8"/>
    <n v="2.2000000000000002"/>
    <n v="4.3"/>
    <s v="Yes"/>
    <n v="0"/>
    <n v="3"/>
    <n v="1.2"/>
    <n v="1"/>
    <x v="0"/>
    <m/>
    <n v="0"/>
    <n v="0"/>
    <x v="0"/>
    <s v="3â€“5 years"/>
    <s v="Low"/>
    <s v="2.766666666666667"/>
    <s v="0.5833333333333334"/>
    <n v="0"/>
  </r>
  <r>
    <s v="EMP0928"/>
    <s v="Customer Support"/>
    <x v="5"/>
    <n v="3.1"/>
    <s v="G4"/>
    <n v="28"/>
    <s v="Master"/>
    <s v="Hyderabad"/>
    <n v="2"/>
    <n v="32.1"/>
    <n v="12"/>
    <n v="3"/>
    <n v="12"/>
    <n v="0"/>
    <s v="Band D"/>
    <n v="81100"/>
    <n v="10.3"/>
    <n v="4"/>
    <n v="0.8"/>
    <n v="0"/>
    <n v="4"/>
    <n v="3.9"/>
    <n v="4"/>
    <s v="Yes"/>
    <n v="0"/>
    <n v="0"/>
    <m/>
    <n v="0"/>
    <x v="0"/>
    <m/>
    <n v="1"/>
    <n v="0"/>
    <x v="1"/>
    <s v="3â€“5 years"/>
    <s v="High"/>
    <s v="3.966666666666667"/>
    <s v="0.16666666666666666"/>
    <n v="0"/>
  </r>
  <r>
    <s v="EMP0929"/>
    <s v="Finance"/>
    <x v="18"/>
    <n v="1"/>
    <s v="G3"/>
    <n v="22"/>
    <s v="Bachelor"/>
    <s v="Bengaluru"/>
    <n v="4"/>
    <n v="13.6"/>
    <n v="8"/>
    <n v="2"/>
    <n v="12"/>
    <n v="0"/>
    <s v="Band C"/>
    <n v="59900"/>
    <n v="11.4"/>
    <n v="3.1"/>
    <n v="1.3"/>
    <n v="0"/>
    <n v="2.8"/>
    <n v="3.3"/>
    <n v="4.2"/>
    <s v="Yes"/>
    <n v="0"/>
    <n v="1"/>
    <n v="0.2"/>
    <n v="1"/>
    <x v="0"/>
    <m/>
    <n v="0"/>
    <n v="0"/>
    <x v="0"/>
    <s v="0â€“1 years"/>
    <s v="Moderate"/>
    <s v="3.4333333333333336"/>
    <s v="0.3333333333333333"/>
    <n v="0"/>
  </r>
  <r>
    <s v="EMP0930"/>
    <s v="Operations"/>
    <x v="3"/>
    <n v="3.7"/>
    <s v="G3"/>
    <n v="33"/>
    <s v="Master"/>
    <s v="Chennai"/>
    <n v="5"/>
    <n v="11.7"/>
    <n v="11"/>
    <n v="2"/>
    <n v="12"/>
    <n v="0"/>
    <s v="Band C"/>
    <n v="56100"/>
    <n v="3.2"/>
    <n v="3.3"/>
    <n v="1.1000000000000001"/>
    <n v="0"/>
    <n v="4.3"/>
    <n v="1"/>
    <n v="3.4"/>
    <s v="Yes"/>
    <n v="0"/>
    <n v="1"/>
    <n v="2.2000000000000002"/>
    <n v="1"/>
    <x v="0"/>
    <m/>
    <n v="0"/>
    <n v="0"/>
    <x v="0"/>
    <s v="3â€“5 years"/>
    <s v="Moderate"/>
    <n v="2.9"/>
    <s v="0.4166666666666667"/>
    <n v="0"/>
  </r>
  <r>
    <s v="EMP0931"/>
    <s v="Sales"/>
    <x v="13"/>
    <n v="5.7"/>
    <s v="G3"/>
    <n v="27"/>
    <s v="Diploma"/>
    <s v="Chennai"/>
    <n v="2"/>
    <n v="4.8"/>
    <n v="13"/>
    <n v="1"/>
    <n v="12"/>
    <n v="0"/>
    <s v="Band C"/>
    <n v="59500"/>
    <n v="6.1"/>
    <n v="4.4000000000000004"/>
    <n v="1.4"/>
    <n v="0"/>
    <n v="3.3"/>
    <n v="2.9"/>
    <n v="3.3"/>
    <s v="Yes"/>
    <n v="0"/>
    <n v="1"/>
    <n v="5.7"/>
    <n v="0"/>
    <x v="0"/>
    <m/>
    <n v="0"/>
    <n v="0"/>
    <x v="0"/>
    <s v="5+ years"/>
    <s v="Low"/>
    <s v="3.1666666666666665"/>
    <s v="0.16666666666666666"/>
    <n v="0"/>
  </r>
  <r>
    <s v="EMP0932"/>
    <s v="Sales"/>
    <x v="14"/>
    <n v="1.7"/>
    <s v="G3"/>
    <n v="27"/>
    <s v="Bachelor"/>
    <s v="Bengaluru"/>
    <n v="2"/>
    <n v="6.8"/>
    <n v="9"/>
    <n v="3"/>
    <n v="12"/>
    <n v="0"/>
    <s v="Band C"/>
    <n v="55400"/>
    <n v="5.7"/>
    <n v="2.7"/>
    <n v="1"/>
    <n v="0"/>
    <n v="3.1"/>
    <n v="2.8"/>
    <n v="3.3"/>
    <s v="No"/>
    <n v="0"/>
    <n v="1"/>
    <n v="1.6"/>
    <n v="0"/>
    <x v="0"/>
    <m/>
    <n v="0"/>
    <n v="0"/>
    <x v="0"/>
    <s v="1â€“3 years"/>
    <s v="Low"/>
    <s v="3.0666666666666664"/>
    <s v="0.16666666666666666"/>
    <n v="0"/>
  </r>
  <r>
    <s v="EMP0933"/>
    <s v="Sales"/>
    <x v="13"/>
    <n v="4.4000000000000004"/>
    <s v="G2"/>
    <n v="30"/>
    <s v="Bachelor"/>
    <s v="Remote"/>
    <n v="3"/>
    <n v="1"/>
    <n v="9"/>
    <n v="0"/>
    <n v="12"/>
    <n v="0"/>
    <s v="Band A"/>
    <n v="34700"/>
    <n v="15.6"/>
    <n v="2.2999999999999998"/>
    <n v="1.6"/>
    <n v="0"/>
    <n v="4.5"/>
    <n v="4.3"/>
    <n v="5"/>
    <s v="Yes"/>
    <n v="0"/>
    <n v="0"/>
    <m/>
    <n v="1"/>
    <x v="0"/>
    <m/>
    <n v="1"/>
    <n v="0"/>
    <x v="1"/>
    <s v="3â€“5 years"/>
    <s v="Low"/>
    <s v="4.6000000000000005"/>
    <n v="0.25"/>
    <n v="0"/>
  </r>
  <r>
    <s v="EMP0934"/>
    <s v="Operations"/>
    <x v="3"/>
    <n v="11.6"/>
    <s v="G3"/>
    <n v="40"/>
    <s v="Master"/>
    <s v="Chennai"/>
    <n v="3"/>
    <n v="4.5"/>
    <n v="9"/>
    <n v="1"/>
    <n v="12"/>
    <n v="0"/>
    <s v="Band C"/>
    <n v="50800"/>
    <n v="14.6"/>
    <n v="3.4"/>
    <n v="0"/>
    <n v="0"/>
    <n v="2.1"/>
    <n v="2.4"/>
    <n v="3"/>
    <s v="Yes"/>
    <n v="0"/>
    <n v="0"/>
    <m/>
    <n v="0"/>
    <x v="0"/>
    <m/>
    <n v="1"/>
    <n v="0"/>
    <x v="1"/>
    <s v="5+ years"/>
    <s v="Low"/>
    <n v="2.5"/>
    <n v="0.25"/>
    <n v="0"/>
  </r>
  <r>
    <s v="EMP0935"/>
    <s v="Operations"/>
    <x v="0"/>
    <n v="3.5"/>
    <s v="G4"/>
    <n v="27"/>
    <s v="Bachelor"/>
    <s v="Chennai"/>
    <n v="2"/>
    <n v="13.1"/>
    <n v="11"/>
    <n v="0"/>
    <n v="12"/>
    <n v="0"/>
    <s v="Band C"/>
    <n v="71100"/>
    <n v="4.3"/>
    <n v="3.6"/>
    <n v="0.7"/>
    <n v="0"/>
    <n v="4.5999999999999996"/>
    <n v="3.7"/>
    <n v="2.5"/>
    <s v="Yes"/>
    <n v="0"/>
    <n v="0"/>
    <m/>
    <n v="0"/>
    <x v="0"/>
    <m/>
    <n v="1"/>
    <n v="0"/>
    <x v="1"/>
    <s v="3â€“5 years"/>
    <s v="Moderate"/>
    <n v="3.6"/>
    <s v="0.16666666666666666"/>
    <n v="0"/>
  </r>
  <r>
    <s v="EMP0936"/>
    <s v="Engineering"/>
    <x v="16"/>
    <n v="3.7"/>
    <s v="G2"/>
    <n v="27"/>
    <s v="Master"/>
    <s v="Hyderabad"/>
    <n v="2"/>
    <n v="11.7"/>
    <n v="4"/>
    <n v="2"/>
    <n v="12"/>
    <n v="0"/>
    <s v="Band B"/>
    <n v="38000"/>
    <n v="2.2000000000000002"/>
    <n v="3.6"/>
    <n v="1.2"/>
    <n v="0"/>
    <n v="2.7"/>
    <n v="3.1"/>
    <n v="3.1"/>
    <s v="Yes"/>
    <n v="0"/>
    <n v="0"/>
    <m/>
    <n v="0"/>
    <x v="0"/>
    <m/>
    <n v="1"/>
    <n v="0"/>
    <x v="1"/>
    <s v="3â€“5 years"/>
    <s v="Moderate"/>
    <s v="2.966666666666667"/>
    <s v="0.16666666666666666"/>
    <n v="0"/>
  </r>
  <r>
    <s v="EMP0937"/>
    <s v="Customer Support"/>
    <x v="9"/>
    <n v="0.9"/>
    <s v="G3"/>
    <n v="27"/>
    <s v="Bachelor"/>
    <s v="Hyderabad"/>
    <n v="3"/>
    <n v="5.6"/>
    <n v="9"/>
    <n v="1"/>
    <n v="12"/>
    <n v="0"/>
    <s v="Band C"/>
    <n v="53700"/>
    <n v="11.1"/>
    <n v="3.9"/>
    <n v="2.1"/>
    <n v="0"/>
    <n v="3.4"/>
    <n v="1.9"/>
    <n v="3"/>
    <s v="Yes"/>
    <n v="0"/>
    <n v="0"/>
    <m/>
    <n v="0"/>
    <x v="0"/>
    <m/>
    <n v="1"/>
    <n v="0"/>
    <x v="1"/>
    <s v="0â€“1 years"/>
    <s v="Low"/>
    <s v="2.766666666666667"/>
    <n v="0.25"/>
    <n v="0"/>
  </r>
  <r>
    <s v="EMP0938"/>
    <s v="Engineering"/>
    <x v="12"/>
    <n v="1.5"/>
    <s v="G2"/>
    <n v="32"/>
    <s v="Bachelor"/>
    <s v="Remote"/>
    <n v="5"/>
    <n v="9"/>
    <n v="8"/>
    <n v="2"/>
    <n v="12"/>
    <n v="0"/>
    <s v="Band B"/>
    <n v="37400"/>
    <n v="10.199999999999999"/>
    <n v="2.5"/>
    <n v="0"/>
    <n v="0"/>
    <n v="3.5"/>
    <n v="2.7"/>
    <n v="4.4000000000000004"/>
    <s v="Yes"/>
    <n v="0"/>
    <n v="0"/>
    <m/>
    <n v="1"/>
    <x v="0"/>
    <m/>
    <n v="1"/>
    <n v="0"/>
    <x v="1"/>
    <s v="1â€“3 years"/>
    <s v="Low"/>
    <s v="3.5333333333333337"/>
    <s v="0.4166666666666667"/>
    <n v="0"/>
  </r>
  <r>
    <s v="EMP0939"/>
    <s v="Customer Support"/>
    <x v="9"/>
    <n v="2"/>
    <s v="G2"/>
    <n v="37"/>
    <s v="Bachelor"/>
    <s v="Chennai"/>
    <n v="3"/>
    <n v="10.3"/>
    <n v="8"/>
    <n v="2"/>
    <n v="12"/>
    <n v="0"/>
    <s v="Band A"/>
    <n v="30200"/>
    <n v="13"/>
    <n v="1.9"/>
    <n v="3.1"/>
    <n v="0"/>
    <n v="2.9"/>
    <n v="4.5999999999999996"/>
    <n v="2.2999999999999998"/>
    <s v="No"/>
    <n v="0"/>
    <n v="0"/>
    <m/>
    <n v="0"/>
    <x v="0"/>
    <m/>
    <n v="1"/>
    <n v="0"/>
    <x v="1"/>
    <s v="1â€“3 years"/>
    <s v="Moderate"/>
    <s v="3.266666666666667"/>
    <n v="0.25"/>
    <n v="0"/>
  </r>
  <r>
    <s v="EMP0940"/>
    <s v="Engineering"/>
    <x v="16"/>
    <n v="5.6"/>
    <s v="G1"/>
    <n v="26"/>
    <s v="Diploma"/>
    <s v="Chennai"/>
    <n v="6"/>
    <n v="5.9"/>
    <n v="12"/>
    <n v="5"/>
    <n v="12"/>
    <n v="0"/>
    <s v="Band A"/>
    <n v="22000"/>
    <n v="3.8"/>
    <n v="2.7"/>
    <n v="1.3"/>
    <n v="0"/>
    <n v="2.6"/>
    <n v="3"/>
    <n v="3"/>
    <s v="Yes"/>
    <n v="0"/>
    <n v="0"/>
    <m/>
    <n v="1"/>
    <x v="0"/>
    <m/>
    <n v="1"/>
    <n v="0"/>
    <x v="1"/>
    <s v="5+ years"/>
    <s v="Low"/>
    <s v="2.8666666666666667"/>
    <n v="0.5"/>
    <n v="0"/>
  </r>
  <r>
    <s v="EMP0941"/>
    <s v="Sales"/>
    <x v="14"/>
    <n v="1.8"/>
    <s v="G3"/>
    <n v="29"/>
    <s v="Master"/>
    <s v="Coimbatore"/>
    <n v="2"/>
    <n v="14.2"/>
    <n v="7"/>
    <n v="4"/>
    <n v="12"/>
    <n v="0"/>
    <s v="Band C"/>
    <n v="56600"/>
    <n v="10.9"/>
    <n v="3.7"/>
    <n v="2.9"/>
    <n v="0"/>
    <n v="3"/>
    <n v="4"/>
    <n v="3.6"/>
    <s v="Yes"/>
    <n v="0"/>
    <n v="1"/>
    <n v="0.1"/>
    <n v="0"/>
    <x v="0"/>
    <m/>
    <n v="0"/>
    <n v="0"/>
    <x v="0"/>
    <s v="1â€“3 years"/>
    <s v="Moderate"/>
    <s v="3.533333333333333"/>
    <s v="0.16666666666666666"/>
    <n v="0"/>
  </r>
  <r>
    <s v="EMP0942"/>
    <s v="Customer Support"/>
    <x v="9"/>
    <n v="0.6"/>
    <s v="G4"/>
    <n v="22"/>
    <s v="Bachelor"/>
    <s v="Chennai"/>
    <n v="2"/>
    <n v="11.6"/>
    <n v="7"/>
    <n v="3"/>
    <n v="12"/>
    <n v="0"/>
    <s v="Band C"/>
    <n v="64400"/>
    <n v="5.0999999999999996"/>
    <n v="2.4"/>
    <n v="1.8"/>
    <n v="0"/>
    <n v="2.4"/>
    <n v="4"/>
    <n v="4.4000000000000004"/>
    <s v="No"/>
    <n v="0"/>
    <n v="0"/>
    <m/>
    <n v="0"/>
    <x v="0"/>
    <m/>
    <n v="1"/>
    <n v="0"/>
    <x v="1"/>
    <s v="0â€“1 years"/>
    <s v="Moderate"/>
    <n v="3.6"/>
    <s v="0.16666666666666666"/>
    <n v="0"/>
  </r>
  <r>
    <s v="EMP0943"/>
    <s v="Engineering"/>
    <x v="4"/>
    <n v="4.9000000000000004"/>
    <s v="G1"/>
    <n v="35"/>
    <s v="Master"/>
    <s v="Hyderabad"/>
    <n v="3"/>
    <n v="7"/>
    <n v="12"/>
    <n v="2"/>
    <n v="12"/>
    <n v="0"/>
    <s v="Band A"/>
    <n v="28400"/>
    <n v="10.5"/>
    <n v="1.5"/>
    <n v="3.8"/>
    <n v="0"/>
    <n v="5"/>
    <n v="2.8"/>
    <n v="4"/>
    <s v="Yes"/>
    <n v="0"/>
    <n v="0"/>
    <m/>
    <n v="0"/>
    <x v="0"/>
    <m/>
    <n v="1"/>
    <n v="0"/>
    <x v="1"/>
    <s v="3â€“5 years"/>
    <s v="Low"/>
    <s v="3.9333333333333336"/>
    <n v="0.25"/>
    <n v="0"/>
  </r>
  <r>
    <s v="EMP0944"/>
    <s v="Sales"/>
    <x v="13"/>
    <n v="2.1"/>
    <s v="G2"/>
    <n v="24"/>
    <s v="Bachelor"/>
    <s v="Chennai"/>
    <n v="3"/>
    <n v="2.9"/>
    <n v="11"/>
    <n v="7"/>
    <n v="12"/>
    <n v="0"/>
    <s v="Band B"/>
    <n v="35500"/>
    <n v="7.9"/>
    <n v="3.3"/>
    <n v="1.9"/>
    <n v="0"/>
    <n v="2.9"/>
    <n v="2"/>
    <n v="4.7"/>
    <s v="Yes"/>
    <n v="0"/>
    <n v="0"/>
    <m/>
    <n v="1"/>
    <x v="0"/>
    <m/>
    <n v="1"/>
    <n v="0"/>
    <x v="1"/>
    <s v="1â€“3 years"/>
    <s v="Low"/>
    <s v="3.2000000000000006"/>
    <n v="0.25"/>
    <n v="0"/>
  </r>
  <r>
    <s v="EMP0945"/>
    <s v="Hr"/>
    <x v="15"/>
    <n v="0.9"/>
    <s v="G1"/>
    <n v="24"/>
    <s v="Bachelor"/>
    <s v="Bengaluru"/>
    <n v="4"/>
    <n v="6.5"/>
    <n v="7"/>
    <n v="3"/>
    <n v="12"/>
    <n v="0"/>
    <s v="Band A"/>
    <n v="24900"/>
    <n v="15.6"/>
    <n v="2.7"/>
    <n v="0.2"/>
    <n v="0"/>
    <n v="4.3"/>
    <n v="2.2000000000000002"/>
    <n v="3.7"/>
    <s v="Yes"/>
    <n v="0"/>
    <n v="2"/>
    <n v="0.8"/>
    <n v="1"/>
    <x v="0"/>
    <m/>
    <n v="0"/>
    <n v="0"/>
    <x v="0"/>
    <s v="0â€“1 years"/>
    <s v="Low"/>
    <n v="3.4"/>
    <s v="0.3333333333333333"/>
    <n v="0"/>
  </r>
  <r>
    <s v="EMP0946"/>
    <s v="Sales"/>
    <x v="13"/>
    <n v="6"/>
    <s v="G1"/>
    <n v="30"/>
    <s v="Bachelor"/>
    <s v="Remote"/>
    <n v="3"/>
    <n v="6.2"/>
    <n v="14"/>
    <n v="2"/>
    <n v="12"/>
    <n v="0"/>
    <s v="Band A"/>
    <n v="26300"/>
    <n v="9.8000000000000007"/>
    <n v="1.6"/>
    <n v="2.2000000000000002"/>
    <n v="0"/>
    <n v="4.2"/>
    <n v="4.5"/>
    <n v="3.2"/>
    <s v="Yes"/>
    <n v="0"/>
    <n v="0"/>
    <m/>
    <n v="0"/>
    <x v="0"/>
    <m/>
    <n v="1"/>
    <n v="0"/>
    <x v="1"/>
    <s v="5+ years"/>
    <s v="Low"/>
    <s v="3.9666666666666663"/>
    <n v="0.25"/>
    <n v="0"/>
  </r>
  <r>
    <s v="EMP0947"/>
    <s v="Operations"/>
    <x v="3"/>
    <n v="2.8"/>
    <s v="G5"/>
    <n v="28"/>
    <s v="Master"/>
    <s v="Remote"/>
    <n v="1"/>
    <n v="5.6"/>
    <n v="8"/>
    <n v="1"/>
    <n v="12"/>
    <n v="0"/>
    <s v="Band D"/>
    <n v="107900"/>
    <n v="6.7"/>
    <n v="3.3"/>
    <n v="1.5"/>
    <n v="0"/>
    <n v="3.6"/>
    <n v="3.3"/>
    <n v="4.0999999999999996"/>
    <s v="No"/>
    <n v="0"/>
    <n v="0"/>
    <m/>
    <n v="0"/>
    <x v="0"/>
    <m/>
    <n v="1"/>
    <n v="0"/>
    <x v="1"/>
    <s v="1â€“3 years"/>
    <s v="Low"/>
    <s v="3.6666666666666665"/>
    <n v="8.3333333333333301E-2"/>
    <n v="0"/>
  </r>
  <r>
    <s v="EMP0948"/>
    <s v="Customer Support"/>
    <x v="2"/>
    <n v="5.3"/>
    <s v="G2"/>
    <n v="33"/>
    <s v="Master"/>
    <s v="Bengaluru"/>
    <n v="4"/>
    <n v="1.8"/>
    <n v="9"/>
    <n v="0"/>
    <n v="12"/>
    <n v="0"/>
    <s v="Band B"/>
    <n v="38700"/>
    <n v="8.6"/>
    <n v="2.9"/>
    <n v="0.7"/>
    <n v="0"/>
    <n v="3.2"/>
    <n v="1.6"/>
    <n v="2.2999999999999998"/>
    <s v="Yes"/>
    <n v="0"/>
    <n v="0"/>
    <m/>
    <n v="0"/>
    <x v="0"/>
    <m/>
    <n v="1"/>
    <n v="0"/>
    <x v="1"/>
    <s v="5+ years"/>
    <s v="Low"/>
    <s v="2.3666666666666667"/>
    <s v="0.3333333333333333"/>
    <n v="0"/>
  </r>
  <r>
    <s v="EMP0949"/>
    <s v="Customer Support"/>
    <x v="2"/>
    <n v="0.9"/>
    <s v="G2"/>
    <n v="29"/>
    <s v="Bachelor"/>
    <s v="Remote"/>
    <n v="2"/>
    <n v="26.3"/>
    <n v="16"/>
    <n v="3"/>
    <n v="12"/>
    <n v="0"/>
    <s v="Band B"/>
    <n v="40900"/>
    <n v="7.6"/>
    <n v="4.7"/>
    <n v="1.5"/>
    <n v="0"/>
    <n v="3.5"/>
    <n v="4"/>
    <n v="2"/>
    <s v="Yes"/>
    <n v="0"/>
    <n v="2"/>
    <n v="0.6"/>
    <n v="0"/>
    <x v="0"/>
    <m/>
    <n v="0"/>
    <n v="0"/>
    <x v="0"/>
    <s v="0â€“1 years"/>
    <s v="High"/>
    <s v="3.1666666666666665"/>
    <s v="0.16666666666666666"/>
    <n v="0"/>
  </r>
  <r>
    <s v="EMP0950"/>
    <s v="Sales"/>
    <x v="8"/>
    <n v="0.4"/>
    <s v="G2"/>
    <n v="26"/>
    <s v="Bachelor"/>
    <s v="Chennai"/>
    <n v="3"/>
    <n v="25.4"/>
    <n v="11"/>
    <n v="1"/>
    <n v="12"/>
    <n v="0"/>
    <s v="Band B"/>
    <n v="41500"/>
    <n v="3.4"/>
    <n v="3.3"/>
    <n v="1.9"/>
    <n v="0"/>
    <n v="3.8"/>
    <n v="1.6"/>
    <n v="3.4"/>
    <s v="Yes"/>
    <n v="1"/>
    <n v="2"/>
    <n v="0"/>
    <n v="0"/>
    <x v="0"/>
    <m/>
    <n v="0"/>
    <n v="0"/>
    <x v="0"/>
    <s v="0â€“1 years"/>
    <s v="High"/>
    <s v="2.9333333333333336"/>
    <n v="0.25"/>
    <n v="0"/>
  </r>
  <r>
    <s v="EMP0951"/>
    <s v="Finance"/>
    <x v="18"/>
    <n v="4.0999999999999996"/>
    <s v="G5"/>
    <n v="25"/>
    <s v="Bachelor"/>
    <s v="Chennai"/>
    <n v="2"/>
    <n v="8.6999999999999993"/>
    <n v="5"/>
    <n v="4"/>
    <n v="12"/>
    <n v="0"/>
    <s v="Band D"/>
    <n v="101700"/>
    <n v="15.7"/>
    <n v="3.7"/>
    <n v="1.6"/>
    <n v="0"/>
    <n v="3.4"/>
    <n v="2.5"/>
    <n v="3.6"/>
    <s v="No"/>
    <n v="0"/>
    <n v="2"/>
    <n v="3.3"/>
    <n v="0"/>
    <x v="0"/>
    <m/>
    <n v="0"/>
    <n v="0"/>
    <x v="0"/>
    <s v="3â€“5 years"/>
    <s v="Low"/>
    <s v="3.1666666666666665"/>
    <s v="0.16666666666666666"/>
    <n v="0"/>
  </r>
  <r>
    <s v="EMP0952"/>
    <s v="Sales"/>
    <x v="8"/>
    <n v="1.5"/>
    <s v="G2"/>
    <n v="30"/>
    <s v="Bachelor"/>
    <s v="Chennai"/>
    <n v="5"/>
    <n v="11.9"/>
    <n v="14"/>
    <n v="2"/>
    <n v="12"/>
    <n v="0"/>
    <s v="Band B"/>
    <n v="41700"/>
    <n v="14.4"/>
    <n v="3.2"/>
    <n v="0.2"/>
    <n v="0"/>
    <n v="1.9"/>
    <n v="3.3"/>
    <n v="4.2"/>
    <s v="Yes"/>
    <n v="0"/>
    <n v="1"/>
    <n v="1"/>
    <n v="0"/>
    <x v="0"/>
    <m/>
    <n v="0"/>
    <n v="0"/>
    <x v="0"/>
    <s v="1â€“3 years"/>
    <s v="Moderate"/>
    <s v="3.133333333333333"/>
    <s v="0.4166666666666667"/>
    <n v="0"/>
  </r>
  <r>
    <s v="EMP0953"/>
    <s v="Sales"/>
    <x v="14"/>
    <n v="4.0999999999999996"/>
    <s v="G3"/>
    <n v="30"/>
    <s v="Bachelor"/>
    <s v="Remote"/>
    <n v="1"/>
    <n v="14"/>
    <n v="3"/>
    <n v="2"/>
    <n v="12"/>
    <n v="0"/>
    <s v="Band C"/>
    <n v="53700"/>
    <n v="7.3"/>
    <n v="2.7"/>
    <n v="4.0999999999999996"/>
    <n v="0"/>
    <n v="3.3"/>
    <n v="5"/>
    <n v="2.7"/>
    <s v="No"/>
    <n v="1"/>
    <n v="0"/>
    <m/>
    <n v="0"/>
    <x v="0"/>
    <m/>
    <n v="1"/>
    <n v="0"/>
    <x v="1"/>
    <s v="3â€“5 years"/>
    <s v="Moderate"/>
    <s v="3.6666666666666665"/>
    <n v="8.3333333333333301E-2"/>
    <n v="0"/>
  </r>
  <r>
    <s v="EMP0954"/>
    <s v="Engineering"/>
    <x v="10"/>
    <n v="4.0999999999999996"/>
    <s v="G2"/>
    <n v="35"/>
    <s v="Bachelor"/>
    <s v="Remote"/>
    <n v="3"/>
    <n v="8.9"/>
    <n v="10"/>
    <n v="1"/>
    <n v="12"/>
    <n v="0"/>
    <s v="Band B"/>
    <n v="45600"/>
    <n v="10.8"/>
    <n v="2.8"/>
    <n v="2.5"/>
    <n v="0"/>
    <n v="4.7"/>
    <n v="3.9"/>
    <n v="4.4000000000000004"/>
    <s v="Yes"/>
    <n v="0"/>
    <n v="1"/>
    <n v="2.6"/>
    <n v="0"/>
    <x v="0"/>
    <m/>
    <n v="0"/>
    <n v="0"/>
    <x v="0"/>
    <s v="3â€“5 years"/>
    <s v="Low"/>
    <s v="4.333333333333333"/>
    <n v="0.25"/>
    <n v="0"/>
  </r>
  <r>
    <s v="EMP0955"/>
    <s v="Customer Support"/>
    <x v="5"/>
    <n v="3.8"/>
    <s v="G1"/>
    <n v="27"/>
    <s v="Master"/>
    <s v="Chennai"/>
    <n v="5"/>
    <n v="12.5"/>
    <n v="9"/>
    <n v="1"/>
    <n v="12"/>
    <n v="0"/>
    <s v="Band A"/>
    <n v="31600"/>
    <n v="16.2"/>
    <n v="4.2"/>
    <n v="1.3"/>
    <n v="0"/>
    <n v="1"/>
    <n v="2.8"/>
    <n v="3.9"/>
    <s v="No"/>
    <n v="0"/>
    <n v="0"/>
    <m/>
    <n v="0"/>
    <x v="0"/>
    <m/>
    <n v="1"/>
    <n v="0"/>
    <x v="1"/>
    <s v="3â€“5 years"/>
    <s v="Moderate"/>
    <s v="2.5666666666666664"/>
    <s v="0.4166666666666667"/>
    <n v="0"/>
  </r>
  <r>
    <s v="EMP0956"/>
    <s v="Customer Support"/>
    <x v="9"/>
    <n v="7.5"/>
    <s v="G3"/>
    <n v="27"/>
    <s v="Doctorate"/>
    <s v="Chennai"/>
    <n v="3"/>
    <n v="15.6"/>
    <n v="10"/>
    <n v="5"/>
    <n v="12"/>
    <n v="0"/>
    <s v="Band C"/>
    <n v="62800"/>
    <n v="12.9"/>
    <n v="3.9"/>
    <n v="1"/>
    <n v="0"/>
    <n v="3.5"/>
    <n v="3.2"/>
    <n v="3.4"/>
    <s v="Yes"/>
    <n v="0"/>
    <n v="0"/>
    <m/>
    <n v="1"/>
    <x v="0"/>
    <m/>
    <n v="1"/>
    <n v="0"/>
    <x v="1"/>
    <s v="5+ years"/>
    <s v="Moderate"/>
    <s v="3.3666666666666667"/>
    <n v="0.25"/>
    <n v="0"/>
  </r>
  <r>
    <s v="EMP0957"/>
    <s v="Operations"/>
    <x v="6"/>
    <n v="17.899999999999999"/>
    <s v="G1"/>
    <n v="44"/>
    <s v="Master"/>
    <s v="Coimbatore"/>
    <n v="3"/>
    <n v="11.2"/>
    <n v="6"/>
    <n v="1"/>
    <n v="12"/>
    <n v="0"/>
    <s v="Band A"/>
    <n v="30800"/>
    <n v="6.8"/>
    <n v="1.9"/>
    <n v="3.9"/>
    <n v="0"/>
    <n v="3.1"/>
    <n v="4"/>
    <n v="3.6"/>
    <s v="Yes"/>
    <n v="0"/>
    <n v="2"/>
    <n v="15"/>
    <n v="0"/>
    <x v="0"/>
    <m/>
    <n v="0"/>
    <n v="0"/>
    <x v="0"/>
    <s v="5+ years"/>
    <s v="Moderate"/>
    <s v="3.5666666666666664"/>
    <n v="0.25"/>
    <n v="0"/>
  </r>
  <r>
    <s v="EMP0958"/>
    <s v="Finance"/>
    <x v="11"/>
    <n v="4.9000000000000004"/>
    <s v="G3"/>
    <n v="36"/>
    <s v="Master"/>
    <s v="Chennai"/>
    <n v="2"/>
    <n v="17.600000000000001"/>
    <n v="10"/>
    <n v="2"/>
    <n v="12"/>
    <n v="0"/>
    <s v="Band C"/>
    <n v="56000"/>
    <n v="7.6"/>
    <n v="2.1"/>
    <n v="1.6"/>
    <n v="0"/>
    <n v="3.4"/>
    <n v="4.5"/>
    <n v="3.7"/>
    <s v="Yes"/>
    <n v="0"/>
    <n v="1"/>
    <n v="1.2"/>
    <n v="1"/>
    <x v="0"/>
    <m/>
    <n v="0"/>
    <n v="0"/>
    <x v="0"/>
    <s v="3â€“5 years"/>
    <s v="Moderate"/>
    <s v="3.866666666666667"/>
    <s v="0.16666666666666666"/>
    <n v="0"/>
  </r>
  <r>
    <s v="EMP0959"/>
    <s v="Hr"/>
    <x v="7"/>
    <n v="11.6"/>
    <s v="G2"/>
    <n v="38"/>
    <s v="Bachelor"/>
    <s v="Hyderabad"/>
    <n v="3"/>
    <n v="5.4"/>
    <n v="6"/>
    <n v="4"/>
    <n v="12"/>
    <n v="0"/>
    <s v="Band A"/>
    <n v="33900"/>
    <n v="1.1000000000000001"/>
    <n v="2.1"/>
    <n v="0.3"/>
    <n v="0"/>
    <n v="2.2999999999999998"/>
    <n v="3"/>
    <n v="2.7"/>
    <s v="Yes"/>
    <n v="0"/>
    <n v="1"/>
    <n v="9.4"/>
    <n v="1"/>
    <x v="0"/>
    <m/>
    <n v="0"/>
    <n v="0"/>
    <x v="0"/>
    <s v="5+ years"/>
    <s v="Low"/>
    <s v="2.6666666666666665"/>
    <n v="0.25"/>
    <n v="0"/>
  </r>
  <r>
    <s v="EMP0960"/>
    <s v="Finance"/>
    <x v="11"/>
    <n v="2.9"/>
    <s v="G3"/>
    <n v="28"/>
    <s v="Master"/>
    <s v="Chennai"/>
    <n v="4"/>
    <n v="9.6999999999999993"/>
    <n v="6"/>
    <n v="1"/>
    <n v="12"/>
    <n v="0"/>
    <s v="Band C"/>
    <n v="61600"/>
    <n v="11.1"/>
    <n v="4.2"/>
    <n v="3.9"/>
    <n v="0"/>
    <n v="3.6"/>
    <n v="3"/>
    <n v="3.1"/>
    <s v="Yes"/>
    <n v="0"/>
    <n v="0"/>
    <m/>
    <n v="0"/>
    <x v="0"/>
    <m/>
    <n v="1"/>
    <n v="0"/>
    <x v="1"/>
    <s v="1â€“3 years"/>
    <s v="Low"/>
    <s v="3.233333333333333"/>
    <s v="0.3333333333333333"/>
    <n v="0"/>
  </r>
  <r>
    <s v="EMP0961"/>
    <s v="Finance"/>
    <x v="17"/>
    <n v="1.2"/>
    <s v="G3"/>
    <n v="24"/>
    <s v="Bachelor"/>
    <s v="Hyderabad"/>
    <n v="3"/>
    <n v="45"/>
    <n v="13"/>
    <n v="2"/>
    <n v="12"/>
    <n v="0"/>
    <s v="Band B"/>
    <n v="48100"/>
    <n v="13"/>
    <n v="1.6"/>
    <n v="0.8"/>
    <n v="0"/>
    <n v="3.5"/>
    <n v="2.5"/>
    <n v="3.7"/>
    <s v="Yes"/>
    <n v="0"/>
    <n v="1"/>
    <n v="0.5"/>
    <n v="1"/>
    <x v="0"/>
    <m/>
    <n v="0"/>
    <n v="0"/>
    <x v="0"/>
    <s v="1â€“3 years"/>
    <s v="High"/>
    <s v="3.233333333333333"/>
    <n v="0.25"/>
    <n v="0"/>
  </r>
  <r>
    <s v="EMP0962"/>
    <s v="Hr"/>
    <x v="7"/>
    <n v="2.2000000000000002"/>
    <s v="G3"/>
    <n v="35"/>
    <s v="Bachelor"/>
    <s v="Coimbatore"/>
    <n v="5"/>
    <n v="20.7"/>
    <n v="7"/>
    <n v="2"/>
    <n v="12"/>
    <n v="0"/>
    <s v="Band B"/>
    <n v="49100"/>
    <n v="13"/>
    <n v="3.9"/>
    <n v="0.3"/>
    <n v="0"/>
    <n v="5"/>
    <n v="3.8"/>
    <n v="3.1"/>
    <s v="Yes"/>
    <n v="0"/>
    <n v="1"/>
    <n v="1.1000000000000001"/>
    <n v="2"/>
    <x v="0"/>
    <m/>
    <n v="0"/>
    <n v="0"/>
    <x v="0"/>
    <s v="1â€“3 years"/>
    <s v="High"/>
    <s v="3.966666666666667"/>
    <s v="0.4166666666666667"/>
    <n v="0"/>
  </r>
  <r>
    <s v="EMP0963"/>
    <s v="Engineering"/>
    <x v="4"/>
    <n v="3"/>
    <s v="G1"/>
    <n v="25"/>
    <s v="Bachelor"/>
    <s v="Coimbatore"/>
    <n v="1"/>
    <n v="11.4"/>
    <n v="7"/>
    <n v="1"/>
    <n v="12"/>
    <n v="0"/>
    <s v="Band A"/>
    <n v="23800"/>
    <n v="10.8"/>
    <n v="3.6"/>
    <n v="1.6"/>
    <n v="0"/>
    <n v="3.4"/>
    <n v="4.0999999999999996"/>
    <n v="3.4"/>
    <s v="Yes"/>
    <n v="1"/>
    <n v="1"/>
    <n v="2.4"/>
    <n v="0"/>
    <x v="0"/>
    <m/>
    <n v="0"/>
    <n v="0"/>
    <x v="0"/>
    <s v="1â€“3 years"/>
    <s v="Moderate"/>
    <s v="3.6333333333333333"/>
    <n v="8.3333333333333301E-2"/>
    <n v="0"/>
  </r>
  <r>
    <s v="EMP0964"/>
    <s v="Engineering"/>
    <x v="16"/>
    <n v="12.2"/>
    <s v="G3"/>
    <n v="35"/>
    <s v="Diploma"/>
    <s v="Chennai"/>
    <n v="2"/>
    <n v="4.0999999999999996"/>
    <n v="9"/>
    <n v="2"/>
    <n v="12"/>
    <n v="0"/>
    <s v="Band C"/>
    <n v="59700"/>
    <n v="9.4"/>
    <n v="3.3"/>
    <n v="0.6"/>
    <n v="0"/>
    <n v="4.5"/>
    <n v="1.5"/>
    <n v="3.6"/>
    <s v="Yes"/>
    <n v="0"/>
    <n v="1"/>
    <n v="11"/>
    <n v="0"/>
    <x v="0"/>
    <m/>
    <n v="0"/>
    <n v="0"/>
    <x v="0"/>
    <s v="5+ years"/>
    <s v="Low"/>
    <s v="3.1999999999999997"/>
    <s v="0.16666666666666666"/>
    <n v="0"/>
  </r>
  <r>
    <s v="EMP0965"/>
    <s v="Customer Support"/>
    <x v="9"/>
    <n v="3.9"/>
    <s v="G5"/>
    <n v="32"/>
    <s v="Doctorate"/>
    <s v="Remote"/>
    <n v="2"/>
    <n v="10.1"/>
    <n v="8"/>
    <n v="3"/>
    <n v="12"/>
    <n v="0"/>
    <s v="Band D"/>
    <n v="94600"/>
    <n v="4"/>
    <n v="2.8"/>
    <n v="1.1000000000000001"/>
    <n v="0"/>
    <n v="2"/>
    <n v="2.8"/>
    <n v="4.0999999999999996"/>
    <s v="Yes"/>
    <n v="0"/>
    <n v="0"/>
    <m/>
    <n v="0"/>
    <x v="0"/>
    <m/>
    <n v="1"/>
    <n v="0"/>
    <x v="1"/>
    <s v="3â€“5 years"/>
    <s v="Moderate"/>
    <s v="2.9666666666666663"/>
    <s v="0.16666666666666666"/>
    <n v="0"/>
  </r>
  <r>
    <s v="EMP0966"/>
    <s v="Hr"/>
    <x v="7"/>
    <n v="7.6"/>
    <s v="G2"/>
    <n v="26"/>
    <s v="Master"/>
    <s v="Bengaluru"/>
    <n v="3"/>
    <n v="19.7"/>
    <n v="13"/>
    <n v="1"/>
    <n v="12"/>
    <n v="0"/>
    <s v="Band C"/>
    <n v="50200"/>
    <n v="9.3000000000000007"/>
    <n v="4.3"/>
    <n v="1.8"/>
    <n v="0"/>
    <n v="4.2"/>
    <n v="2.1"/>
    <n v="4.3"/>
    <s v="Yes"/>
    <n v="0"/>
    <n v="2"/>
    <m/>
    <n v="0"/>
    <x v="0"/>
    <m/>
    <n v="1"/>
    <n v="0"/>
    <x v="0"/>
    <s v="5+ years"/>
    <s v="Moderate"/>
    <s v="3.5333333333333337"/>
    <n v="0.25"/>
    <n v="0"/>
  </r>
  <r>
    <s v="EMP0967"/>
    <s v="Customer Support"/>
    <x v="5"/>
    <n v="2.7"/>
    <s v="G2"/>
    <n v="34"/>
    <s v="Bachelor"/>
    <s v="Coimbatore"/>
    <n v="4"/>
    <n v="16.899999999999999"/>
    <n v="4"/>
    <n v="3"/>
    <n v="12"/>
    <n v="0"/>
    <s v="Band B"/>
    <n v="42400"/>
    <n v="5.5"/>
    <n v="3.3"/>
    <n v="0"/>
    <n v="0"/>
    <n v="3.5"/>
    <n v="3.3"/>
    <n v="3.8"/>
    <s v="Yes"/>
    <n v="0"/>
    <n v="1"/>
    <n v="2.4"/>
    <n v="0"/>
    <x v="0"/>
    <m/>
    <n v="0"/>
    <n v="0"/>
    <x v="0"/>
    <s v="1â€“3 years"/>
    <s v="Moderate"/>
    <s v="3.533333333333333"/>
    <s v="0.3333333333333333"/>
    <n v="0"/>
  </r>
  <r>
    <s v="EMP0968"/>
    <s v="Engineering"/>
    <x v="16"/>
    <n v="2.4"/>
    <s v="G4"/>
    <n v="31"/>
    <s v="Bachelor"/>
    <s v="Coimbatore"/>
    <n v="2"/>
    <n v="1.3"/>
    <n v="6"/>
    <n v="4"/>
    <n v="12"/>
    <n v="0"/>
    <s v="Band C"/>
    <n v="66100"/>
    <n v="10.1"/>
    <n v="1.9"/>
    <n v="1.4"/>
    <n v="0"/>
    <n v="3.5"/>
    <n v="2.1"/>
    <n v="4.0999999999999996"/>
    <s v="Yes"/>
    <n v="0"/>
    <n v="1"/>
    <n v="2.2999999999999998"/>
    <n v="0"/>
    <x v="0"/>
    <m/>
    <n v="0"/>
    <n v="0"/>
    <x v="0"/>
    <s v="1â€“3 years"/>
    <s v="Low"/>
    <s v="3.233333333333333"/>
    <s v="0.16666666666666666"/>
    <n v="0"/>
  </r>
  <r>
    <s v="EMP0969"/>
    <s v="Finance"/>
    <x v="17"/>
    <n v="0.9"/>
    <s v="G1"/>
    <n v="30"/>
    <s v="Master"/>
    <s v="Remote"/>
    <n v="3"/>
    <n v="1.9"/>
    <n v="7"/>
    <n v="1"/>
    <n v="12"/>
    <n v="0"/>
    <s v="Band A"/>
    <n v="22400"/>
    <n v="4.9000000000000004"/>
    <n v="2.1"/>
    <n v="3.3"/>
    <n v="0"/>
    <n v="3.6"/>
    <n v="2"/>
    <n v="4.2"/>
    <s v="Yes"/>
    <n v="0"/>
    <n v="1"/>
    <n v="0.2"/>
    <n v="1"/>
    <x v="0"/>
    <m/>
    <n v="0"/>
    <n v="0"/>
    <x v="0"/>
    <s v="0â€“1 years"/>
    <s v="Low"/>
    <s v="3.266666666666667"/>
    <n v="0.25"/>
    <n v="0"/>
  </r>
  <r>
    <s v="EMP0970"/>
    <s v="Engineering"/>
    <x v="12"/>
    <n v="11.9"/>
    <s v="G3"/>
    <n v="40"/>
    <s v="Bachelor"/>
    <s v="Hyderabad"/>
    <n v="2"/>
    <n v="14.2"/>
    <n v="9"/>
    <n v="3"/>
    <n v="12"/>
    <n v="0"/>
    <s v="Band B"/>
    <n v="43400"/>
    <n v="10.1"/>
    <n v="1.7"/>
    <n v="0.3"/>
    <n v="0"/>
    <n v="4.8"/>
    <n v="4.2"/>
    <n v="3.5"/>
    <s v="Yes"/>
    <n v="0"/>
    <n v="4"/>
    <n v="2.1"/>
    <n v="0"/>
    <x v="0"/>
    <m/>
    <n v="0"/>
    <n v="0"/>
    <x v="0"/>
    <s v="5+ years"/>
    <s v="Moderate"/>
    <s v="4.166666666666667"/>
    <s v="0.16666666666666666"/>
    <n v="0"/>
  </r>
  <r>
    <s v="EMP0971"/>
    <s v="Sales"/>
    <x v="8"/>
    <n v="9.3000000000000007"/>
    <s v="G3"/>
    <n v="35"/>
    <s v="Master"/>
    <s v="Hyderabad"/>
    <n v="1"/>
    <n v="2"/>
    <n v="8"/>
    <n v="0"/>
    <n v="12"/>
    <n v="0"/>
    <s v="Band C"/>
    <n v="50600"/>
    <n v="13.3"/>
    <n v="4.3"/>
    <n v="2.6"/>
    <n v="0"/>
    <n v="3.5"/>
    <n v="3.1"/>
    <n v="1.7"/>
    <s v="Yes"/>
    <n v="0"/>
    <n v="1"/>
    <n v="4.5999999999999996"/>
    <n v="0"/>
    <x v="0"/>
    <m/>
    <n v="0"/>
    <n v="0"/>
    <x v="0"/>
    <s v="5+ years"/>
    <s v="Low"/>
    <s v="2.766666666666666"/>
    <n v="8.3333333333333301E-2"/>
    <n v="0"/>
  </r>
  <r>
    <s v="EMP0972"/>
    <s v="Engineering"/>
    <x v="16"/>
    <n v="4.4000000000000004"/>
    <s v="G1"/>
    <n v="26"/>
    <s v="Doctorate"/>
    <s v="Bengaluru"/>
    <n v="5"/>
    <n v="3.9"/>
    <n v="14"/>
    <n v="2"/>
    <n v="12"/>
    <n v="0"/>
    <s v="Band A"/>
    <n v="24400"/>
    <n v="9.5"/>
    <n v="4.5"/>
    <n v="1.4"/>
    <n v="0"/>
    <n v="2.6"/>
    <n v="3.1"/>
    <n v="4.3"/>
    <s v="No"/>
    <n v="0"/>
    <n v="1"/>
    <n v="4"/>
    <n v="0"/>
    <x v="0"/>
    <m/>
    <n v="0"/>
    <n v="0"/>
    <x v="0"/>
    <s v="3â€“5 years"/>
    <s v="Low"/>
    <s v="3.3333333333333335"/>
    <s v="0.4166666666666667"/>
    <n v="0"/>
  </r>
  <r>
    <s v="EMP0973"/>
    <s v="Engineering"/>
    <x v="12"/>
    <n v="3.1"/>
    <s v="G3"/>
    <n v="29"/>
    <s v="Bachelor"/>
    <s v="Hyderabad"/>
    <n v="1"/>
    <n v="8.6"/>
    <n v="7"/>
    <n v="3"/>
    <n v="12"/>
    <n v="0"/>
    <s v="Band C"/>
    <n v="55100"/>
    <n v="9.3000000000000007"/>
    <n v="4.2"/>
    <n v="2"/>
    <n v="0"/>
    <n v="2.7"/>
    <n v="3.6"/>
    <n v="2.7"/>
    <s v="Yes"/>
    <n v="0"/>
    <n v="0"/>
    <m/>
    <n v="0"/>
    <x v="1"/>
    <d v="2024-02-06T00:00:00"/>
    <n v="1"/>
    <n v="0"/>
    <x v="1"/>
    <s v="3â€“5 years"/>
    <s v="Low"/>
    <n v="3"/>
    <n v="8.3333333333333301E-2"/>
    <n v="1"/>
  </r>
  <r>
    <s v="EMP0974"/>
    <s v="Customer Support"/>
    <x v="9"/>
    <n v="4"/>
    <s v="G3"/>
    <n v="26"/>
    <s v="Bachelor"/>
    <s v="Chennai"/>
    <n v="2"/>
    <n v="22.1"/>
    <n v="10"/>
    <n v="1"/>
    <n v="12"/>
    <n v="0"/>
    <s v="Band C"/>
    <n v="52600"/>
    <n v="11.7"/>
    <n v="3.1"/>
    <n v="0.8"/>
    <n v="0"/>
    <n v="4"/>
    <n v="4.0999999999999996"/>
    <n v="2.5"/>
    <s v="Yes"/>
    <n v="0"/>
    <n v="1"/>
    <n v="2"/>
    <n v="0"/>
    <x v="0"/>
    <m/>
    <n v="0"/>
    <n v="0"/>
    <x v="0"/>
    <s v="3â€“5 years"/>
    <s v="High"/>
    <s v="3.533333333333333"/>
    <s v="0.16666666666666666"/>
    <n v="0"/>
  </r>
  <r>
    <s v="EMP0975"/>
    <s v="Sales"/>
    <x v="13"/>
    <n v="1.2"/>
    <s v="G2"/>
    <n v="29"/>
    <s v="Bachelor"/>
    <s v="Bengaluru"/>
    <n v="3"/>
    <n v="14.7"/>
    <n v="6"/>
    <n v="1"/>
    <n v="12"/>
    <n v="0"/>
    <s v="Band B"/>
    <n v="38100"/>
    <n v="15.1"/>
    <n v="1.9"/>
    <n v="1.6"/>
    <n v="0"/>
    <n v="3.7"/>
    <n v="2.8"/>
    <n v="2.5"/>
    <s v="Yes"/>
    <n v="0"/>
    <n v="1"/>
    <n v="1.2"/>
    <n v="0"/>
    <x v="0"/>
    <m/>
    <n v="0"/>
    <n v="0"/>
    <x v="0"/>
    <s v="1â€“3 years"/>
    <s v="Moderate"/>
    <n v="3"/>
    <n v="0.25"/>
    <n v="0"/>
  </r>
  <r>
    <s v="EMP0976"/>
    <s v="Operations"/>
    <x v="3"/>
    <n v="5.2"/>
    <s v="G4"/>
    <n v="34"/>
    <s v="Diploma"/>
    <s v="Coimbatore"/>
    <n v="3"/>
    <n v="7.7"/>
    <n v="5"/>
    <n v="5"/>
    <n v="12"/>
    <n v="0"/>
    <s v="Band C"/>
    <n v="65000"/>
    <n v="7.6"/>
    <n v="2.2999999999999998"/>
    <n v="3.9"/>
    <n v="0"/>
    <n v="1.9"/>
    <n v="2.8"/>
    <n v="5"/>
    <s v="Yes"/>
    <n v="0"/>
    <n v="1"/>
    <n v="2.4"/>
    <n v="0"/>
    <x v="0"/>
    <m/>
    <n v="0"/>
    <n v="0"/>
    <x v="0"/>
    <s v="5+ years"/>
    <s v="Low"/>
    <s v="3.233333333333333"/>
    <n v="0.25"/>
    <n v="0"/>
  </r>
  <r>
    <s v="EMP0977"/>
    <s v="Hr"/>
    <x v="7"/>
    <n v="8.8000000000000007"/>
    <s v="G1"/>
    <n v="41"/>
    <s v="Bachelor"/>
    <s v="Bengaluru"/>
    <n v="7"/>
    <n v="18"/>
    <n v="11"/>
    <n v="2"/>
    <n v="12"/>
    <n v="0"/>
    <s v="Band A"/>
    <n v="31400"/>
    <n v="10.1"/>
    <n v="2.2999999999999998"/>
    <n v="2.1"/>
    <n v="0"/>
    <n v="3.8"/>
    <n v="3.3"/>
    <n v="3.8"/>
    <s v="Yes"/>
    <n v="1"/>
    <n v="0"/>
    <m/>
    <n v="0"/>
    <x v="0"/>
    <m/>
    <n v="1"/>
    <n v="0"/>
    <x v="1"/>
    <s v="5+ years"/>
    <s v="Moderate"/>
    <s v="3.633333333333333"/>
    <s v="0.5833333333333334"/>
    <n v="0"/>
  </r>
  <r>
    <s v="EMP0978"/>
    <s v="Sales"/>
    <x v="14"/>
    <n v="9.1"/>
    <s v="G2"/>
    <n v="37"/>
    <s v="Diploma"/>
    <s v="Remote"/>
    <n v="3"/>
    <n v="38.6"/>
    <n v="1"/>
    <n v="2"/>
    <n v="12"/>
    <n v="0"/>
    <s v="Band A"/>
    <n v="34900"/>
    <n v="14"/>
    <n v="3.2"/>
    <n v="0.3"/>
    <n v="0"/>
    <n v="2.2999999999999998"/>
    <n v="4.2"/>
    <n v="2.6"/>
    <s v="Yes"/>
    <n v="0"/>
    <n v="1"/>
    <n v="9.1"/>
    <n v="1"/>
    <x v="0"/>
    <m/>
    <n v="0"/>
    <n v="0"/>
    <x v="0"/>
    <s v="5+ years"/>
    <s v="High"/>
    <s v="3.033333333333333"/>
    <n v="0.25"/>
    <n v="0"/>
  </r>
  <r>
    <s v="EMP0979"/>
    <s v="Finance"/>
    <x v="18"/>
    <n v="0.9"/>
    <s v="G4"/>
    <n v="31"/>
    <s v="Diploma"/>
    <s v="Remote"/>
    <n v="6"/>
    <n v="10.199999999999999"/>
    <n v="8"/>
    <n v="2"/>
    <n v="12"/>
    <n v="0"/>
    <s v="Band C"/>
    <n v="69300"/>
    <n v="10.7"/>
    <n v="4.4000000000000004"/>
    <n v="3"/>
    <n v="0"/>
    <n v="3.7"/>
    <n v="3.1"/>
    <n v="2.9"/>
    <s v="Yes"/>
    <n v="0"/>
    <n v="0"/>
    <m/>
    <n v="0"/>
    <x v="0"/>
    <m/>
    <n v="1"/>
    <n v="0"/>
    <x v="1"/>
    <s v="0â€“1 years"/>
    <s v="Moderate"/>
    <s v="3.233333333333334"/>
    <n v="0.5"/>
    <n v="0"/>
  </r>
  <r>
    <s v="EMP0980"/>
    <s v="Engineering"/>
    <x v="10"/>
    <n v="7.6"/>
    <s v="G1"/>
    <n v="32"/>
    <s v="Bachelor"/>
    <s v="Coimbatore"/>
    <n v="3"/>
    <n v="2.7"/>
    <n v="11"/>
    <n v="2"/>
    <n v="12"/>
    <n v="0"/>
    <s v="Band A"/>
    <n v="33400"/>
    <n v="0"/>
    <n v="4.4000000000000004"/>
    <n v="1.2"/>
    <n v="0"/>
    <n v="2.6"/>
    <n v="2.9"/>
    <n v="3.4"/>
    <s v="Yes"/>
    <n v="0"/>
    <n v="2"/>
    <n v="2.1"/>
    <n v="0"/>
    <x v="0"/>
    <m/>
    <n v="0"/>
    <n v="0"/>
    <x v="0"/>
    <s v="5+ years"/>
    <s v="Low"/>
    <s v="2.966666666666667"/>
    <n v="0.25"/>
    <n v="0"/>
  </r>
  <r>
    <s v="EMP0981"/>
    <s v="Customer Support"/>
    <x v="9"/>
    <n v="1.2"/>
    <s v="G4"/>
    <n v="25"/>
    <s v="Bachelor"/>
    <s v="Bengaluru"/>
    <n v="3"/>
    <n v="4"/>
    <n v="14"/>
    <n v="3"/>
    <n v="12"/>
    <n v="0"/>
    <s v="Band C"/>
    <n v="66900"/>
    <n v="5.0999999999999996"/>
    <n v="2.8"/>
    <n v="0.1"/>
    <n v="0"/>
    <n v="3"/>
    <n v="3.6"/>
    <n v="3.8"/>
    <s v="Yes"/>
    <n v="0"/>
    <n v="0"/>
    <m/>
    <n v="0"/>
    <x v="0"/>
    <m/>
    <n v="1"/>
    <n v="0"/>
    <x v="1"/>
    <s v="1â€“3 years"/>
    <s v="Low"/>
    <s v="3.4666666666666663"/>
    <n v="0.25"/>
    <n v="0"/>
  </r>
  <r>
    <s v="EMP0982"/>
    <s v="Operations"/>
    <x v="6"/>
    <n v="0.4"/>
    <s v="G1"/>
    <n v="28"/>
    <s v="Master"/>
    <s v="Hyderabad"/>
    <n v="2"/>
    <n v="4"/>
    <n v="9"/>
    <n v="1"/>
    <n v="12"/>
    <n v="0"/>
    <s v="Band A"/>
    <n v="29500"/>
    <n v="11"/>
    <n v="1.2"/>
    <n v="0.5"/>
    <n v="0"/>
    <n v="2.8"/>
    <n v="4.8"/>
    <n v="3.6"/>
    <s v="No"/>
    <n v="0"/>
    <n v="0"/>
    <m/>
    <n v="0"/>
    <x v="0"/>
    <m/>
    <n v="1"/>
    <n v="0"/>
    <x v="1"/>
    <s v="0â€“1 years"/>
    <s v="Low"/>
    <s v="3.733333333333333"/>
    <s v="0.16666666666666666"/>
    <n v="0"/>
  </r>
  <r>
    <s v="EMP0983"/>
    <s v="Operations"/>
    <x v="0"/>
    <n v="7.8"/>
    <s v="G2"/>
    <n v="32"/>
    <s v="Diploma"/>
    <s v="Remote"/>
    <n v="2"/>
    <n v="5"/>
    <n v="3"/>
    <n v="5"/>
    <n v="12"/>
    <n v="0"/>
    <s v="Band A"/>
    <n v="31500"/>
    <n v="6.4"/>
    <n v="2.1"/>
    <n v="0.4"/>
    <n v="0"/>
    <n v="4.7"/>
    <n v="3.3"/>
    <n v="2.7"/>
    <s v="No"/>
    <n v="0"/>
    <n v="1"/>
    <n v="1.3"/>
    <n v="0"/>
    <x v="0"/>
    <m/>
    <n v="0"/>
    <n v="0"/>
    <x v="0"/>
    <s v="5+ years"/>
    <s v="Low"/>
    <s v="3.5666666666666664"/>
    <s v="0.16666666666666666"/>
    <n v="0"/>
  </r>
  <r>
    <s v="EMP0984"/>
    <s v="Hr"/>
    <x v="15"/>
    <n v="2.5"/>
    <s v="G1"/>
    <n v="30"/>
    <s v="Master"/>
    <s v="Hyderabad"/>
    <n v="1"/>
    <n v="7.3"/>
    <n v="7"/>
    <n v="1"/>
    <n v="12"/>
    <n v="0"/>
    <s v="Band A"/>
    <n v="21200"/>
    <n v="13.8"/>
    <n v="4.3"/>
    <n v="1.1000000000000001"/>
    <n v="0"/>
    <n v="3.7"/>
    <n v="3"/>
    <n v="3.7"/>
    <s v="Yes"/>
    <n v="0"/>
    <n v="1"/>
    <n v="0.4"/>
    <n v="0"/>
    <x v="0"/>
    <m/>
    <n v="0"/>
    <n v="0"/>
    <x v="0"/>
    <s v="1â€“3 years"/>
    <s v="Low"/>
    <s v="3.466666666666667"/>
    <n v="8.3333333333333301E-2"/>
    <n v="0"/>
  </r>
  <r>
    <s v="EMP0985"/>
    <s v="Engineering"/>
    <x v="12"/>
    <n v="7.1"/>
    <s v="G3"/>
    <n v="29"/>
    <s v="Bachelor"/>
    <s v="Chennai"/>
    <n v="5"/>
    <n v="12.2"/>
    <n v="5"/>
    <n v="2"/>
    <n v="12"/>
    <n v="0"/>
    <s v="Band C"/>
    <n v="58200"/>
    <n v="15.4"/>
    <n v="3.4"/>
    <n v="3.1"/>
    <n v="0"/>
    <n v="4.4000000000000004"/>
    <n v="4.9000000000000004"/>
    <n v="2.9"/>
    <s v="Yes"/>
    <n v="0"/>
    <n v="2"/>
    <n v="1.8"/>
    <n v="0"/>
    <x v="0"/>
    <m/>
    <n v="0"/>
    <n v="0"/>
    <x v="0"/>
    <s v="5+ years"/>
    <s v="Moderate"/>
    <s v="4.066666666666667"/>
    <s v="0.4166666666666667"/>
    <n v="0"/>
  </r>
  <r>
    <s v="EMP0986"/>
    <s v="Customer Support"/>
    <x v="2"/>
    <n v="6.7"/>
    <s v="G4"/>
    <n v="29"/>
    <s v="Diploma"/>
    <s v="Chennai"/>
    <n v="3"/>
    <n v="2.2999999999999998"/>
    <n v="3"/>
    <n v="2"/>
    <n v="12"/>
    <n v="0"/>
    <s v="Band D"/>
    <n v="84400"/>
    <n v="5.6"/>
    <n v="2.9"/>
    <n v="2.5"/>
    <n v="0"/>
    <n v="5"/>
    <n v="4.4000000000000004"/>
    <n v="4.2"/>
    <s v="No"/>
    <n v="0"/>
    <n v="1"/>
    <n v="3.6"/>
    <n v="0"/>
    <x v="0"/>
    <m/>
    <n v="0"/>
    <n v="0"/>
    <x v="0"/>
    <s v="5+ years"/>
    <s v="Low"/>
    <s v="4.533333333333334"/>
    <n v="0.25"/>
    <n v="0"/>
  </r>
  <r>
    <s v="EMP0987"/>
    <s v="Sales"/>
    <x v="14"/>
    <n v="6.1"/>
    <s v="G4"/>
    <n v="35"/>
    <s v="Diploma"/>
    <s v="Hyderabad"/>
    <n v="1"/>
    <n v="2.8"/>
    <n v="7"/>
    <n v="2"/>
    <n v="12"/>
    <n v="0"/>
    <s v="Band C"/>
    <n v="72200"/>
    <n v="3.9"/>
    <n v="2.8"/>
    <n v="0.7"/>
    <n v="0"/>
    <n v="3.3"/>
    <n v="4.3"/>
    <n v="3.4"/>
    <s v="Yes"/>
    <n v="0"/>
    <n v="1"/>
    <n v="5.0999999999999996"/>
    <n v="1"/>
    <x v="0"/>
    <m/>
    <n v="0"/>
    <n v="0"/>
    <x v="0"/>
    <s v="5+ years"/>
    <s v="Low"/>
    <s v="3.6666666666666665"/>
    <n v="8.3333333333333301E-2"/>
    <n v="0"/>
  </r>
  <r>
    <s v="EMP0988"/>
    <s v="Engineering"/>
    <x v="4"/>
    <n v="4"/>
    <s v="G5"/>
    <n v="34"/>
    <s v="Master"/>
    <s v="Hyderabad"/>
    <n v="5"/>
    <n v="15.5"/>
    <n v="12"/>
    <n v="0"/>
    <n v="12"/>
    <n v="0"/>
    <s v="Band E"/>
    <n v="123000"/>
    <n v="6.6"/>
    <n v="2.5"/>
    <n v="1.9"/>
    <n v="0"/>
    <n v="4.7"/>
    <n v="2.7"/>
    <n v="2.8"/>
    <s v="Yes"/>
    <n v="0"/>
    <n v="2"/>
    <n v="2.1"/>
    <n v="0"/>
    <x v="0"/>
    <m/>
    <n v="0"/>
    <n v="0"/>
    <x v="0"/>
    <s v="3â€“5 years"/>
    <s v="Moderate"/>
    <n v="3.4"/>
    <s v="0.4166666666666667"/>
    <n v="0"/>
  </r>
  <r>
    <s v="EMP0989"/>
    <s v="Sales"/>
    <x v="14"/>
    <n v="1.3"/>
    <s v="G3"/>
    <n v="23"/>
    <s v="Bachelor"/>
    <s v="Bengaluru"/>
    <n v="5"/>
    <n v="6.2"/>
    <n v="15"/>
    <n v="2"/>
    <n v="12"/>
    <n v="0"/>
    <s v="Band B"/>
    <n v="43000"/>
    <n v="6.3"/>
    <n v="2.1"/>
    <n v="0.8"/>
    <n v="0"/>
    <n v="2.7"/>
    <n v="2.7"/>
    <n v="4"/>
    <s v="Yes"/>
    <n v="0"/>
    <n v="1"/>
    <n v="1"/>
    <n v="0"/>
    <x v="1"/>
    <d v="2026-09-18T00:00:00"/>
    <n v="0"/>
    <n v="0"/>
    <x v="0"/>
    <s v="1â€“3 years"/>
    <s v="Low"/>
    <s v="3.1333333333333333"/>
    <s v="0.4166666666666667"/>
    <n v="1"/>
  </r>
  <r>
    <s v="EMP0990"/>
    <s v="Operations"/>
    <x v="3"/>
    <n v="3"/>
    <s v="G3"/>
    <n v="32"/>
    <s v="Bachelor"/>
    <s v="Bengaluru"/>
    <n v="4"/>
    <n v="4.4000000000000004"/>
    <n v="5"/>
    <n v="1"/>
    <n v="12"/>
    <n v="0"/>
    <s v="Band B"/>
    <n v="48500"/>
    <n v="14.1"/>
    <n v="5"/>
    <n v="1"/>
    <n v="0"/>
    <n v="4.4000000000000004"/>
    <n v="1.5"/>
    <n v="3.7"/>
    <s v="Yes"/>
    <n v="0"/>
    <n v="0"/>
    <m/>
    <n v="1"/>
    <x v="0"/>
    <m/>
    <n v="1"/>
    <n v="0"/>
    <x v="1"/>
    <s v="1â€“3 years"/>
    <s v="Low"/>
    <s v="3.2000000000000006"/>
    <s v="0.3333333333333333"/>
    <n v="0"/>
  </r>
  <r>
    <s v="EMP0991"/>
    <s v="Operations"/>
    <x v="3"/>
    <n v="9.1999999999999993"/>
    <s v="G2"/>
    <n v="33"/>
    <s v="Diploma"/>
    <s v="Coimbatore"/>
    <n v="0"/>
    <n v="8"/>
    <n v="10"/>
    <n v="2"/>
    <n v="12"/>
    <n v="0"/>
    <s v="Band B"/>
    <n v="42800"/>
    <n v="3.9"/>
    <n v="4.7"/>
    <n v="1.7"/>
    <n v="0"/>
    <n v="2.6"/>
    <n v="4.0999999999999996"/>
    <n v="3"/>
    <s v="Yes"/>
    <n v="0"/>
    <n v="1"/>
    <n v="6.8"/>
    <n v="0"/>
    <x v="0"/>
    <m/>
    <n v="0"/>
    <n v="0"/>
    <x v="0"/>
    <s v="5+ years"/>
    <s v="Low"/>
    <s v="3.233333333333333"/>
    <n v="0"/>
    <n v="0"/>
  </r>
  <r>
    <s v="EMP0992"/>
    <s v="Operations"/>
    <x v="3"/>
    <n v="7.2"/>
    <s v="G4"/>
    <n v="33"/>
    <s v="Doctorate"/>
    <s v="Coimbatore"/>
    <n v="2"/>
    <n v="24.9"/>
    <n v="6"/>
    <n v="2"/>
    <n v="12"/>
    <n v="0"/>
    <s v="Band D"/>
    <n v="79700"/>
    <n v="11"/>
    <n v="2.5"/>
    <n v="0.3"/>
    <n v="0"/>
    <n v="3.3"/>
    <n v="3.3"/>
    <n v="4"/>
    <s v="Yes"/>
    <n v="0"/>
    <n v="0"/>
    <m/>
    <n v="0"/>
    <x v="0"/>
    <m/>
    <n v="1"/>
    <n v="0"/>
    <x v="1"/>
    <s v="5+ years"/>
    <s v="High"/>
    <s v="3.533333333333333"/>
    <s v="0.16666666666666666"/>
    <n v="0"/>
  </r>
  <r>
    <s v="EMP0993"/>
    <s v="Operations"/>
    <x v="6"/>
    <n v="3.1"/>
    <s v="G3"/>
    <n v="35"/>
    <s v="Bachelor"/>
    <s v="Hyderabad"/>
    <n v="2"/>
    <n v="17.100000000000001"/>
    <n v="4"/>
    <n v="0"/>
    <n v="12"/>
    <n v="0"/>
    <s v="Band B"/>
    <n v="49200"/>
    <n v="13.6"/>
    <n v="1.6"/>
    <n v="1"/>
    <n v="0"/>
    <n v="3.8"/>
    <n v="1.6"/>
    <n v="3.9"/>
    <s v="Yes"/>
    <n v="0"/>
    <n v="0"/>
    <m/>
    <n v="0"/>
    <x v="0"/>
    <m/>
    <n v="1"/>
    <n v="0"/>
    <x v="1"/>
    <s v="3â€“5 years"/>
    <s v="Moderate"/>
    <n v="3.1"/>
    <s v="0.16666666666666666"/>
    <n v="0"/>
  </r>
  <r>
    <s v="EMP0994"/>
    <s v="Engineering"/>
    <x v="4"/>
    <n v="3.1"/>
    <s v="G4"/>
    <n v="32"/>
    <s v="Bachelor"/>
    <s v="Chennai"/>
    <n v="1"/>
    <n v="16.2"/>
    <n v="13"/>
    <n v="1"/>
    <n v="12"/>
    <n v="0"/>
    <s v="Band C"/>
    <n v="62100"/>
    <n v="11.3"/>
    <n v="3.4"/>
    <n v="1.1000000000000001"/>
    <n v="0"/>
    <n v="3.9"/>
    <n v="4.3"/>
    <n v="4.4000000000000004"/>
    <s v="Yes"/>
    <n v="0"/>
    <n v="0"/>
    <m/>
    <n v="0"/>
    <x v="0"/>
    <m/>
    <n v="1"/>
    <n v="0"/>
    <x v="1"/>
    <s v="3â€“5 years"/>
    <s v="Moderate"/>
    <n v="4.2"/>
    <n v="8.3333333333333301E-2"/>
    <n v="0"/>
  </r>
  <r>
    <s v="EMP0995"/>
    <s v="Customer Support"/>
    <x v="9"/>
    <n v="5.8"/>
    <s v="G2"/>
    <n v="35"/>
    <s v="Master"/>
    <s v="Bengaluru"/>
    <n v="3"/>
    <n v="31.2"/>
    <n v="12"/>
    <n v="2"/>
    <n v="12"/>
    <n v="0"/>
    <s v="Band B"/>
    <n v="43200"/>
    <n v="9.6999999999999993"/>
    <n v="3.1"/>
    <n v="0.6"/>
    <n v="0"/>
    <n v="2.2000000000000002"/>
    <n v="2.9"/>
    <n v="4"/>
    <s v="Yes"/>
    <n v="0"/>
    <n v="0"/>
    <m/>
    <n v="0"/>
    <x v="1"/>
    <d v="2025-12-28T00:00:00"/>
    <n v="1"/>
    <n v="0"/>
    <x v="1"/>
    <s v="5+ years"/>
    <s v="High"/>
    <s v="3.033333333333333"/>
    <n v="0.25"/>
    <n v="1"/>
  </r>
  <r>
    <s v="EMP0996"/>
    <s v="Hr"/>
    <x v="7"/>
    <n v="4.2"/>
    <s v="G2"/>
    <n v="38"/>
    <s v="Bachelor"/>
    <s v="Bengaluru"/>
    <n v="3"/>
    <n v="12.7"/>
    <n v="5"/>
    <n v="1"/>
    <n v="12"/>
    <n v="0"/>
    <s v="Band B"/>
    <n v="39900"/>
    <n v="7.4"/>
    <n v="3.8"/>
    <n v="1.9"/>
    <n v="0"/>
    <n v="2.5"/>
    <n v="3"/>
    <n v="3.2"/>
    <s v="Yes"/>
    <n v="0"/>
    <n v="0"/>
    <m/>
    <n v="0"/>
    <x v="0"/>
    <m/>
    <n v="1"/>
    <n v="0"/>
    <x v="1"/>
    <s v="3â€“5 years"/>
    <s v="Moderate"/>
    <n v="2.9"/>
    <n v="0.25"/>
    <n v="0"/>
  </r>
  <r>
    <s v="EMP0997"/>
    <s v="Operations"/>
    <x v="6"/>
    <n v="3.3"/>
    <s v="G3"/>
    <n v="26"/>
    <s v="Bachelor"/>
    <s v="Hyderabad"/>
    <n v="2"/>
    <n v="33.200000000000003"/>
    <n v="13"/>
    <n v="1"/>
    <n v="12"/>
    <n v="0"/>
    <s v="Band C"/>
    <n v="50800"/>
    <n v="15.4"/>
    <n v="4"/>
    <n v="1.9"/>
    <n v="0"/>
    <n v="3.9"/>
    <n v="1.8"/>
    <n v="2"/>
    <s v="Yes"/>
    <n v="0"/>
    <n v="0"/>
    <m/>
    <n v="0"/>
    <x v="0"/>
    <m/>
    <n v="1"/>
    <n v="0"/>
    <x v="1"/>
    <s v="3â€“5 years"/>
    <s v="High"/>
    <s v="2.566666666666667"/>
    <s v="0.16666666666666666"/>
    <n v="0"/>
  </r>
  <r>
    <s v="EMP0998"/>
    <s v="Engineering"/>
    <x v="10"/>
    <n v="5.4"/>
    <s v="G1"/>
    <n v="27"/>
    <s v="Master"/>
    <s v="Chennai"/>
    <n v="3"/>
    <n v="35.1"/>
    <n v="8"/>
    <n v="0"/>
    <n v="12"/>
    <n v="0"/>
    <s v="Band A"/>
    <n v="31200"/>
    <n v="7"/>
    <n v="2.1"/>
    <n v="0.4"/>
    <n v="0"/>
    <n v="3"/>
    <n v="3.6"/>
    <n v="3.5"/>
    <s v="Yes"/>
    <n v="0"/>
    <n v="1"/>
    <n v="1.7"/>
    <n v="1"/>
    <x v="0"/>
    <m/>
    <n v="0"/>
    <n v="0"/>
    <x v="0"/>
    <s v="5+ years"/>
    <s v="High"/>
    <s v="3.3666666666666667"/>
    <n v="0.25"/>
    <n v="0"/>
  </r>
  <r>
    <s v="EMP0999"/>
    <s v="Customer Support"/>
    <x v="2"/>
    <n v="5.3"/>
    <s v="G1"/>
    <n v="28"/>
    <s v="Bachelor"/>
    <s v="Bengaluru"/>
    <n v="5"/>
    <n v="2.4"/>
    <n v="9"/>
    <n v="2"/>
    <n v="12"/>
    <n v="0"/>
    <s v="Band A"/>
    <n v="28900"/>
    <n v="11.8"/>
    <n v="4.4000000000000004"/>
    <n v="0.3"/>
    <n v="0"/>
    <n v="2"/>
    <n v="3.7"/>
    <n v="3.7"/>
    <s v="Yes"/>
    <n v="0"/>
    <n v="1"/>
    <n v="0.9"/>
    <n v="0"/>
    <x v="0"/>
    <m/>
    <n v="0"/>
    <n v="0"/>
    <x v="0"/>
    <s v="5+ years"/>
    <s v="Low"/>
    <s v="3.1333333333333333"/>
    <s v="0.4166666666666667"/>
    <n v="0"/>
  </r>
  <r>
    <s v="EMP1000"/>
    <s v="Sales"/>
    <x v="8"/>
    <n v="2.2999999999999998"/>
    <s v="G5"/>
    <n v="27"/>
    <s v="Diploma"/>
    <s v="Chennai"/>
    <n v="6"/>
    <n v="1.7"/>
    <n v="10"/>
    <n v="4"/>
    <n v="12"/>
    <n v="0"/>
    <s v="Band D"/>
    <n v="93800"/>
    <n v="7.4"/>
    <n v="2.9"/>
    <n v="1.2"/>
    <n v="0"/>
    <n v="3.2"/>
    <n v="3.2"/>
    <n v="3.4"/>
    <s v="Yes"/>
    <n v="0"/>
    <n v="0"/>
    <m/>
    <n v="0"/>
    <x v="0"/>
    <m/>
    <n v="1"/>
    <n v="0"/>
    <x v="1"/>
    <s v="1â€“3 years"/>
    <s v="Low"/>
    <s v="3.266666666666667"/>
    <n v="0.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3446C-BA8E-47AC-801E-A9E9800001F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A3:C10" firstHeaderRow="0" firstDataRow="1" firstDataCol="1"/>
  <pivotFields count="38">
    <pivotField dataField="1" showAll="0"/>
    <pivotField axis="axisRow" showAll="0">
      <items count="7">
        <item x="2"/>
        <item x="3"/>
        <item x="5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1" baseItem="0"/>
    <dataField name="Sum of attrition" fld="3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0D07E1-D71A-46B5-A72E-3E45CA083369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xit_Status">
  <location ref="A3:B6" firstHeaderRow="1" firstDataRow="1" firstDataCol="1"/>
  <pivotFields count="38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Average of tenure_years" fld="3" subtotal="average" baseField="28" baseItem="0" numFmtId="2"/>
  </dataFields>
  <formats count="1">
    <format dxfId="3">
      <pivotArea outline="0" collapsedLevelsAreSubtotals="1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191A7-9C2B-49E7-872C-0888DA7CF629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Exit_Status">
  <location ref="A3:B6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Items count="1">
    <i/>
  </colItems>
  <dataFields count="1">
    <dataField name="Average of overtime_hours" fld="9" subtotal="average" baseField="28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501AB-3255-4970-9795-74753B283CEA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Exit Status">
  <location ref="A3:D6" firstHeaderRow="0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tisfaction_score" fld="20" subtotal="average" baseField="28" baseItem="0"/>
    <dataField name="Average of work_life_balance_score" fld="21" subtotal="average" baseField="28" baseItem="0"/>
    <dataField name="Average of manager_support_score" fld="22" subtotal="average" baseField="28" baseItem="0"/>
  </dataFields>
  <formats count="1">
    <format dxfId="2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C5E7E-CDB4-4524-B520-2ED082BBDC28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motion_status">
  <location ref="A3:B6" firstHeaderRow="1" firstDataRow="1" firstDataCol="1"/>
  <pivotFields count="3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2"/>
  </rowFields>
  <rowItems count="3">
    <i>
      <x/>
    </i>
    <i>
      <x v="1"/>
    </i>
    <i t="grand">
      <x/>
    </i>
  </rowItems>
  <colItems count="1">
    <i/>
  </colItems>
  <dataFields count="1">
    <dataField name="Sum of attrition" fld="3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38137-2F0C-4E9C-8F66-200E9458B60D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C24" firstHeaderRow="0" firstDataRow="1" firstDataCol="1"/>
  <pivotFields count="38">
    <pivotField dataField="1" showAll="0"/>
    <pivotField showAll="0"/>
    <pivotField axis="axisRow" showAll="0">
      <items count="21">
        <item x="8"/>
        <item x="18"/>
        <item x="4"/>
        <item x="17"/>
        <item x="11"/>
        <item x="1"/>
        <item x="15"/>
        <item x="6"/>
        <item x="0"/>
        <item x="12"/>
        <item x="7"/>
        <item x="19"/>
        <item x="13"/>
        <item x="14"/>
        <item x="10"/>
        <item x="16"/>
        <item x="5"/>
        <item x="2"/>
        <item x="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0" baseItem="0"/>
    <dataField name="Sum of attrition" fld="37" baseField="0" baseItem="0"/>
  </dataFields>
  <chartFormats count="4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92B40E-056E-490C-B7B3-E24EFC2F1C64}" name="Table1" displayName="Table1" ref="A1:AL1001" totalsRowShown="0">
  <autoFilter ref="A1:AL1001" xr:uid="{FB92B40E-056E-490C-B7B3-E24EFC2F1C64}"/>
  <tableColumns count="38">
    <tableColumn id="1" xr3:uid="{A133AEF8-8228-4905-A524-0743801E615F}" name="employee_id"/>
    <tableColumn id="2" xr3:uid="{F3CCC734-A872-474E-9378-EC9319A9E0A5}" name="department"/>
    <tableColumn id="3" xr3:uid="{D012DFF9-380B-4EB8-AD76-B7D9A870E8CF}" name="role"/>
    <tableColumn id="4" xr3:uid="{063D2644-2EF9-4790-876B-41019F89C0E8}" name="tenure_years"/>
    <tableColumn id="5" xr3:uid="{9FFAE39E-8087-4FB3-AC7B-0B8A9636B49B}" name="grade"/>
    <tableColumn id="6" xr3:uid="{FB14EDE3-498A-436B-8B6B-D9F9844EFEE4}" name="age"/>
    <tableColumn id="7" xr3:uid="{FD25ED77-AC1A-4AFE-AEB0-40DA6E9B299D}" name="education_level"/>
    <tableColumn id="8" xr3:uid="{BAF6C89A-1A41-4FD0-8788-B07BE6698918}" name="work_location"/>
    <tableColumn id="9" xr3:uid="{0334E66C-CB78-43BD-932A-B6868D3E6AC8}" name="absence_days"/>
    <tableColumn id="10" xr3:uid="{946EC550-BB34-4B30-B7BA-0C6E34725660}" name="overtime_hours"/>
    <tableColumn id="11" xr3:uid="{E1FC90EA-807A-4441-A2BC-D994A73F6EEF}" name="leave_days"/>
    <tableColumn id="12" xr3:uid="{5B5DA896-140B-4F67-9E2C-E0C8EF48CF15}" name="late_arrivals"/>
    <tableColumn id="13" xr3:uid="{E833D313-BC1A-4BF2-865B-6019D8E56406}" name="attendance_months"/>
    <tableColumn id="14" xr3:uid="{F08F9528-5A4A-4ED2-ABE1-C9B6A79D0C54}" name="overtime_outlier_flag"/>
    <tableColumn id="15" xr3:uid="{04E54EB7-C2E1-4C57-B4A6-0CE1A3DB813E}" name="salary_band"/>
    <tableColumn id="16" xr3:uid="{C2FF32A3-6C50-4353-8A37-628DD4AEB809}" name="monthly_salary"/>
    <tableColumn id="17" xr3:uid="{42F70B45-78C9-493C-8BCA-B8B50ED4EFF4}" name="increment_pct"/>
    <tableColumn id="18" xr3:uid="{FC74ED2B-961F-4B5D-A149-891E5FAE5405}" name="benefits_score"/>
    <tableColumn id="19" xr3:uid="{8230D0E7-5302-4561-B583-56ADA0990E9F}" name="last_increment_years"/>
    <tableColumn id="20" xr3:uid="{DEFA85E9-79F8-4F15-A4CB-251C51C0767E}" name="compensation_issue_flag"/>
    <tableColumn id="21" xr3:uid="{4A8346F2-5DF5-417F-9A76-8991793D5D64}" name="satisfaction_score"/>
    <tableColumn id="22" xr3:uid="{345BD577-451E-42CD-859B-8E21A2B1ACBC}" name="work_life_balance_score"/>
    <tableColumn id="23" xr3:uid="{D09364B3-843A-4B2D-B755-5934E28E90B9}" name="manager_support_score"/>
    <tableColumn id="24" xr3:uid="{E3005C4F-DE59-4DA9-9A82-5E64D6B9660F}" name="survey_participation"/>
    <tableColumn id="25" xr3:uid="{6B81045E-B4D6-42B6-B7CF-D81F57A9EEB7}" name="missing_survey_score_flag"/>
    <tableColumn id="26" xr3:uid="{432C676A-80EF-4D1D-B924-6B71710385CF}" name="promotion_count"/>
    <tableColumn id="27" xr3:uid="{43B1EE89-7406-4F4D-9706-3125CFE4F810}" name="last_promotion_years"/>
    <tableColumn id="28" xr3:uid="{9A96853D-1B86-4975-A6A3-2D524C1B2BE6}" name="transfer_count"/>
    <tableColumn id="29" xr3:uid="{12CDBB02-A4F5-4D4E-876A-D097706A3BE0}" name="exit_status"/>
    <tableColumn id="30" xr3:uid="{B56CE2F3-32F7-48DD-9E34-FDAA9779DA34}" name="exit_date"/>
    <tableColumn id="31" xr3:uid="{FD626120-31D5-4245-A2B8-D48C2E874D19}" name="promotion_history_missing"/>
    <tableColumn id="32" xr3:uid="{2C326518-B4CD-47C1-84ED-AC7C80BDD5CA}" name="movement_issue_flag"/>
    <tableColumn id="33" xr3:uid="{C54AED15-3C8C-4115-8738-0B7A7E608D05}" name="promotion_status"/>
    <tableColumn id="34" xr3:uid="{675CFB5D-0ADF-4AAB-B6AA-65DE63E54B1A}" name="tenure_group"/>
    <tableColumn id="35" xr3:uid="{36E60AC8-B19C-4B52-8C64-6EE3F28F5431}" name="overtime_category"/>
    <tableColumn id="36" xr3:uid="{CFCBD582-FEBA-47C9-9866-9A2397C386F0}" name="average_engagement_score"/>
    <tableColumn id="37" xr3:uid="{C8BCDEB5-9A27-4BDE-8896-98BACCBF2246}" name="absence_per_month"/>
    <tableColumn id="38" xr3:uid="{D08B7B18-A1FD-49BA-B4E4-8690BD959A6B}" name="attrition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A9E0-32BF-461F-9FE6-839725E0EDE8}">
  <dimension ref="A3:G10"/>
  <sheetViews>
    <sheetView tabSelected="1" workbookViewId="0">
      <selection activeCell="I4" activeCellId="1" sqref="G13 I4"/>
    </sheetView>
  </sheetViews>
  <sheetFormatPr defaultRowHeight="14.5" x14ac:dyDescent="0.35"/>
  <cols>
    <col min="1" max="1" width="15.54296875" bestFit="1" customWidth="1"/>
    <col min="2" max="2" width="19.08984375" bestFit="1" customWidth="1"/>
    <col min="3" max="3" width="13.81640625" bestFit="1" customWidth="1"/>
    <col min="4" max="4" width="11.36328125" customWidth="1"/>
    <col min="6" max="6" width="16.08984375" customWidth="1"/>
    <col min="7" max="7" width="12.08984375" customWidth="1"/>
  </cols>
  <sheetData>
    <row r="3" spans="1:7" x14ac:dyDescent="0.35">
      <c r="A3" s="3" t="s">
        <v>1219</v>
      </c>
      <c r="B3" t="s">
        <v>1216</v>
      </c>
      <c r="C3" t="s">
        <v>1217</v>
      </c>
      <c r="D3" s="8" t="s">
        <v>1218</v>
      </c>
      <c r="F3" t="s">
        <v>1219</v>
      </c>
      <c r="G3" t="s">
        <v>1218</v>
      </c>
    </row>
    <row r="4" spans="1:7" x14ac:dyDescent="0.35">
      <c r="A4" s="4" t="s">
        <v>60</v>
      </c>
      <c r="B4" s="5">
        <v>180</v>
      </c>
      <c r="C4" s="5">
        <v>10</v>
      </c>
      <c r="D4" s="6">
        <f>IFERROR(C4/B4,0)</f>
        <v>5.5555555555555552E-2</v>
      </c>
      <c r="F4" t="s">
        <v>60</v>
      </c>
      <c r="G4" s="7">
        <v>5.5599999999999997E-2</v>
      </c>
    </row>
    <row r="5" spans="1:7" x14ac:dyDescent="0.35">
      <c r="A5" s="4" t="s">
        <v>73</v>
      </c>
      <c r="B5" s="5">
        <v>250</v>
      </c>
      <c r="C5" s="5">
        <v>18</v>
      </c>
      <c r="D5" s="6">
        <f t="shared" ref="D5:D9" si="0">IFERROR(C5/B5,0)</f>
        <v>7.1999999999999995E-2</v>
      </c>
      <c r="F5" t="s">
        <v>73</v>
      </c>
      <c r="G5" s="7">
        <v>7.1999999999999995E-2</v>
      </c>
    </row>
    <row r="6" spans="1:7" x14ac:dyDescent="0.35">
      <c r="A6" s="4" t="s">
        <v>117</v>
      </c>
      <c r="B6" s="5">
        <v>100</v>
      </c>
      <c r="C6" s="5">
        <v>4</v>
      </c>
      <c r="D6" s="6">
        <f t="shared" si="0"/>
        <v>0.04</v>
      </c>
      <c r="F6" t="s">
        <v>117</v>
      </c>
      <c r="G6" s="7">
        <v>0.04</v>
      </c>
    </row>
    <row r="7" spans="1:7" x14ac:dyDescent="0.35">
      <c r="A7" s="4" t="s">
        <v>52</v>
      </c>
      <c r="B7" s="5">
        <v>78</v>
      </c>
      <c r="C7" s="5">
        <v>2</v>
      </c>
      <c r="D7" s="6">
        <f t="shared" si="0"/>
        <v>2.564102564102564E-2</v>
      </c>
      <c r="F7" t="s">
        <v>1220</v>
      </c>
      <c r="G7" s="7">
        <v>2.5600000000000001E-2</v>
      </c>
    </row>
    <row r="8" spans="1:7" x14ac:dyDescent="0.35">
      <c r="A8" s="4" t="s">
        <v>39</v>
      </c>
      <c r="B8" s="5">
        <v>217</v>
      </c>
      <c r="C8" s="5">
        <v>14</v>
      </c>
      <c r="D8" s="6">
        <f t="shared" si="0"/>
        <v>6.4516129032258063E-2</v>
      </c>
      <c r="F8" t="s">
        <v>39</v>
      </c>
      <c r="G8" s="7">
        <v>6.4500000000000002E-2</v>
      </c>
    </row>
    <row r="9" spans="1:7" x14ac:dyDescent="0.35">
      <c r="A9" s="4" t="s">
        <v>98</v>
      </c>
      <c r="B9" s="5">
        <v>175</v>
      </c>
      <c r="C9" s="5">
        <v>11</v>
      </c>
      <c r="D9" s="6">
        <f t="shared" si="0"/>
        <v>6.2857142857142861E-2</v>
      </c>
      <c r="F9" t="s">
        <v>98</v>
      </c>
      <c r="G9" s="7">
        <v>6.2899999999999998E-2</v>
      </c>
    </row>
    <row r="10" spans="1:7" x14ac:dyDescent="0.35">
      <c r="A10" s="4" t="s">
        <v>1215</v>
      </c>
      <c r="B10" s="5">
        <v>1000</v>
      </c>
      <c r="C10" s="5">
        <v>59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9EACF-7080-4C2A-B6B6-F1E5C6E9733E}">
  <dimension ref="A3:B6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3" width="20.6328125" bestFit="1" customWidth="1"/>
  </cols>
  <sheetData>
    <row r="3" spans="1:2" x14ac:dyDescent="0.35">
      <c r="A3" s="3" t="s">
        <v>1227</v>
      </c>
      <c r="B3" t="s">
        <v>1221</v>
      </c>
    </row>
    <row r="4" spans="1:2" x14ac:dyDescent="0.35">
      <c r="A4" s="4" t="s">
        <v>124</v>
      </c>
      <c r="B4" s="9">
        <v>3.8864406779661014</v>
      </c>
    </row>
    <row r="5" spans="1:2" x14ac:dyDescent="0.35">
      <c r="A5" s="4" t="s">
        <v>46</v>
      </c>
      <c r="B5" s="9">
        <v>4.4976620616365581</v>
      </c>
    </row>
    <row r="6" spans="1:2" x14ac:dyDescent="0.35">
      <c r="A6" s="4" t="s">
        <v>1215</v>
      </c>
      <c r="B6" s="9">
        <v>4.4616000000000007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25BA5-355F-4AD7-A60D-F5C4593FD2B2}">
  <dimension ref="A3:B6"/>
  <sheetViews>
    <sheetView workbookViewId="0">
      <selection activeCell="D8" sqref="D8"/>
    </sheetView>
  </sheetViews>
  <sheetFormatPr defaultRowHeight="14.5" x14ac:dyDescent="0.35"/>
  <cols>
    <col min="1" max="1" width="12.453125" bestFit="1" customWidth="1"/>
    <col min="2" max="3" width="22.90625" bestFit="1" customWidth="1"/>
  </cols>
  <sheetData>
    <row r="3" spans="1:2" x14ac:dyDescent="0.35">
      <c r="A3" s="3" t="s">
        <v>1227</v>
      </c>
      <c r="B3" t="s">
        <v>1222</v>
      </c>
    </row>
    <row r="4" spans="1:2" x14ac:dyDescent="0.35">
      <c r="A4" s="4" t="s">
        <v>124</v>
      </c>
      <c r="B4" s="5">
        <v>17.006779661016953</v>
      </c>
    </row>
    <row r="5" spans="1:2" x14ac:dyDescent="0.35">
      <c r="A5" s="4" t="s">
        <v>46</v>
      </c>
      <c r="B5" s="5">
        <v>12.296811902231674</v>
      </c>
    </row>
    <row r="6" spans="1:2" x14ac:dyDescent="0.35">
      <c r="A6" s="4" t="s">
        <v>1215</v>
      </c>
      <c r="B6" s="5">
        <v>12.574700000000014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6B64-C4DA-4C6C-B84F-EF599F313D0C}">
  <dimension ref="A3:D6"/>
  <sheetViews>
    <sheetView workbookViewId="0">
      <selection activeCell="E20" sqref="E20"/>
    </sheetView>
  </sheetViews>
  <sheetFormatPr defaultRowHeight="14.5" x14ac:dyDescent="0.35"/>
  <cols>
    <col min="1" max="1" width="12.453125" bestFit="1" customWidth="1"/>
    <col min="2" max="2" width="25.36328125" bestFit="1" customWidth="1"/>
    <col min="3" max="3" width="30.6328125" bestFit="1" customWidth="1"/>
    <col min="4" max="4" width="30.08984375" bestFit="1" customWidth="1"/>
  </cols>
  <sheetData>
    <row r="3" spans="1:4" x14ac:dyDescent="0.35">
      <c r="A3" s="3" t="s">
        <v>1226</v>
      </c>
      <c r="B3" t="s">
        <v>1223</v>
      </c>
      <c r="C3" t="s">
        <v>1224</v>
      </c>
      <c r="D3" t="s">
        <v>1225</v>
      </c>
    </row>
    <row r="4" spans="1:4" x14ac:dyDescent="0.35">
      <c r="A4" s="4" t="s">
        <v>124</v>
      </c>
      <c r="B4" s="9">
        <v>3.0050847457627117</v>
      </c>
      <c r="C4" s="9">
        <v>3.035593220338983</v>
      </c>
      <c r="D4" s="9">
        <v>3.4474576271186437</v>
      </c>
    </row>
    <row r="5" spans="1:4" x14ac:dyDescent="0.35">
      <c r="A5" s="4" t="s">
        <v>46</v>
      </c>
      <c r="B5" s="9">
        <v>3.3515409139213626</v>
      </c>
      <c r="C5" s="9">
        <v>3.2350690754516505</v>
      </c>
      <c r="D5" s="9">
        <v>3.4171094580233845</v>
      </c>
    </row>
    <row r="6" spans="1:4" x14ac:dyDescent="0.35">
      <c r="A6" s="4" t="s">
        <v>1215</v>
      </c>
      <c r="B6" s="9">
        <v>3.3311000000000006</v>
      </c>
      <c r="C6" s="9">
        <v>3.2233000000000027</v>
      </c>
      <c r="D6" s="9">
        <v>3.4189000000000043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0DC00-BCAF-4BF1-8595-24BD2732AA4C}">
  <dimension ref="A3:C6"/>
  <sheetViews>
    <sheetView topLeftCell="A13" workbookViewId="0">
      <selection activeCell="I18" sqref="I18"/>
    </sheetView>
  </sheetViews>
  <sheetFormatPr defaultRowHeight="14.5" x14ac:dyDescent="0.35"/>
  <cols>
    <col min="1" max="1" width="21.08984375" bestFit="1" customWidth="1"/>
    <col min="2" max="3" width="13.81640625" bestFit="1" customWidth="1"/>
    <col min="4" max="4" width="12.1796875" customWidth="1"/>
  </cols>
  <sheetData>
    <row r="3" spans="1:3" x14ac:dyDescent="0.35">
      <c r="A3" s="3" t="s">
        <v>1228</v>
      </c>
      <c r="B3" t="s">
        <v>1217</v>
      </c>
      <c r="C3" s="8" t="s">
        <v>1218</v>
      </c>
    </row>
    <row r="4" spans="1:3" x14ac:dyDescent="0.35">
      <c r="A4" s="4" t="s">
        <v>75</v>
      </c>
      <c r="B4" s="5">
        <v>30</v>
      </c>
      <c r="C4" s="6">
        <f>30/511</f>
        <v>5.8708414872798431E-2</v>
      </c>
    </row>
    <row r="5" spans="1:3" x14ac:dyDescent="0.35">
      <c r="A5" s="4" t="s">
        <v>47</v>
      </c>
      <c r="B5" s="5">
        <v>29</v>
      </c>
      <c r="C5" s="6">
        <f>29/489</f>
        <v>5.9304703476482618E-2</v>
      </c>
    </row>
    <row r="6" spans="1:3" x14ac:dyDescent="0.35">
      <c r="A6" s="4" t="s">
        <v>1215</v>
      </c>
      <c r="B6" s="5">
        <v>59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66DF9-CDB9-4F78-BF0A-7948276645C3}">
  <dimension ref="A3:D24"/>
  <sheetViews>
    <sheetView workbookViewId="0">
      <selection activeCell="H4" sqref="H4"/>
    </sheetView>
  </sheetViews>
  <sheetFormatPr defaultRowHeight="14.5" x14ac:dyDescent="0.35"/>
  <cols>
    <col min="1" max="1" width="20.90625" bestFit="1" customWidth="1"/>
    <col min="2" max="2" width="19.08984375" bestFit="1" customWidth="1"/>
    <col min="3" max="3" width="13.81640625" bestFit="1" customWidth="1"/>
    <col min="4" max="4" width="13" customWidth="1"/>
  </cols>
  <sheetData>
    <row r="3" spans="1:4" x14ac:dyDescent="0.35">
      <c r="A3" s="3" t="s">
        <v>1214</v>
      </c>
      <c r="B3" t="s">
        <v>1216</v>
      </c>
      <c r="C3" t="s">
        <v>1217</v>
      </c>
      <c r="D3" t="s">
        <v>1229</v>
      </c>
    </row>
    <row r="4" spans="1:4" x14ac:dyDescent="0.35">
      <c r="A4" s="4" t="s">
        <v>99</v>
      </c>
      <c r="B4" s="5">
        <v>56</v>
      </c>
      <c r="C4" s="5">
        <v>3</v>
      </c>
      <c r="D4" s="6">
        <f>IFERROR(C4/B4,0)</f>
        <v>5.3571428571428568E-2</v>
      </c>
    </row>
    <row r="5" spans="1:4" x14ac:dyDescent="0.35">
      <c r="A5" s="4" t="s">
        <v>197</v>
      </c>
      <c r="B5" s="5">
        <v>32</v>
      </c>
      <c r="C5" s="5">
        <v>1</v>
      </c>
      <c r="D5" s="6">
        <f t="shared" ref="D5:D23" si="0">IFERROR(C5/B5,0)</f>
        <v>3.125E-2</v>
      </c>
    </row>
    <row r="6" spans="1:4" x14ac:dyDescent="0.35">
      <c r="A6" s="4" t="s">
        <v>74</v>
      </c>
      <c r="B6" s="5">
        <v>69</v>
      </c>
      <c r="C6" s="5">
        <v>6</v>
      </c>
      <c r="D6" s="6">
        <f t="shared" si="0"/>
        <v>8.6956521739130432E-2</v>
      </c>
    </row>
    <row r="7" spans="1:4" x14ac:dyDescent="0.35">
      <c r="A7" s="4" t="s">
        <v>189</v>
      </c>
      <c r="B7" s="5">
        <v>35</v>
      </c>
      <c r="C7" s="5">
        <v>1</v>
      </c>
      <c r="D7" s="6">
        <f t="shared" si="0"/>
        <v>2.8571428571428571E-2</v>
      </c>
    </row>
    <row r="8" spans="1:4" x14ac:dyDescent="0.35">
      <c r="A8" s="4" t="s">
        <v>118</v>
      </c>
      <c r="B8" s="5">
        <v>33</v>
      </c>
      <c r="C8" s="5">
        <v>2</v>
      </c>
      <c r="D8" s="6">
        <f t="shared" si="0"/>
        <v>6.0606060606060608E-2</v>
      </c>
    </row>
    <row r="9" spans="1:4" x14ac:dyDescent="0.35">
      <c r="A9" s="4" t="s">
        <v>53</v>
      </c>
      <c r="B9" s="5">
        <v>22</v>
      </c>
      <c r="C9" s="5">
        <v>0</v>
      </c>
      <c r="D9" s="6">
        <f t="shared" si="0"/>
        <v>0</v>
      </c>
    </row>
    <row r="10" spans="1:4" x14ac:dyDescent="0.35">
      <c r="A10" s="4" t="s">
        <v>153</v>
      </c>
      <c r="B10" s="5">
        <v>24</v>
      </c>
      <c r="C10" s="5">
        <v>1</v>
      </c>
      <c r="D10" s="6">
        <f t="shared" si="0"/>
        <v>4.1666666666666664E-2</v>
      </c>
    </row>
    <row r="11" spans="1:4" x14ac:dyDescent="0.35">
      <c r="A11" s="4" t="s">
        <v>88</v>
      </c>
      <c r="B11" s="5">
        <v>72</v>
      </c>
      <c r="C11" s="5">
        <v>4</v>
      </c>
      <c r="D11" s="6">
        <f t="shared" si="0"/>
        <v>5.5555555555555552E-2</v>
      </c>
    </row>
    <row r="12" spans="1:4" x14ac:dyDescent="0.35">
      <c r="A12" s="4" t="s">
        <v>40</v>
      </c>
      <c r="B12" s="5">
        <v>67</v>
      </c>
      <c r="C12" s="5">
        <v>3</v>
      </c>
      <c r="D12" s="6">
        <f t="shared" si="0"/>
        <v>4.4776119402985072E-2</v>
      </c>
    </row>
    <row r="13" spans="1:4" x14ac:dyDescent="0.35">
      <c r="A13" s="4" t="s">
        <v>121</v>
      </c>
      <c r="B13" s="5">
        <v>57</v>
      </c>
      <c r="C13" s="5">
        <v>5</v>
      </c>
      <c r="D13" s="6">
        <f t="shared" si="0"/>
        <v>8.771929824561403E-2</v>
      </c>
    </row>
    <row r="14" spans="1:4" x14ac:dyDescent="0.35">
      <c r="A14" s="4" t="s">
        <v>93</v>
      </c>
      <c r="B14" s="5">
        <v>32</v>
      </c>
      <c r="C14" s="5">
        <v>1</v>
      </c>
      <c r="D14" s="6">
        <f t="shared" si="0"/>
        <v>3.125E-2</v>
      </c>
    </row>
    <row r="15" spans="1:4" x14ac:dyDescent="0.35">
      <c r="A15" s="4" t="s">
        <v>939</v>
      </c>
      <c r="B15" s="5">
        <v>1</v>
      </c>
      <c r="C15" s="5">
        <v>0</v>
      </c>
      <c r="D15" s="6">
        <f t="shared" si="0"/>
        <v>0</v>
      </c>
    </row>
    <row r="16" spans="1:4" x14ac:dyDescent="0.35">
      <c r="A16" s="4" t="s">
        <v>148</v>
      </c>
      <c r="B16" s="5">
        <v>72</v>
      </c>
      <c r="C16" s="5">
        <v>5</v>
      </c>
      <c r="D16" s="6">
        <f t="shared" si="0"/>
        <v>6.9444444444444448E-2</v>
      </c>
    </row>
    <row r="17" spans="1:4" x14ac:dyDescent="0.35">
      <c r="A17" s="4" t="s">
        <v>151</v>
      </c>
      <c r="B17" s="5">
        <v>46</v>
      </c>
      <c r="C17" s="5">
        <v>3</v>
      </c>
      <c r="D17" s="6">
        <f t="shared" si="0"/>
        <v>6.5217391304347824E-2</v>
      </c>
    </row>
    <row r="18" spans="1:4" x14ac:dyDescent="0.35">
      <c r="A18" s="4" t="s">
        <v>113</v>
      </c>
      <c r="B18" s="5">
        <v>68</v>
      </c>
      <c r="C18" s="5">
        <v>5</v>
      </c>
      <c r="D18" s="6">
        <f t="shared" si="0"/>
        <v>7.3529411764705885E-2</v>
      </c>
    </row>
    <row r="19" spans="1:4" x14ac:dyDescent="0.35">
      <c r="A19" s="4" t="s">
        <v>177</v>
      </c>
      <c r="B19" s="5">
        <v>56</v>
      </c>
      <c r="C19" s="5">
        <v>2</v>
      </c>
      <c r="D19" s="6">
        <f t="shared" si="0"/>
        <v>3.5714285714285712E-2</v>
      </c>
    </row>
    <row r="20" spans="1:4" x14ac:dyDescent="0.35">
      <c r="A20" s="4" t="s">
        <v>80</v>
      </c>
      <c r="B20" s="5">
        <v>52</v>
      </c>
      <c r="C20" s="5">
        <v>2</v>
      </c>
      <c r="D20" s="6">
        <f t="shared" si="0"/>
        <v>3.8461538461538464E-2</v>
      </c>
    </row>
    <row r="21" spans="1:4" x14ac:dyDescent="0.35">
      <c r="A21" s="4" t="s">
        <v>61</v>
      </c>
      <c r="B21" s="5">
        <v>55</v>
      </c>
      <c r="C21" s="5">
        <v>2</v>
      </c>
      <c r="D21" s="6">
        <f t="shared" si="0"/>
        <v>3.6363636363636362E-2</v>
      </c>
    </row>
    <row r="22" spans="1:4" x14ac:dyDescent="0.35">
      <c r="A22" s="4" t="s">
        <v>107</v>
      </c>
      <c r="B22" s="5">
        <v>73</v>
      </c>
      <c r="C22" s="5">
        <v>6</v>
      </c>
      <c r="D22" s="6">
        <f t="shared" si="0"/>
        <v>8.2191780821917804E-2</v>
      </c>
    </row>
    <row r="23" spans="1:4" x14ac:dyDescent="0.35">
      <c r="A23" s="4" t="s">
        <v>66</v>
      </c>
      <c r="B23" s="5">
        <v>78</v>
      </c>
      <c r="C23" s="5">
        <v>7</v>
      </c>
      <c r="D23" s="6">
        <f t="shared" si="0"/>
        <v>8.9743589743589744E-2</v>
      </c>
    </row>
    <row r="24" spans="1:4" x14ac:dyDescent="0.35">
      <c r="A24" s="4" t="s">
        <v>1215</v>
      </c>
      <c r="B24" s="5">
        <v>1000</v>
      </c>
      <c r="C24" s="5">
        <v>59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0BB3-2D86-4DCA-886D-C04BA0757A3F}">
  <dimension ref="A1:AL1001"/>
  <sheetViews>
    <sheetView topLeftCell="A2" workbookViewId="0">
      <selection activeCell="H12" sqref="H12"/>
    </sheetView>
  </sheetViews>
  <sheetFormatPr defaultRowHeight="14.5" x14ac:dyDescent="0.35"/>
  <cols>
    <col min="1" max="1" width="13.453125" customWidth="1"/>
    <col min="2" max="2" width="12.6328125" customWidth="1"/>
    <col min="4" max="4" width="13.54296875" customWidth="1"/>
    <col min="7" max="7" width="16.08984375" customWidth="1"/>
    <col min="8" max="8" width="14.453125" customWidth="1"/>
    <col min="9" max="9" width="14.6328125" customWidth="1"/>
    <col min="10" max="10" width="15.7265625" customWidth="1"/>
    <col min="11" max="11" width="12" customWidth="1"/>
    <col min="12" max="12" width="13" customWidth="1"/>
    <col min="13" max="13" width="19.54296875" customWidth="1"/>
    <col min="14" max="14" width="20.36328125" customWidth="1"/>
    <col min="15" max="15" width="12.90625" customWidth="1"/>
    <col min="16" max="16" width="15.54296875" customWidth="1"/>
    <col min="17" max="17" width="15" customWidth="1"/>
    <col min="18" max="18" width="15.08984375" customWidth="1"/>
    <col min="19" max="19" width="20.6328125" customWidth="1"/>
    <col min="20" max="20" width="24" customWidth="1"/>
    <col min="21" max="21" width="18.08984375" customWidth="1"/>
    <col min="22" max="22" width="23.26953125" customWidth="1"/>
    <col min="23" max="23" width="22.7265625" customWidth="1"/>
    <col min="24" max="24" width="19.90625" customWidth="1"/>
    <col min="25" max="25" width="24.90625" customWidth="1"/>
    <col min="26" max="26" width="17.08984375" customWidth="1"/>
    <col min="27" max="27" width="20.6328125" customWidth="1"/>
    <col min="28" max="28" width="15" customWidth="1"/>
    <col min="29" max="29" width="11.90625" customWidth="1"/>
    <col min="30" max="30" width="10.453125" customWidth="1"/>
    <col min="31" max="31" width="25.36328125" customWidth="1"/>
    <col min="32" max="32" width="20.90625" customWidth="1"/>
    <col min="33" max="33" width="17.453125" customWidth="1"/>
    <col min="34" max="34" width="13.81640625" customWidth="1"/>
    <col min="35" max="35" width="18.08984375" customWidth="1"/>
    <col min="36" max="36" width="25.7265625" customWidth="1"/>
    <col min="37" max="37" width="19.7265625" customWidth="1"/>
    <col min="38" max="38" width="9.5429687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 t="s">
        <v>38</v>
      </c>
      <c r="B2" t="s">
        <v>39</v>
      </c>
      <c r="C2" t="s">
        <v>40</v>
      </c>
      <c r="D2">
        <v>1.5</v>
      </c>
      <c r="E2" t="s">
        <v>41</v>
      </c>
      <c r="F2">
        <v>24</v>
      </c>
      <c r="G2" t="s">
        <v>42</v>
      </c>
      <c r="H2" t="s">
        <v>43</v>
      </c>
      <c r="I2">
        <v>3</v>
      </c>
      <c r="J2">
        <v>11.2</v>
      </c>
      <c r="K2">
        <v>7</v>
      </c>
      <c r="L2">
        <v>2</v>
      </c>
      <c r="M2">
        <v>12</v>
      </c>
      <c r="N2">
        <v>0</v>
      </c>
      <c r="O2" t="s">
        <v>44</v>
      </c>
      <c r="P2">
        <v>56600</v>
      </c>
      <c r="Q2">
        <v>7.3</v>
      </c>
      <c r="R2">
        <v>1.5</v>
      </c>
      <c r="S2">
        <v>4.2</v>
      </c>
      <c r="T2">
        <v>0</v>
      </c>
      <c r="U2">
        <v>3.2</v>
      </c>
      <c r="V2">
        <v>3.1</v>
      </c>
      <c r="W2">
        <v>3.1</v>
      </c>
      <c r="X2" t="s">
        <v>45</v>
      </c>
      <c r="Y2">
        <v>0</v>
      </c>
      <c r="Z2">
        <v>1</v>
      </c>
      <c r="AA2">
        <v>0.3</v>
      </c>
      <c r="AB2">
        <v>0</v>
      </c>
      <c r="AC2" t="s">
        <v>46</v>
      </c>
      <c r="AE2">
        <v>0</v>
      </c>
      <c r="AF2">
        <v>0</v>
      </c>
      <c r="AG2" t="s">
        <v>47</v>
      </c>
      <c r="AH2" t="s">
        <v>48</v>
      </c>
      <c r="AI2" t="s">
        <v>49</v>
      </c>
      <c r="AJ2" s="1" t="s">
        <v>50</v>
      </c>
      <c r="AK2">
        <v>0.25</v>
      </c>
      <c r="AL2">
        <v>0</v>
      </c>
    </row>
    <row r="3" spans="1:38" x14ac:dyDescent="0.35">
      <c r="A3" t="s">
        <v>51</v>
      </c>
      <c r="B3" t="s">
        <v>52</v>
      </c>
      <c r="C3" t="s">
        <v>53</v>
      </c>
      <c r="D3">
        <v>1.4</v>
      </c>
      <c r="E3" t="s">
        <v>41</v>
      </c>
      <c r="F3">
        <v>24</v>
      </c>
      <c r="G3" t="s">
        <v>54</v>
      </c>
      <c r="H3" t="s">
        <v>55</v>
      </c>
      <c r="I3">
        <v>1</v>
      </c>
      <c r="J3">
        <v>23.8</v>
      </c>
      <c r="K3">
        <v>5</v>
      </c>
      <c r="L3">
        <v>2</v>
      </c>
      <c r="M3">
        <v>12</v>
      </c>
      <c r="N3">
        <v>0</v>
      </c>
      <c r="O3" t="s">
        <v>56</v>
      </c>
      <c r="P3">
        <v>75600</v>
      </c>
      <c r="Q3">
        <v>4.7</v>
      </c>
      <c r="R3">
        <v>3</v>
      </c>
      <c r="S3">
        <v>0.8</v>
      </c>
      <c r="T3">
        <v>0</v>
      </c>
      <c r="U3">
        <v>2.7</v>
      </c>
      <c r="V3">
        <v>3.4</v>
      </c>
      <c r="W3">
        <v>5</v>
      </c>
      <c r="X3" t="s">
        <v>45</v>
      </c>
      <c r="Y3">
        <v>0</v>
      </c>
      <c r="Z3">
        <v>1</v>
      </c>
      <c r="AA3">
        <v>0</v>
      </c>
      <c r="AB3">
        <v>0</v>
      </c>
      <c r="AC3" t="s">
        <v>46</v>
      </c>
      <c r="AE3">
        <v>0</v>
      </c>
      <c r="AF3">
        <v>0</v>
      </c>
      <c r="AG3" t="s">
        <v>47</v>
      </c>
      <c r="AH3" t="s">
        <v>48</v>
      </c>
      <c r="AI3" t="s">
        <v>57</v>
      </c>
      <c r="AJ3" s="1" t="s">
        <v>58</v>
      </c>
      <c r="AK3">
        <v>8.3333333333333301E-2</v>
      </c>
      <c r="AL3">
        <v>0</v>
      </c>
    </row>
    <row r="4" spans="1:38" x14ac:dyDescent="0.35">
      <c r="A4" t="s">
        <v>59</v>
      </c>
      <c r="B4" t="s">
        <v>60</v>
      </c>
      <c r="C4" t="s">
        <v>61</v>
      </c>
      <c r="D4">
        <v>1.3</v>
      </c>
      <c r="E4" t="s">
        <v>62</v>
      </c>
      <c r="F4">
        <v>23</v>
      </c>
      <c r="G4" t="s">
        <v>42</v>
      </c>
      <c r="H4" t="s">
        <v>63</v>
      </c>
      <c r="I4">
        <v>1</v>
      </c>
      <c r="J4">
        <v>7.1</v>
      </c>
      <c r="K4">
        <v>4</v>
      </c>
      <c r="L4">
        <v>0</v>
      </c>
      <c r="M4">
        <v>12</v>
      </c>
      <c r="N4">
        <v>0</v>
      </c>
      <c r="O4" t="s">
        <v>56</v>
      </c>
      <c r="P4">
        <v>97500</v>
      </c>
      <c r="Q4">
        <v>4.3</v>
      </c>
      <c r="R4">
        <v>3.1</v>
      </c>
      <c r="S4">
        <v>3.5</v>
      </c>
      <c r="T4">
        <v>0</v>
      </c>
      <c r="U4">
        <v>3.3</v>
      </c>
      <c r="V4">
        <v>3.7</v>
      </c>
      <c r="W4">
        <v>2.4</v>
      </c>
      <c r="X4" t="s">
        <v>45</v>
      </c>
      <c r="Y4">
        <v>1</v>
      </c>
      <c r="Z4">
        <v>1</v>
      </c>
      <c r="AA4">
        <v>0.8</v>
      </c>
      <c r="AB4">
        <v>0</v>
      </c>
      <c r="AC4" t="s">
        <v>46</v>
      </c>
      <c r="AE4">
        <v>0</v>
      </c>
      <c r="AF4">
        <v>0</v>
      </c>
      <c r="AG4" t="s">
        <v>47</v>
      </c>
      <c r="AH4" t="s">
        <v>48</v>
      </c>
      <c r="AI4" t="s">
        <v>64</v>
      </c>
      <c r="AJ4" s="1" t="s">
        <v>50</v>
      </c>
      <c r="AK4">
        <v>8.3333333333333301E-2</v>
      </c>
      <c r="AL4">
        <v>0</v>
      </c>
    </row>
    <row r="5" spans="1:38" x14ac:dyDescent="0.35">
      <c r="A5" t="s">
        <v>65</v>
      </c>
      <c r="B5" t="s">
        <v>39</v>
      </c>
      <c r="C5" t="s">
        <v>66</v>
      </c>
      <c r="D5">
        <v>2.2999999999999998</v>
      </c>
      <c r="E5" t="s">
        <v>67</v>
      </c>
      <c r="F5">
        <v>30</v>
      </c>
      <c r="G5" t="s">
        <v>68</v>
      </c>
      <c r="H5" t="s">
        <v>69</v>
      </c>
      <c r="I5">
        <v>3</v>
      </c>
      <c r="J5">
        <v>3.4</v>
      </c>
      <c r="K5">
        <v>5</v>
      </c>
      <c r="L5">
        <v>1</v>
      </c>
      <c r="M5">
        <v>12</v>
      </c>
      <c r="N5">
        <v>0</v>
      </c>
      <c r="O5" t="s">
        <v>70</v>
      </c>
      <c r="P5">
        <v>37000</v>
      </c>
      <c r="Q5">
        <v>5.9</v>
      </c>
      <c r="R5">
        <v>3.1</v>
      </c>
      <c r="S5">
        <v>1.5</v>
      </c>
      <c r="T5">
        <v>0</v>
      </c>
      <c r="U5">
        <v>2.9</v>
      </c>
      <c r="V5">
        <v>3.6</v>
      </c>
      <c r="W5">
        <v>3.4</v>
      </c>
      <c r="X5" t="s">
        <v>45</v>
      </c>
      <c r="Y5">
        <v>1</v>
      </c>
      <c r="Z5">
        <v>1</v>
      </c>
      <c r="AA5">
        <v>0.8</v>
      </c>
      <c r="AB5">
        <v>0</v>
      </c>
      <c r="AC5" t="s">
        <v>46</v>
      </c>
      <c r="AE5">
        <v>0</v>
      </c>
      <c r="AF5">
        <v>0</v>
      </c>
      <c r="AG5" t="s">
        <v>47</v>
      </c>
      <c r="AH5" t="s">
        <v>48</v>
      </c>
      <c r="AI5" t="s">
        <v>64</v>
      </c>
      <c r="AJ5" s="1" t="s">
        <v>71</v>
      </c>
      <c r="AK5">
        <v>0.25</v>
      </c>
      <c r="AL5">
        <v>0</v>
      </c>
    </row>
    <row r="6" spans="1:38" x14ac:dyDescent="0.35">
      <c r="A6" t="s">
        <v>72</v>
      </c>
      <c r="B6" t="s">
        <v>73</v>
      </c>
      <c r="C6" t="s">
        <v>74</v>
      </c>
      <c r="D6">
        <v>4.7</v>
      </c>
      <c r="E6" t="s">
        <v>67</v>
      </c>
      <c r="F6">
        <v>25</v>
      </c>
      <c r="G6" t="s">
        <v>68</v>
      </c>
      <c r="H6" t="s">
        <v>69</v>
      </c>
      <c r="I6">
        <v>8</v>
      </c>
      <c r="J6">
        <v>22.5</v>
      </c>
      <c r="K6">
        <v>6</v>
      </c>
      <c r="L6">
        <v>4</v>
      </c>
      <c r="M6">
        <v>12</v>
      </c>
      <c r="N6">
        <v>0</v>
      </c>
      <c r="O6" t="s">
        <v>70</v>
      </c>
      <c r="P6">
        <v>36800</v>
      </c>
      <c r="Q6">
        <v>8.1</v>
      </c>
      <c r="R6">
        <v>2.6</v>
      </c>
      <c r="S6">
        <v>0.5</v>
      </c>
      <c r="T6">
        <v>0</v>
      </c>
      <c r="U6">
        <v>3.9</v>
      </c>
      <c r="V6">
        <v>2.5</v>
      </c>
      <c r="W6">
        <v>4</v>
      </c>
      <c r="X6" t="s">
        <v>45</v>
      </c>
      <c r="Y6">
        <v>0</v>
      </c>
      <c r="Z6">
        <v>0</v>
      </c>
      <c r="AB6">
        <v>0</v>
      </c>
      <c r="AC6" t="s">
        <v>46</v>
      </c>
      <c r="AE6">
        <v>1</v>
      </c>
      <c r="AF6">
        <v>0</v>
      </c>
      <c r="AG6" t="s">
        <v>75</v>
      </c>
      <c r="AH6" t="s">
        <v>76</v>
      </c>
      <c r="AI6" t="s">
        <v>57</v>
      </c>
      <c r="AJ6" s="1" t="s">
        <v>77</v>
      </c>
      <c r="AK6" s="1" t="s">
        <v>78</v>
      </c>
      <c r="AL6">
        <v>0</v>
      </c>
    </row>
    <row r="7" spans="1:38" x14ac:dyDescent="0.35">
      <c r="A7" t="s">
        <v>79</v>
      </c>
      <c r="B7" t="s">
        <v>60</v>
      </c>
      <c r="C7" t="s">
        <v>80</v>
      </c>
      <c r="D7">
        <v>5.3</v>
      </c>
      <c r="E7" t="s">
        <v>81</v>
      </c>
      <c r="F7">
        <v>29</v>
      </c>
      <c r="G7" t="s">
        <v>54</v>
      </c>
      <c r="H7" t="s">
        <v>55</v>
      </c>
      <c r="I7">
        <v>2</v>
      </c>
      <c r="J7">
        <v>24.9</v>
      </c>
      <c r="K7">
        <v>9</v>
      </c>
      <c r="L7">
        <v>1</v>
      </c>
      <c r="M7">
        <v>12</v>
      </c>
      <c r="N7">
        <v>0</v>
      </c>
      <c r="O7" t="s">
        <v>82</v>
      </c>
      <c r="P7">
        <v>30000</v>
      </c>
      <c r="Q7">
        <v>0.5</v>
      </c>
      <c r="R7">
        <v>3.8</v>
      </c>
      <c r="S7">
        <v>0.7</v>
      </c>
      <c r="T7">
        <v>0</v>
      </c>
      <c r="U7">
        <v>4</v>
      </c>
      <c r="V7">
        <v>2.8</v>
      </c>
      <c r="W7">
        <v>2.6</v>
      </c>
      <c r="X7" t="s">
        <v>45</v>
      </c>
      <c r="Y7">
        <v>0</v>
      </c>
      <c r="Z7">
        <v>0</v>
      </c>
      <c r="AB7">
        <v>0</v>
      </c>
      <c r="AC7" t="s">
        <v>46</v>
      </c>
      <c r="AE7">
        <v>1</v>
      </c>
      <c r="AF7">
        <v>0</v>
      </c>
      <c r="AG7" t="s">
        <v>75</v>
      </c>
      <c r="AH7" t="s">
        <v>83</v>
      </c>
      <c r="AI7" t="s">
        <v>57</v>
      </c>
      <c r="AJ7" s="1" t="s">
        <v>50</v>
      </c>
      <c r="AK7" s="1" t="s">
        <v>84</v>
      </c>
      <c r="AL7">
        <v>0</v>
      </c>
    </row>
    <row r="8" spans="1:38" x14ac:dyDescent="0.35">
      <c r="A8" t="s">
        <v>85</v>
      </c>
      <c r="B8" t="s">
        <v>39</v>
      </c>
      <c r="C8" t="s">
        <v>66</v>
      </c>
      <c r="D8">
        <v>3.6</v>
      </c>
      <c r="E8" t="s">
        <v>67</v>
      </c>
      <c r="F8">
        <v>21</v>
      </c>
      <c r="G8" t="s">
        <v>42</v>
      </c>
      <c r="H8" t="s">
        <v>69</v>
      </c>
      <c r="I8">
        <v>1</v>
      </c>
      <c r="J8">
        <v>10.3</v>
      </c>
      <c r="K8">
        <v>7</v>
      </c>
      <c r="L8">
        <v>2</v>
      </c>
      <c r="M8">
        <v>12</v>
      </c>
      <c r="N8">
        <v>0</v>
      </c>
      <c r="O8" t="s">
        <v>70</v>
      </c>
      <c r="P8">
        <v>39900</v>
      </c>
      <c r="Q8">
        <v>11.8</v>
      </c>
      <c r="R8">
        <v>3.9</v>
      </c>
      <c r="S8">
        <v>1.8</v>
      </c>
      <c r="T8">
        <v>0</v>
      </c>
      <c r="U8">
        <v>3.6</v>
      </c>
      <c r="V8">
        <v>4</v>
      </c>
      <c r="W8">
        <v>2.5</v>
      </c>
      <c r="X8" t="s">
        <v>45</v>
      </c>
      <c r="Y8">
        <v>0</v>
      </c>
      <c r="Z8">
        <v>0</v>
      </c>
      <c r="AB8">
        <v>1</v>
      </c>
      <c r="AC8" t="s">
        <v>46</v>
      </c>
      <c r="AE8">
        <v>1</v>
      </c>
      <c r="AF8">
        <v>0</v>
      </c>
      <c r="AG8" t="s">
        <v>75</v>
      </c>
      <c r="AH8" t="s">
        <v>76</v>
      </c>
      <c r="AI8" t="s">
        <v>49</v>
      </c>
      <c r="AJ8" s="1" t="s">
        <v>86</v>
      </c>
      <c r="AK8">
        <v>8.3333333333333301E-2</v>
      </c>
      <c r="AL8">
        <v>0</v>
      </c>
    </row>
    <row r="9" spans="1:38" x14ac:dyDescent="0.35">
      <c r="A9" t="s">
        <v>87</v>
      </c>
      <c r="B9" t="s">
        <v>39</v>
      </c>
      <c r="C9" t="s">
        <v>88</v>
      </c>
      <c r="D9">
        <v>4.0999999999999996</v>
      </c>
      <c r="E9" t="s">
        <v>67</v>
      </c>
      <c r="F9">
        <v>31</v>
      </c>
      <c r="G9" t="s">
        <v>42</v>
      </c>
      <c r="H9" t="s">
        <v>69</v>
      </c>
      <c r="I9">
        <v>6</v>
      </c>
      <c r="J9">
        <v>3.5</v>
      </c>
      <c r="K9">
        <v>13</v>
      </c>
      <c r="L9">
        <v>1</v>
      </c>
      <c r="M9">
        <v>12</v>
      </c>
      <c r="N9">
        <v>0</v>
      </c>
      <c r="O9" t="s">
        <v>70</v>
      </c>
      <c r="P9">
        <v>41500</v>
      </c>
      <c r="Q9">
        <v>8.1</v>
      </c>
      <c r="R9">
        <v>2.9</v>
      </c>
      <c r="S9">
        <v>0.1</v>
      </c>
      <c r="T9">
        <v>0</v>
      </c>
      <c r="U9">
        <v>3</v>
      </c>
      <c r="V9">
        <v>2.7</v>
      </c>
      <c r="W9">
        <v>4.3</v>
      </c>
      <c r="X9" t="s">
        <v>89</v>
      </c>
      <c r="Y9">
        <v>0</v>
      </c>
      <c r="Z9">
        <v>0</v>
      </c>
      <c r="AB9">
        <v>0</v>
      </c>
      <c r="AC9" t="s">
        <v>46</v>
      </c>
      <c r="AE9">
        <v>1</v>
      </c>
      <c r="AF9">
        <v>0</v>
      </c>
      <c r="AG9" t="s">
        <v>75</v>
      </c>
      <c r="AH9" t="s">
        <v>76</v>
      </c>
      <c r="AI9" t="s">
        <v>64</v>
      </c>
      <c r="AJ9" s="1" t="s">
        <v>90</v>
      </c>
      <c r="AK9">
        <v>0.5</v>
      </c>
      <c r="AL9">
        <v>0</v>
      </c>
    </row>
    <row r="10" spans="1:38" x14ac:dyDescent="0.35">
      <c r="A10" t="s">
        <v>91</v>
      </c>
      <c r="B10" t="s">
        <v>73</v>
      </c>
      <c r="C10" t="s">
        <v>74</v>
      </c>
      <c r="D10">
        <v>5.4</v>
      </c>
      <c r="E10" t="s">
        <v>62</v>
      </c>
      <c r="F10">
        <v>29</v>
      </c>
      <c r="G10" t="s">
        <v>42</v>
      </c>
      <c r="H10" t="s">
        <v>55</v>
      </c>
      <c r="I10">
        <v>3</v>
      </c>
      <c r="J10">
        <v>1.9</v>
      </c>
      <c r="K10">
        <v>16</v>
      </c>
      <c r="L10">
        <v>2</v>
      </c>
      <c r="M10">
        <v>12</v>
      </c>
      <c r="N10">
        <v>0</v>
      </c>
      <c r="O10" t="s">
        <v>56</v>
      </c>
      <c r="P10">
        <v>86600</v>
      </c>
      <c r="Q10">
        <v>3.7</v>
      </c>
      <c r="R10">
        <v>2.9</v>
      </c>
      <c r="S10">
        <v>1.1000000000000001</v>
      </c>
      <c r="T10">
        <v>0</v>
      </c>
      <c r="U10">
        <v>2.9</v>
      </c>
      <c r="V10">
        <v>3.3</v>
      </c>
      <c r="W10">
        <v>3.9</v>
      </c>
      <c r="X10" t="s">
        <v>45</v>
      </c>
      <c r="Y10">
        <v>1</v>
      </c>
      <c r="Z10">
        <v>0</v>
      </c>
      <c r="AB10">
        <v>2</v>
      </c>
      <c r="AC10" t="s">
        <v>46</v>
      </c>
      <c r="AE10">
        <v>1</v>
      </c>
      <c r="AF10">
        <v>0</v>
      </c>
      <c r="AG10" t="s">
        <v>75</v>
      </c>
      <c r="AH10" t="s">
        <v>83</v>
      </c>
      <c r="AI10" t="s">
        <v>64</v>
      </c>
      <c r="AJ10" s="1" t="s">
        <v>86</v>
      </c>
      <c r="AK10">
        <v>0.25</v>
      </c>
      <c r="AL10">
        <v>0</v>
      </c>
    </row>
    <row r="11" spans="1:38" x14ac:dyDescent="0.35">
      <c r="A11" t="s">
        <v>92</v>
      </c>
      <c r="B11" t="s">
        <v>52</v>
      </c>
      <c r="C11" t="s">
        <v>93</v>
      </c>
      <c r="D11">
        <v>0.5</v>
      </c>
      <c r="E11" t="s">
        <v>81</v>
      </c>
      <c r="F11">
        <v>21</v>
      </c>
      <c r="G11" t="s">
        <v>42</v>
      </c>
      <c r="H11" t="s">
        <v>94</v>
      </c>
      <c r="I11">
        <v>3</v>
      </c>
      <c r="J11">
        <v>13.4</v>
      </c>
      <c r="K11">
        <v>10</v>
      </c>
      <c r="L11">
        <v>0</v>
      </c>
      <c r="M11">
        <v>12</v>
      </c>
      <c r="N11">
        <v>0</v>
      </c>
      <c r="O11" t="s">
        <v>82</v>
      </c>
      <c r="P11">
        <v>22100</v>
      </c>
      <c r="Q11">
        <v>14.5</v>
      </c>
      <c r="R11">
        <v>2.2999999999999998</v>
      </c>
      <c r="S11">
        <v>1.4</v>
      </c>
      <c r="T11">
        <v>0</v>
      </c>
      <c r="U11">
        <v>2.5</v>
      </c>
      <c r="V11">
        <v>1.8</v>
      </c>
      <c r="W11">
        <v>3.8</v>
      </c>
      <c r="X11" t="s">
        <v>45</v>
      </c>
      <c r="Y11">
        <v>0</v>
      </c>
      <c r="Z11">
        <v>1</v>
      </c>
      <c r="AA11">
        <v>0.1</v>
      </c>
      <c r="AB11">
        <v>0</v>
      </c>
      <c r="AC11" t="s">
        <v>46</v>
      </c>
      <c r="AE11">
        <v>0</v>
      </c>
      <c r="AF11">
        <v>0</v>
      </c>
      <c r="AG11" t="s">
        <v>47</v>
      </c>
      <c r="AH11" t="s">
        <v>95</v>
      </c>
      <c r="AI11" t="s">
        <v>49</v>
      </c>
      <c r="AJ11" s="1" t="s">
        <v>96</v>
      </c>
      <c r="AK11">
        <v>0.25</v>
      </c>
      <c r="AL11">
        <v>0</v>
      </c>
    </row>
    <row r="12" spans="1:38" x14ac:dyDescent="0.35">
      <c r="A12" t="s">
        <v>97</v>
      </c>
      <c r="B12" t="s">
        <v>98</v>
      </c>
      <c r="C12" t="s">
        <v>99</v>
      </c>
      <c r="D12">
        <v>4.3</v>
      </c>
      <c r="E12" t="s">
        <v>81</v>
      </c>
      <c r="F12">
        <v>35</v>
      </c>
      <c r="G12" t="s">
        <v>54</v>
      </c>
      <c r="H12" t="s">
        <v>69</v>
      </c>
      <c r="I12">
        <v>1</v>
      </c>
      <c r="J12">
        <v>6.1</v>
      </c>
      <c r="K12">
        <v>13</v>
      </c>
      <c r="L12">
        <v>2</v>
      </c>
      <c r="M12">
        <v>12</v>
      </c>
      <c r="N12">
        <v>0</v>
      </c>
      <c r="O12" t="s">
        <v>82</v>
      </c>
      <c r="P12">
        <v>25800</v>
      </c>
      <c r="Q12">
        <v>8.1999999999999993</v>
      </c>
      <c r="R12">
        <v>3.4</v>
      </c>
      <c r="S12">
        <v>2.2000000000000002</v>
      </c>
      <c r="T12">
        <v>0</v>
      </c>
      <c r="U12">
        <v>2.8</v>
      </c>
      <c r="V12">
        <v>3.2</v>
      </c>
      <c r="W12">
        <v>3.5</v>
      </c>
      <c r="X12" t="s">
        <v>45</v>
      </c>
      <c r="Y12">
        <v>0</v>
      </c>
      <c r="Z12">
        <v>0</v>
      </c>
      <c r="AB12">
        <v>0</v>
      </c>
      <c r="AC12" t="s">
        <v>46</v>
      </c>
      <c r="AE12">
        <v>1</v>
      </c>
      <c r="AF12">
        <v>0</v>
      </c>
      <c r="AG12" t="s">
        <v>75</v>
      </c>
      <c r="AH12" t="s">
        <v>76</v>
      </c>
      <c r="AI12" t="s">
        <v>64</v>
      </c>
      <c r="AJ12" s="1" t="s">
        <v>100</v>
      </c>
      <c r="AK12">
        <v>8.3333333333333301E-2</v>
      </c>
      <c r="AL12">
        <v>0</v>
      </c>
    </row>
    <row r="13" spans="1:38" x14ac:dyDescent="0.35">
      <c r="A13" t="s">
        <v>101</v>
      </c>
      <c r="B13" t="s">
        <v>60</v>
      </c>
      <c r="C13" t="s">
        <v>61</v>
      </c>
      <c r="D13">
        <v>8.6</v>
      </c>
      <c r="E13" t="s">
        <v>67</v>
      </c>
      <c r="F13">
        <v>29</v>
      </c>
      <c r="G13" t="s">
        <v>54</v>
      </c>
      <c r="H13" t="s">
        <v>94</v>
      </c>
      <c r="I13">
        <v>3</v>
      </c>
      <c r="J13">
        <v>9.8000000000000007</v>
      </c>
      <c r="K13">
        <v>9</v>
      </c>
      <c r="L13">
        <v>1</v>
      </c>
      <c r="M13">
        <v>12</v>
      </c>
      <c r="N13">
        <v>0</v>
      </c>
      <c r="O13" t="s">
        <v>82</v>
      </c>
      <c r="P13">
        <v>35000</v>
      </c>
      <c r="Q13">
        <v>2.7</v>
      </c>
      <c r="R13">
        <v>4.4000000000000004</v>
      </c>
      <c r="S13">
        <v>0.1</v>
      </c>
      <c r="T13">
        <v>0</v>
      </c>
      <c r="U13">
        <v>2.1</v>
      </c>
      <c r="V13">
        <v>3.5</v>
      </c>
      <c r="W13">
        <v>2.8</v>
      </c>
      <c r="X13" t="s">
        <v>45</v>
      </c>
      <c r="Y13">
        <v>0</v>
      </c>
      <c r="Z13">
        <v>0</v>
      </c>
      <c r="AB13">
        <v>0</v>
      </c>
      <c r="AC13" t="s">
        <v>46</v>
      </c>
      <c r="AE13">
        <v>1</v>
      </c>
      <c r="AF13">
        <v>0</v>
      </c>
      <c r="AG13" t="s">
        <v>75</v>
      </c>
      <c r="AH13" t="s">
        <v>83</v>
      </c>
      <c r="AI13" t="s">
        <v>64</v>
      </c>
      <c r="AJ13" s="1" t="s">
        <v>102</v>
      </c>
      <c r="AK13">
        <v>0.25</v>
      </c>
      <c r="AL13">
        <v>0</v>
      </c>
    </row>
    <row r="14" spans="1:38" x14ac:dyDescent="0.35">
      <c r="A14" t="s">
        <v>103</v>
      </c>
      <c r="B14" t="s">
        <v>39</v>
      </c>
      <c r="C14" t="s">
        <v>88</v>
      </c>
      <c r="D14">
        <v>3.2</v>
      </c>
      <c r="E14" t="s">
        <v>81</v>
      </c>
      <c r="F14">
        <v>32</v>
      </c>
      <c r="G14" t="s">
        <v>42</v>
      </c>
      <c r="H14" t="s">
        <v>55</v>
      </c>
      <c r="I14">
        <v>7</v>
      </c>
      <c r="J14">
        <v>9</v>
      </c>
      <c r="K14">
        <v>8</v>
      </c>
      <c r="L14">
        <v>3</v>
      </c>
      <c r="M14">
        <v>12</v>
      </c>
      <c r="N14">
        <v>0</v>
      </c>
      <c r="O14" t="s">
        <v>82</v>
      </c>
      <c r="P14">
        <v>23700</v>
      </c>
      <c r="Q14">
        <v>14.3</v>
      </c>
      <c r="R14">
        <v>4.4000000000000004</v>
      </c>
      <c r="S14">
        <v>1.1000000000000001</v>
      </c>
      <c r="T14">
        <v>0</v>
      </c>
      <c r="U14">
        <v>4.5</v>
      </c>
      <c r="V14">
        <v>1.4</v>
      </c>
      <c r="W14">
        <v>3.2</v>
      </c>
      <c r="X14" t="s">
        <v>45</v>
      </c>
      <c r="Y14">
        <v>0</v>
      </c>
      <c r="Z14">
        <v>0</v>
      </c>
      <c r="AB14">
        <v>1</v>
      </c>
      <c r="AC14" t="s">
        <v>46</v>
      </c>
      <c r="AE14">
        <v>1</v>
      </c>
      <c r="AF14">
        <v>0</v>
      </c>
      <c r="AG14" t="s">
        <v>75</v>
      </c>
      <c r="AH14" t="s">
        <v>76</v>
      </c>
      <c r="AI14" t="s">
        <v>64</v>
      </c>
      <c r="AJ14" s="1" t="s">
        <v>104</v>
      </c>
      <c r="AK14" s="1" t="s">
        <v>105</v>
      </c>
      <c r="AL14">
        <v>0</v>
      </c>
    </row>
    <row r="15" spans="1:38" x14ac:dyDescent="0.35">
      <c r="A15" t="s">
        <v>106</v>
      </c>
      <c r="B15" t="s">
        <v>60</v>
      </c>
      <c r="C15" t="s">
        <v>107</v>
      </c>
      <c r="D15">
        <v>7.5</v>
      </c>
      <c r="E15" t="s">
        <v>67</v>
      </c>
      <c r="F15">
        <v>31</v>
      </c>
      <c r="G15" t="s">
        <v>42</v>
      </c>
      <c r="H15" t="s">
        <v>55</v>
      </c>
      <c r="I15">
        <v>3</v>
      </c>
      <c r="J15">
        <v>4.9000000000000004</v>
      </c>
      <c r="K15">
        <v>7</v>
      </c>
      <c r="L15">
        <v>2</v>
      </c>
      <c r="M15">
        <v>12</v>
      </c>
      <c r="N15">
        <v>0</v>
      </c>
      <c r="O15" t="s">
        <v>70</v>
      </c>
      <c r="P15">
        <v>48900</v>
      </c>
      <c r="Q15">
        <v>13.4</v>
      </c>
      <c r="R15">
        <v>2.7</v>
      </c>
      <c r="S15">
        <v>2.7</v>
      </c>
      <c r="T15">
        <v>0</v>
      </c>
      <c r="U15">
        <v>3.3</v>
      </c>
      <c r="V15">
        <v>3.3</v>
      </c>
      <c r="W15">
        <v>3.3</v>
      </c>
      <c r="X15" t="s">
        <v>45</v>
      </c>
      <c r="Y15">
        <v>1</v>
      </c>
      <c r="Z15">
        <v>0</v>
      </c>
      <c r="AB15">
        <v>1</v>
      </c>
      <c r="AC15" t="s">
        <v>46</v>
      </c>
      <c r="AE15">
        <v>1</v>
      </c>
      <c r="AF15">
        <v>0</v>
      </c>
      <c r="AG15" t="s">
        <v>75</v>
      </c>
      <c r="AH15" t="s">
        <v>83</v>
      </c>
      <c r="AI15" t="s">
        <v>64</v>
      </c>
      <c r="AJ15" s="1" t="s">
        <v>108</v>
      </c>
      <c r="AK15">
        <v>0.25</v>
      </c>
      <c r="AL15">
        <v>0</v>
      </c>
    </row>
    <row r="16" spans="1:38" x14ac:dyDescent="0.35">
      <c r="A16" t="s">
        <v>109</v>
      </c>
      <c r="B16" t="s">
        <v>52</v>
      </c>
      <c r="C16" t="s">
        <v>93</v>
      </c>
      <c r="D16">
        <v>3.3</v>
      </c>
      <c r="E16" t="s">
        <v>110</v>
      </c>
      <c r="F16">
        <v>36</v>
      </c>
      <c r="G16" t="s">
        <v>68</v>
      </c>
      <c r="H16" t="s">
        <v>69</v>
      </c>
      <c r="I16">
        <v>0</v>
      </c>
      <c r="J16">
        <v>1.8</v>
      </c>
      <c r="K16">
        <v>8</v>
      </c>
      <c r="L16">
        <v>4</v>
      </c>
      <c r="M16">
        <v>12</v>
      </c>
      <c r="N16">
        <v>0</v>
      </c>
      <c r="O16" t="s">
        <v>70</v>
      </c>
      <c r="P16">
        <v>38600</v>
      </c>
      <c r="Q16">
        <v>4.4000000000000004</v>
      </c>
      <c r="R16">
        <v>5</v>
      </c>
      <c r="S16">
        <v>5.5</v>
      </c>
      <c r="T16">
        <v>0</v>
      </c>
      <c r="U16">
        <v>1.6</v>
      </c>
      <c r="V16">
        <v>1.9</v>
      </c>
      <c r="W16">
        <v>4.0999999999999996</v>
      </c>
      <c r="X16" t="s">
        <v>45</v>
      </c>
      <c r="Y16">
        <v>0</v>
      </c>
      <c r="Z16">
        <v>0</v>
      </c>
      <c r="AB16">
        <v>1</v>
      </c>
      <c r="AC16" t="s">
        <v>46</v>
      </c>
      <c r="AE16">
        <v>1</v>
      </c>
      <c r="AF16">
        <v>0</v>
      </c>
      <c r="AG16" t="s">
        <v>75</v>
      </c>
      <c r="AH16" t="s">
        <v>76</v>
      </c>
      <c r="AI16" t="s">
        <v>64</v>
      </c>
      <c r="AJ16" s="1" t="s">
        <v>111</v>
      </c>
      <c r="AK16">
        <v>0</v>
      </c>
      <c r="AL16">
        <v>0</v>
      </c>
    </row>
    <row r="17" spans="1:38" x14ac:dyDescent="0.35">
      <c r="A17" t="s">
        <v>112</v>
      </c>
      <c r="B17" t="s">
        <v>73</v>
      </c>
      <c r="C17" t="s">
        <v>113</v>
      </c>
      <c r="D17">
        <v>5.7</v>
      </c>
      <c r="E17" t="s">
        <v>67</v>
      </c>
      <c r="F17">
        <v>35</v>
      </c>
      <c r="G17" t="s">
        <v>54</v>
      </c>
      <c r="H17" t="s">
        <v>94</v>
      </c>
      <c r="I17">
        <v>4</v>
      </c>
      <c r="J17">
        <v>7.2</v>
      </c>
      <c r="K17">
        <v>13</v>
      </c>
      <c r="L17">
        <v>2</v>
      </c>
      <c r="M17">
        <v>12</v>
      </c>
      <c r="N17">
        <v>0</v>
      </c>
      <c r="O17" t="s">
        <v>70</v>
      </c>
      <c r="P17">
        <v>42400</v>
      </c>
      <c r="Q17">
        <v>6.7</v>
      </c>
      <c r="R17">
        <v>2.9</v>
      </c>
      <c r="S17">
        <v>0.5</v>
      </c>
      <c r="T17">
        <v>0</v>
      </c>
      <c r="U17">
        <v>3.6</v>
      </c>
      <c r="V17">
        <v>3.9</v>
      </c>
      <c r="W17">
        <v>3.7</v>
      </c>
      <c r="X17" t="s">
        <v>45</v>
      </c>
      <c r="Y17">
        <v>0</v>
      </c>
      <c r="Z17">
        <v>1</v>
      </c>
      <c r="AA17">
        <v>5.4</v>
      </c>
      <c r="AB17">
        <v>0</v>
      </c>
      <c r="AC17" t="s">
        <v>46</v>
      </c>
      <c r="AE17">
        <v>0</v>
      </c>
      <c r="AF17">
        <v>0</v>
      </c>
      <c r="AG17" t="s">
        <v>47</v>
      </c>
      <c r="AH17" t="s">
        <v>83</v>
      </c>
      <c r="AI17" t="s">
        <v>64</v>
      </c>
      <c r="AJ17" s="1" t="s">
        <v>114</v>
      </c>
      <c r="AK17" s="1" t="s">
        <v>115</v>
      </c>
      <c r="AL17">
        <v>0</v>
      </c>
    </row>
    <row r="18" spans="1:38" x14ac:dyDescent="0.35">
      <c r="A18" t="s">
        <v>116</v>
      </c>
      <c r="B18" t="s">
        <v>117</v>
      </c>
      <c r="C18" t="s">
        <v>118</v>
      </c>
      <c r="D18">
        <v>4.5999999999999996</v>
      </c>
      <c r="E18" t="s">
        <v>110</v>
      </c>
      <c r="F18">
        <v>27</v>
      </c>
      <c r="G18" t="s">
        <v>42</v>
      </c>
      <c r="H18" t="s">
        <v>43</v>
      </c>
      <c r="I18">
        <v>2</v>
      </c>
      <c r="J18">
        <v>11.6</v>
      </c>
      <c r="K18">
        <v>2</v>
      </c>
      <c r="L18">
        <v>1</v>
      </c>
      <c r="M18">
        <v>12</v>
      </c>
      <c r="N18">
        <v>0</v>
      </c>
      <c r="O18" t="s">
        <v>44</v>
      </c>
      <c r="P18">
        <v>59900</v>
      </c>
      <c r="Q18">
        <v>6.2</v>
      </c>
      <c r="R18">
        <v>2.2999999999999998</v>
      </c>
      <c r="S18">
        <v>3.5</v>
      </c>
      <c r="T18">
        <v>0</v>
      </c>
      <c r="U18">
        <v>3.5</v>
      </c>
      <c r="V18">
        <v>1.5</v>
      </c>
      <c r="W18">
        <v>2.7</v>
      </c>
      <c r="X18" t="s">
        <v>45</v>
      </c>
      <c r="Y18">
        <v>0</v>
      </c>
      <c r="Z18">
        <v>1</v>
      </c>
      <c r="AA18">
        <v>0.5</v>
      </c>
      <c r="AB18">
        <v>0</v>
      </c>
      <c r="AC18" t="s">
        <v>46</v>
      </c>
      <c r="AE18">
        <v>0</v>
      </c>
      <c r="AF18">
        <v>0</v>
      </c>
      <c r="AG18" t="s">
        <v>47</v>
      </c>
      <c r="AH18" t="s">
        <v>76</v>
      </c>
      <c r="AI18" t="s">
        <v>49</v>
      </c>
      <c r="AJ18" s="1" t="s">
        <v>119</v>
      </c>
      <c r="AK18" s="1" t="s">
        <v>84</v>
      </c>
      <c r="AL18">
        <v>0</v>
      </c>
    </row>
    <row r="19" spans="1:38" x14ac:dyDescent="0.35">
      <c r="A19" t="s">
        <v>120</v>
      </c>
      <c r="B19" t="s">
        <v>73</v>
      </c>
      <c r="C19" t="s">
        <v>121</v>
      </c>
      <c r="D19">
        <v>1.4</v>
      </c>
      <c r="E19" t="s">
        <v>41</v>
      </c>
      <c r="F19">
        <v>24</v>
      </c>
      <c r="G19" t="s">
        <v>42</v>
      </c>
      <c r="H19" t="s">
        <v>55</v>
      </c>
      <c r="I19">
        <v>4</v>
      </c>
      <c r="J19">
        <v>12</v>
      </c>
      <c r="K19">
        <v>13</v>
      </c>
      <c r="L19">
        <v>4</v>
      </c>
      <c r="M19">
        <v>12</v>
      </c>
      <c r="N19">
        <v>0</v>
      </c>
      <c r="O19" t="s">
        <v>56</v>
      </c>
      <c r="P19">
        <v>78300</v>
      </c>
      <c r="Q19">
        <v>0.4</v>
      </c>
      <c r="R19">
        <v>2</v>
      </c>
      <c r="S19">
        <v>2.6</v>
      </c>
      <c r="T19">
        <v>0</v>
      </c>
      <c r="U19">
        <v>3.5</v>
      </c>
      <c r="V19">
        <v>3.1</v>
      </c>
      <c r="W19">
        <v>4</v>
      </c>
      <c r="X19" t="s">
        <v>45</v>
      </c>
      <c r="Y19">
        <v>0</v>
      </c>
      <c r="Z19">
        <v>0</v>
      </c>
      <c r="AB19">
        <v>0</v>
      </c>
      <c r="AC19" t="s">
        <v>46</v>
      </c>
      <c r="AE19">
        <v>1</v>
      </c>
      <c r="AF19">
        <v>0</v>
      </c>
      <c r="AG19" t="s">
        <v>75</v>
      </c>
      <c r="AH19" t="s">
        <v>48</v>
      </c>
      <c r="AI19" t="s">
        <v>49</v>
      </c>
      <c r="AJ19" s="1" t="s">
        <v>122</v>
      </c>
      <c r="AK19" s="1" t="s">
        <v>115</v>
      </c>
      <c r="AL19">
        <v>0</v>
      </c>
    </row>
    <row r="20" spans="1:38" x14ac:dyDescent="0.35">
      <c r="A20" t="s">
        <v>123</v>
      </c>
      <c r="B20" t="s">
        <v>60</v>
      </c>
      <c r="C20" t="s">
        <v>107</v>
      </c>
      <c r="D20">
        <v>1.7</v>
      </c>
      <c r="E20" t="s">
        <v>110</v>
      </c>
      <c r="F20">
        <v>30</v>
      </c>
      <c r="G20" t="s">
        <v>68</v>
      </c>
      <c r="H20" t="s">
        <v>94</v>
      </c>
      <c r="I20">
        <v>2</v>
      </c>
      <c r="J20">
        <v>5.8</v>
      </c>
      <c r="K20">
        <v>9</v>
      </c>
      <c r="L20">
        <v>0</v>
      </c>
      <c r="M20">
        <v>12</v>
      </c>
      <c r="N20">
        <v>0</v>
      </c>
      <c r="O20" t="s">
        <v>44</v>
      </c>
      <c r="P20">
        <v>53700</v>
      </c>
      <c r="Q20">
        <v>9.3000000000000007</v>
      </c>
      <c r="R20">
        <v>2.2000000000000002</v>
      </c>
      <c r="S20">
        <v>4</v>
      </c>
      <c r="T20">
        <v>0</v>
      </c>
      <c r="U20">
        <v>2.8</v>
      </c>
      <c r="V20">
        <v>3.8</v>
      </c>
      <c r="W20">
        <v>2.1</v>
      </c>
      <c r="X20" t="s">
        <v>45</v>
      </c>
      <c r="Y20">
        <v>0</v>
      </c>
      <c r="Z20">
        <v>0</v>
      </c>
      <c r="AB20">
        <v>0</v>
      </c>
      <c r="AC20" t="s">
        <v>124</v>
      </c>
      <c r="AD20" s="2">
        <v>46251</v>
      </c>
      <c r="AE20">
        <v>1</v>
      </c>
      <c r="AF20">
        <v>0</v>
      </c>
      <c r="AG20" t="s">
        <v>75</v>
      </c>
      <c r="AH20" t="s">
        <v>48</v>
      </c>
      <c r="AI20" t="s">
        <v>64</v>
      </c>
      <c r="AJ20">
        <v>2.9</v>
      </c>
      <c r="AK20" s="1" t="s">
        <v>84</v>
      </c>
      <c r="AL20">
        <v>1</v>
      </c>
    </row>
    <row r="21" spans="1:38" x14ac:dyDescent="0.35">
      <c r="A21" t="s">
        <v>125</v>
      </c>
      <c r="B21" t="s">
        <v>39</v>
      </c>
      <c r="C21" t="s">
        <v>66</v>
      </c>
      <c r="D21">
        <v>9.6</v>
      </c>
      <c r="E21" t="s">
        <v>110</v>
      </c>
      <c r="F21">
        <v>35</v>
      </c>
      <c r="G21" t="s">
        <v>68</v>
      </c>
      <c r="H21" t="s">
        <v>55</v>
      </c>
      <c r="I21">
        <v>5</v>
      </c>
      <c r="J21">
        <v>24.5</v>
      </c>
      <c r="K21">
        <v>10</v>
      </c>
      <c r="L21">
        <v>4</v>
      </c>
      <c r="M21">
        <v>12</v>
      </c>
      <c r="N21">
        <v>0</v>
      </c>
      <c r="O21" t="s">
        <v>44</v>
      </c>
      <c r="P21">
        <v>67100</v>
      </c>
      <c r="Q21">
        <v>11.4</v>
      </c>
      <c r="R21">
        <v>3.5</v>
      </c>
      <c r="S21">
        <v>0.1</v>
      </c>
      <c r="T21">
        <v>0</v>
      </c>
      <c r="U21">
        <v>4.2</v>
      </c>
      <c r="V21">
        <v>3.4</v>
      </c>
      <c r="W21">
        <v>3.1</v>
      </c>
      <c r="X21" t="s">
        <v>45</v>
      </c>
      <c r="Y21">
        <v>0</v>
      </c>
      <c r="Z21">
        <v>0</v>
      </c>
      <c r="AB21">
        <v>1</v>
      </c>
      <c r="AC21" t="s">
        <v>46</v>
      </c>
      <c r="AE21">
        <v>1</v>
      </c>
      <c r="AF21">
        <v>0</v>
      </c>
      <c r="AG21" t="s">
        <v>75</v>
      </c>
      <c r="AH21" t="s">
        <v>83</v>
      </c>
      <c r="AI21" t="s">
        <v>57</v>
      </c>
      <c r="AJ21" s="1" t="s">
        <v>126</v>
      </c>
      <c r="AK21" s="1" t="s">
        <v>127</v>
      </c>
      <c r="AL21">
        <v>0</v>
      </c>
    </row>
    <row r="22" spans="1:38" x14ac:dyDescent="0.35">
      <c r="A22" t="s">
        <v>128</v>
      </c>
      <c r="B22" t="s">
        <v>39</v>
      </c>
      <c r="C22" t="s">
        <v>88</v>
      </c>
      <c r="D22">
        <v>6.5</v>
      </c>
      <c r="E22" t="s">
        <v>67</v>
      </c>
      <c r="F22">
        <v>32</v>
      </c>
      <c r="G22" t="s">
        <v>42</v>
      </c>
      <c r="H22" t="s">
        <v>55</v>
      </c>
      <c r="I22">
        <v>3</v>
      </c>
      <c r="J22">
        <v>3.8</v>
      </c>
      <c r="K22">
        <v>10</v>
      </c>
      <c r="L22">
        <v>1</v>
      </c>
      <c r="M22">
        <v>12</v>
      </c>
      <c r="N22">
        <v>0</v>
      </c>
      <c r="O22" t="s">
        <v>70</v>
      </c>
      <c r="P22">
        <v>49200</v>
      </c>
      <c r="Q22">
        <v>10.6</v>
      </c>
      <c r="R22">
        <v>3</v>
      </c>
      <c r="S22">
        <v>2.2999999999999998</v>
      </c>
      <c r="T22">
        <v>0</v>
      </c>
      <c r="U22">
        <v>3.7</v>
      </c>
      <c r="V22">
        <v>2.8</v>
      </c>
      <c r="W22">
        <v>2.5</v>
      </c>
      <c r="X22" t="s">
        <v>45</v>
      </c>
      <c r="Y22">
        <v>0</v>
      </c>
      <c r="Z22">
        <v>1</v>
      </c>
      <c r="AA22">
        <v>5</v>
      </c>
      <c r="AB22">
        <v>0</v>
      </c>
      <c r="AC22" t="s">
        <v>46</v>
      </c>
      <c r="AE22">
        <v>0</v>
      </c>
      <c r="AF22">
        <v>0</v>
      </c>
      <c r="AG22" t="s">
        <v>47</v>
      </c>
      <c r="AH22" t="s">
        <v>83</v>
      </c>
      <c r="AI22" t="s">
        <v>64</v>
      </c>
      <c r="AJ22">
        <v>3</v>
      </c>
      <c r="AK22">
        <v>0.25</v>
      </c>
      <c r="AL22">
        <v>0</v>
      </c>
    </row>
    <row r="23" spans="1:38" x14ac:dyDescent="0.35">
      <c r="A23" t="s">
        <v>129</v>
      </c>
      <c r="B23" t="s">
        <v>98</v>
      </c>
      <c r="C23" t="s">
        <v>99</v>
      </c>
      <c r="D23">
        <v>3.5</v>
      </c>
      <c r="E23" t="s">
        <v>81</v>
      </c>
      <c r="F23">
        <v>35</v>
      </c>
      <c r="G23" t="s">
        <v>42</v>
      </c>
      <c r="H23" t="s">
        <v>69</v>
      </c>
      <c r="I23">
        <v>3</v>
      </c>
      <c r="J23">
        <v>20.8</v>
      </c>
      <c r="K23">
        <v>14</v>
      </c>
      <c r="L23">
        <v>1</v>
      </c>
      <c r="M23">
        <v>12</v>
      </c>
      <c r="N23">
        <v>0</v>
      </c>
      <c r="O23" t="s">
        <v>82</v>
      </c>
      <c r="P23">
        <v>27600</v>
      </c>
      <c r="Q23">
        <v>8.1</v>
      </c>
      <c r="R23">
        <v>2.6</v>
      </c>
      <c r="S23">
        <v>3.4</v>
      </c>
      <c r="T23">
        <v>0</v>
      </c>
      <c r="U23">
        <v>4.2</v>
      </c>
      <c r="V23">
        <v>3.5</v>
      </c>
      <c r="W23">
        <v>2.7</v>
      </c>
      <c r="X23" t="s">
        <v>45</v>
      </c>
      <c r="Y23">
        <v>0</v>
      </c>
      <c r="Z23">
        <v>1</v>
      </c>
      <c r="AA23">
        <v>2</v>
      </c>
      <c r="AB23">
        <v>0</v>
      </c>
      <c r="AC23" t="s">
        <v>46</v>
      </c>
      <c r="AE23">
        <v>0</v>
      </c>
      <c r="AF23">
        <v>0</v>
      </c>
      <c r="AG23" t="s">
        <v>47</v>
      </c>
      <c r="AH23" t="s">
        <v>76</v>
      </c>
      <c r="AI23" t="s">
        <v>57</v>
      </c>
      <c r="AJ23" s="1" t="s">
        <v>77</v>
      </c>
      <c r="AK23">
        <v>0.25</v>
      </c>
      <c r="AL23">
        <v>0</v>
      </c>
    </row>
    <row r="24" spans="1:38" x14ac:dyDescent="0.35">
      <c r="A24" t="s">
        <v>130</v>
      </c>
      <c r="B24" t="s">
        <v>60</v>
      </c>
      <c r="C24" t="s">
        <v>61</v>
      </c>
      <c r="D24">
        <v>3.1</v>
      </c>
      <c r="E24" t="s">
        <v>67</v>
      </c>
      <c r="F24">
        <v>26</v>
      </c>
      <c r="G24" t="s">
        <v>42</v>
      </c>
      <c r="H24" t="s">
        <v>55</v>
      </c>
      <c r="I24">
        <v>3</v>
      </c>
      <c r="J24">
        <v>11.3</v>
      </c>
      <c r="K24">
        <v>11</v>
      </c>
      <c r="L24">
        <v>0</v>
      </c>
      <c r="M24">
        <v>12</v>
      </c>
      <c r="N24">
        <v>0</v>
      </c>
      <c r="O24" t="s">
        <v>70</v>
      </c>
      <c r="P24">
        <v>40700</v>
      </c>
      <c r="Q24">
        <v>11.8</v>
      </c>
      <c r="R24">
        <v>2.4</v>
      </c>
      <c r="S24">
        <v>1.2</v>
      </c>
      <c r="T24">
        <v>0</v>
      </c>
      <c r="U24">
        <v>2.6</v>
      </c>
      <c r="V24">
        <v>4.0999999999999996</v>
      </c>
      <c r="W24">
        <v>4.9000000000000004</v>
      </c>
      <c r="X24" t="s">
        <v>45</v>
      </c>
      <c r="Y24">
        <v>0</v>
      </c>
      <c r="Z24">
        <v>0</v>
      </c>
      <c r="AB24">
        <v>0</v>
      </c>
      <c r="AC24" t="s">
        <v>46</v>
      </c>
      <c r="AE24">
        <v>1</v>
      </c>
      <c r="AF24">
        <v>0</v>
      </c>
      <c r="AG24" t="s">
        <v>75</v>
      </c>
      <c r="AH24" t="s">
        <v>76</v>
      </c>
      <c r="AI24" t="s">
        <v>49</v>
      </c>
      <c r="AJ24" s="1" t="s">
        <v>131</v>
      </c>
      <c r="AK24">
        <v>0.25</v>
      </c>
      <c r="AL24">
        <v>0</v>
      </c>
    </row>
    <row r="25" spans="1:38" x14ac:dyDescent="0.35">
      <c r="A25" t="s">
        <v>132</v>
      </c>
      <c r="B25" t="s">
        <v>60</v>
      </c>
      <c r="C25" t="s">
        <v>61</v>
      </c>
      <c r="D25">
        <v>1.9</v>
      </c>
      <c r="E25" t="s">
        <v>62</v>
      </c>
      <c r="F25">
        <v>28</v>
      </c>
      <c r="G25" t="s">
        <v>42</v>
      </c>
      <c r="H25" t="s">
        <v>55</v>
      </c>
      <c r="I25">
        <v>2</v>
      </c>
      <c r="J25">
        <v>7.3</v>
      </c>
      <c r="K25">
        <v>8</v>
      </c>
      <c r="L25">
        <v>2</v>
      </c>
      <c r="M25">
        <v>12</v>
      </c>
      <c r="N25">
        <v>0</v>
      </c>
      <c r="O25" t="s">
        <v>56</v>
      </c>
      <c r="P25">
        <v>109500</v>
      </c>
      <c r="Q25">
        <v>3.5</v>
      </c>
      <c r="R25">
        <v>2.2000000000000002</v>
      </c>
      <c r="S25">
        <v>0.9</v>
      </c>
      <c r="T25">
        <v>0</v>
      </c>
      <c r="U25">
        <v>2.1</v>
      </c>
      <c r="V25">
        <v>3.1</v>
      </c>
      <c r="W25">
        <v>2.2000000000000002</v>
      </c>
      <c r="X25" t="s">
        <v>45</v>
      </c>
      <c r="Y25">
        <v>0</v>
      </c>
      <c r="Z25">
        <v>1</v>
      </c>
      <c r="AA25">
        <v>0.5</v>
      </c>
      <c r="AB25">
        <v>0</v>
      </c>
      <c r="AC25" t="s">
        <v>46</v>
      </c>
      <c r="AE25">
        <v>0</v>
      </c>
      <c r="AF25">
        <v>0</v>
      </c>
      <c r="AG25" t="s">
        <v>47</v>
      </c>
      <c r="AH25" t="s">
        <v>48</v>
      </c>
      <c r="AI25" t="s">
        <v>64</v>
      </c>
      <c r="AJ25" s="1" t="s">
        <v>133</v>
      </c>
      <c r="AK25" s="1" t="s">
        <v>84</v>
      </c>
      <c r="AL25">
        <v>0</v>
      </c>
    </row>
    <row r="26" spans="1:38" x14ac:dyDescent="0.35">
      <c r="A26" t="s">
        <v>134</v>
      </c>
      <c r="B26" t="s">
        <v>39</v>
      </c>
      <c r="C26" t="s">
        <v>88</v>
      </c>
      <c r="D26">
        <v>4.9000000000000004</v>
      </c>
      <c r="E26" t="s">
        <v>110</v>
      </c>
      <c r="F26">
        <v>35</v>
      </c>
      <c r="G26" t="s">
        <v>54</v>
      </c>
      <c r="H26" t="s">
        <v>55</v>
      </c>
      <c r="I26">
        <v>1</v>
      </c>
      <c r="J26">
        <v>14.7</v>
      </c>
      <c r="K26">
        <v>13</v>
      </c>
      <c r="L26">
        <v>2</v>
      </c>
      <c r="M26">
        <v>12</v>
      </c>
      <c r="N26">
        <v>0</v>
      </c>
      <c r="O26" t="s">
        <v>70</v>
      </c>
      <c r="P26">
        <v>48600</v>
      </c>
      <c r="Q26">
        <v>15.3</v>
      </c>
      <c r="R26">
        <v>2.4</v>
      </c>
      <c r="S26">
        <v>1.4</v>
      </c>
      <c r="T26">
        <v>0</v>
      </c>
      <c r="U26">
        <v>3.7</v>
      </c>
      <c r="V26">
        <v>1.2</v>
      </c>
      <c r="W26">
        <v>2.7</v>
      </c>
      <c r="X26" t="s">
        <v>45</v>
      </c>
      <c r="Y26">
        <v>0</v>
      </c>
      <c r="Z26">
        <v>0</v>
      </c>
      <c r="AB26">
        <v>0</v>
      </c>
      <c r="AC26" t="s">
        <v>46</v>
      </c>
      <c r="AE26">
        <v>1</v>
      </c>
      <c r="AF26">
        <v>0</v>
      </c>
      <c r="AG26" t="s">
        <v>75</v>
      </c>
      <c r="AH26" t="s">
        <v>76</v>
      </c>
      <c r="AI26" t="s">
        <v>49</v>
      </c>
      <c r="AJ26" s="1" t="s">
        <v>135</v>
      </c>
      <c r="AK26">
        <v>8.3333333333333301E-2</v>
      </c>
      <c r="AL26">
        <v>0</v>
      </c>
    </row>
    <row r="27" spans="1:38" x14ac:dyDescent="0.35">
      <c r="A27" t="s">
        <v>136</v>
      </c>
      <c r="B27" t="s">
        <v>73</v>
      </c>
      <c r="C27" t="s">
        <v>113</v>
      </c>
      <c r="D27">
        <v>2.1</v>
      </c>
      <c r="E27" t="s">
        <v>67</v>
      </c>
      <c r="F27">
        <v>31</v>
      </c>
      <c r="G27" t="s">
        <v>42</v>
      </c>
      <c r="H27" t="s">
        <v>63</v>
      </c>
      <c r="I27">
        <v>0</v>
      </c>
      <c r="J27">
        <v>8.6</v>
      </c>
      <c r="K27">
        <v>15</v>
      </c>
      <c r="L27">
        <v>3</v>
      </c>
      <c r="M27">
        <v>12</v>
      </c>
      <c r="N27">
        <v>0</v>
      </c>
      <c r="O27" t="s">
        <v>70</v>
      </c>
      <c r="P27">
        <v>36900</v>
      </c>
      <c r="Q27">
        <v>4.9000000000000004</v>
      </c>
      <c r="R27">
        <v>4.0999999999999996</v>
      </c>
      <c r="S27">
        <v>3.2</v>
      </c>
      <c r="T27">
        <v>0</v>
      </c>
      <c r="U27">
        <v>2.4</v>
      </c>
      <c r="V27">
        <v>4.2</v>
      </c>
      <c r="W27">
        <v>3.8</v>
      </c>
      <c r="X27" t="s">
        <v>45</v>
      </c>
      <c r="Y27">
        <v>0</v>
      </c>
      <c r="Z27">
        <v>0</v>
      </c>
      <c r="AB27">
        <v>1</v>
      </c>
      <c r="AC27" t="s">
        <v>46</v>
      </c>
      <c r="AE27">
        <v>1</v>
      </c>
      <c r="AF27">
        <v>0</v>
      </c>
      <c r="AG27" t="s">
        <v>75</v>
      </c>
      <c r="AH27" t="s">
        <v>48</v>
      </c>
      <c r="AI27" t="s">
        <v>64</v>
      </c>
      <c r="AJ27" s="1" t="s">
        <v>137</v>
      </c>
      <c r="AK27">
        <v>0</v>
      </c>
      <c r="AL27">
        <v>0</v>
      </c>
    </row>
    <row r="28" spans="1:38" x14ac:dyDescent="0.35">
      <c r="A28" t="s">
        <v>138</v>
      </c>
      <c r="B28" t="s">
        <v>52</v>
      </c>
      <c r="C28" t="s">
        <v>93</v>
      </c>
      <c r="D28">
        <v>2.8</v>
      </c>
      <c r="E28" t="s">
        <v>67</v>
      </c>
      <c r="F28">
        <v>28</v>
      </c>
      <c r="G28" t="s">
        <v>42</v>
      </c>
      <c r="H28" t="s">
        <v>55</v>
      </c>
      <c r="I28">
        <v>2</v>
      </c>
      <c r="J28">
        <v>2.6</v>
      </c>
      <c r="K28">
        <v>11</v>
      </c>
      <c r="L28">
        <v>3</v>
      </c>
      <c r="M28">
        <v>12</v>
      </c>
      <c r="N28">
        <v>0</v>
      </c>
      <c r="O28" t="s">
        <v>70</v>
      </c>
      <c r="P28">
        <v>35600</v>
      </c>
      <c r="Q28">
        <v>5.4</v>
      </c>
      <c r="R28">
        <v>4.8</v>
      </c>
      <c r="S28">
        <v>0.5</v>
      </c>
      <c r="T28">
        <v>0</v>
      </c>
      <c r="U28">
        <v>4.2</v>
      </c>
      <c r="V28">
        <v>3.6</v>
      </c>
      <c r="W28">
        <v>3</v>
      </c>
      <c r="X28" t="s">
        <v>45</v>
      </c>
      <c r="Y28">
        <v>0</v>
      </c>
      <c r="Z28">
        <v>2</v>
      </c>
      <c r="AA28">
        <v>2.1</v>
      </c>
      <c r="AB28">
        <v>1</v>
      </c>
      <c r="AC28" t="s">
        <v>46</v>
      </c>
      <c r="AE28">
        <v>0</v>
      </c>
      <c r="AF28">
        <v>0</v>
      </c>
      <c r="AG28" t="s">
        <v>47</v>
      </c>
      <c r="AH28" t="s">
        <v>48</v>
      </c>
      <c r="AI28" t="s">
        <v>64</v>
      </c>
      <c r="AJ28">
        <v>3.6</v>
      </c>
      <c r="AK28" s="1" t="s">
        <v>84</v>
      </c>
      <c r="AL28">
        <v>0</v>
      </c>
    </row>
    <row r="29" spans="1:38" x14ac:dyDescent="0.35">
      <c r="A29" t="s">
        <v>139</v>
      </c>
      <c r="B29" t="s">
        <v>73</v>
      </c>
      <c r="C29" t="s">
        <v>74</v>
      </c>
      <c r="D29">
        <v>2.2999999999999998</v>
      </c>
      <c r="E29" t="s">
        <v>41</v>
      </c>
      <c r="F29">
        <v>27</v>
      </c>
      <c r="G29" t="s">
        <v>68</v>
      </c>
      <c r="H29" t="s">
        <v>69</v>
      </c>
      <c r="I29">
        <v>1</v>
      </c>
      <c r="J29">
        <v>3.5</v>
      </c>
      <c r="K29">
        <v>12</v>
      </c>
      <c r="L29">
        <v>3</v>
      </c>
      <c r="M29">
        <v>12</v>
      </c>
      <c r="N29">
        <v>0</v>
      </c>
      <c r="O29" t="s">
        <v>44</v>
      </c>
      <c r="P29">
        <v>74200</v>
      </c>
      <c r="Q29">
        <v>5.7</v>
      </c>
      <c r="R29">
        <v>4.9000000000000004</v>
      </c>
      <c r="S29">
        <v>0.5</v>
      </c>
      <c r="T29">
        <v>0</v>
      </c>
      <c r="U29">
        <v>1.4</v>
      </c>
      <c r="V29">
        <v>3.2</v>
      </c>
      <c r="W29">
        <v>3.5</v>
      </c>
      <c r="X29" t="s">
        <v>45</v>
      </c>
      <c r="Y29">
        <v>0</v>
      </c>
      <c r="Z29">
        <v>0</v>
      </c>
      <c r="AB29">
        <v>0</v>
      </c>
      <c r="AC29" t="s">
        <v>46</v>
      </c>
      <c r="AE29">
        <v>1</v>
      </c>
      <c r="AF29">
        <v>0</v>
      </c>
      <c r="AG29" t="s">
        <v>75</v>
      </c>
      <c r="AH29" t="s">
        <v>48</v>
      </c>
      <c r="AI29" t="s">
        <v>64</v>
      </c>
      <c r="AJ29" s="1" t="s">
        <v>96</v>
      </c>
      <c r="AK29">
        <v>8.3333333333333301E-2</v>
      </c>
      <c r="AL29">
        <v>0</v>
      </c>
    </row>
    <row r="30" spans="1:38" x14ac:dyDescent="0.35">
      <c r="A30" t="s">
        <v>140</v>
      </c>
      <c r="B30" t="s">
        <v>73</v>
      </c>
      <c r="C30" t="s">
        <v>121</v>
      </c>
      <c r="D30">
        <v>6.3</v>
      </c>
      <c r="E30" t="s">
        <v>110</v>
      </c>
      <c r="F30">
        <v>25</v>
      </c>
      <c r="G30" t="s">
        <v>42</v>
      </c>
      <c r="H30" t="s">
        <v>63</v>
      </c>
      <c r="I30">
        <v>1</v>
      </c>
      <c r="J30">
        <v>8.1</v>
      </c>
      <c r="K30">
        <v>7</v>
      </c>
      <c r="L30">
        <v>0</v>
      </c>
      <c r="M30">
        <v>12</v>
      </c>
      <c r="N30">
        <v>0</v>
      </c>
      <c r="O30" t="s">
        <v>70</v>
      </c>
      <c r="P30">
        <v>42700</v>
      </c>
      <c r="Q30">
        <v>5.4</v>
      </c>
      <c r="R30">
        <v>3.8</v>
      </c>
      <c r="S30">
        <v>0</v>
      </c>
      <c r="T30">
        <v>0</v>
      </c>
      <c r="U30">
        <v>2.9</v>
      </c>
      <c r="V30">
        <v>1.4</v>
      </c>
      <c r="W30">
        <v>4.5</v>
      </c>
      <c r="X30" t="s">
        <v>45</v>
      </c>
      <c r="Y30">
        <v>0</v>
      </c>
      <c r="Z30">
        <v>1</v>
      </c>
      <c r="AA30">
        <v>5.2</v>
      </c>
      <c r="AB30">
        <v>0</v>
      </c>
      <c r="AC30" t="s">
        <v>46</v>
      </c>
      <c r="AE30">
        <v>0</v>
      </c>
      <c r="AF30">
        <v>0</v>
      </c>
      <c r="AG30" t="s">
        <v>47</v>
      </c>
      <c r="AH30" t="s">
        <v>83</v>
      </c>
      <c r="AI30" t="s">
        <v>64</v>
      </c>
      <c r="AJ30" s="1" t="s">
        <v>141</v>
      </c>
      <c r="AK30">
        <v>8.3333333333333301E-2</v>
      </c>
      <c r="AL30">
        <v>0</v>
      </c>
    </row>
    <row r="31" spans="1:38" x14ac:dyDescent="0.35">
      <c r="A31" t="s">
        <v>142</v>
      </c>
      <c r="B31" t="s">
        <v>39</v>
      </c>
      <c r="C31" t="s">
        <v>66</v>
      </c>
      <c r="D31">
        <v>3.3</v>
      </c>
      <c r="E31" t="s">
        <v>110</v>
      </c>
      <c r="F31">
        <v>25</v>
      </c>
      <c r="G31" t="s">
        <v>42</v>
      </c>
      <c r="H31" t="s">
        <v>69</v>
      </c>
      <c r="I31">
        <v>5</v>
      </c>
      <c r="J31">
        <v>6.5</v>
      </c>
      <c r="K31">
        <v>14</v>
      </c>
      <c r="L31">
        <v>2</v>
      </c>
      <c r="M31">
        <v>12</v>
      </c>
      <c r="N31">
        <v>0</v>
      </c>
      <c r="O31" t="s">
        <v>44</v>
      </c>
      <c r="P31">
        <v>62200</v>
      </c>
      <c r="Q31">
        <v>7.2</v>
      </c>
      <c r="R31">
        <v>2.8</v>
      </c>
      <c r="S31">
        <v>1.1000000000000001</v>
      </c>
      <c r="T31">
        <v>0</v>
      </c>
      <c r="U31">
        <v>2.7</v>
      </c>
      <c r="V31">
        <v>2.9</v>
      </c>
      <c r="W31">
        <v>3.4</v>
      </c>
      <c r="X31" t="s">
        <v>89</v>
      </c>
      <c r="Y31">
        <v>1</v>
      </c>
      <c r="Z31">
        <v>0</v>
      </c>
      <c r="AB31">
        <v>0</v>
      </c>
      <c r="AC31" t="s">
        <v>46</v>
      </c>
      <c r="AE31">
        <v>1</v>
      </c>
      <c r="AF31">
        <v>0</v>
      </c>
      <c r="AG31" t="s">
        <v>75</v>
      </c>
      <c r="AH31" t="s">
        <v>76</v>
      </c>
      <c r="AI31" t="s">
        <v>64</v>
      </c>
      <c r="AJ31">
        <v>3</v>
      </c>
      <c r="AK31" s="1" t="s">
        <v>127</v>
      </c>
      <c r="AL31">
        <v>0</v>
      </c>
    </row>
    <row r="32" spans="1:38" x14ac:dyDescent="0.35">
      <c r="A32" t="s">
        <v>143</v>
      </c>
      <c r="B32" t="s">
        <v>39</v>
      </c>
      <c r="C32" t="s">
        <v>66</v>
      </c>
      <c r="D32">
        <v>4.0999999999999996</v>
      </c>
      <c r="E32" t="s">
        <v>41</v>
      </c>
      <c r="F32">
        <v>31</v>
      </c>
      <c r="G32" t="s">
        <v>42</v>
      </c>
      <c r="H32" t="s">
        <v>43</v>
      </c>
      <c r="I32">
        <v>1</v>
      </c>
      <c r="J32">
        <v>20.399999999999999</v>
      </c>
      <c r="K32">
        <v>9</v>
      </c>
      <c r="L32">
        <v>4</v>
      </c>
      <c r="M32">
        <v>12</v>
      </c>
      <c r="N32">
        <v>0</v>
      </c>
      <c r="O32" t="s">
        <v>56</v>
      </c>
      <c r="P32">
        <v>76800</v>
      </c>
      <c r="Q32">
        <v>7.1</v>
      </c>
      <c r="R32">
        <v>2.6</v>
      </c>
      <c r="S32">
        <v>0.2</v>
      </c>
      <c r="T32">
        <v>0</v>
      </c>
      <c r="U32">
        <v>3</v>
      </c>
      <c r="V32">
        <v>2.4</v>
      </c>
      <c r="W32">
        <v>3</v>
      </c>
      <c r="X32" t="s">
        <v>45</v>
      </c>
      <c r="Y32">
        <v>0</v>
      </c>
      <c r="Z32">
        <v>0</v>
      </c>
      <c r="AB32">
        <v>0</v>
      </c>
      <c r="AC32" t="s">
        <v>124</v>
      </c>
      <c r="AD32" s="2">
        <v>45705</v>
      </c>
      <c r="AE32">
        <v>1</v>
      </c>
      <c r="AF32">
        <v>0</v>
      </c>
      <c r="AG32" t="s">
        <v>75</v>
      </c>
      <c r="AH32" t="s">
        <v>76</v>
      </c>
      <c r="AI32" t="s">
        <v>57</v>
      </c>
      <c r="AJ32" s="1" t="s">
        <v>144</v>
      </c>
      <c r="AK32">
        <v>8.3333333333333301E-2</v>
      </c>
      <c r="AL32">
        <v>1</v>
      </c>
    </row>
    <row r="33" spans="1:38" x14ac:dyDescent="0.35">
      <c r="A33" t="s">
        <v>145</v>
      </c>
      <c r="B33" t="s">
        <v>60</v>
      </c>
      <c r="C33" t="s">
        <v>80</v>
      </c>
      <c r="D33">
        <v>1.4</v>
      </c>
      <c r="E33" t="s">
        <v>110</v>
      </c>
      <c r="F33">
        <v>27</v>
      </c>
      <c r="G33" t="s">
        <v>42</v>
      </c>
      <c r="H33" t="s">
        <v>43</v>
      </c>
      <c r="I33">
        <v>4</v>
      </c>
      <c r="J33">
        <v>6.2</v>
      </c>
      <c r="K33">
        <v>14</v>
      </c>
      <c r="L33">
        <v>1</v>
      </c>
      <c r="M33">
        <v>12</v>
      </c>
      <c r="N33">
        <v>0</v>
      </c>
      <c r="O33" t="s">
        <v>44</v>
      </c>
      <c r="P33">
        <v>55700</v>
      </c>
      <c r="Q33">
        <v>8.5</v>
      </c>
      <c r="R33">
        <v>3.9</v>
      </c>
      <c r="S33">
        <v>1.1000000000000001</v>
      </c>
      <c r="T33">
        <v>0</v>
      </c>
      <c r="U33">
        <v>3.5</v>
      </c>
      <c r="V33">
        <v>2.1</v>
      </c>
      <c r="W33">
        <v>3.3</v>
      </c>
      <c r="X33" t="s">
        <v>45</v>
      </c>
      <c r="Y33">
        <v>0</v>
      </c>
      <c r="Z33">
        <v>0</v>
      </c>
      <c r="AB33">
        <v>0</v>
      </c>
      <c r="AC33" t="s">
        <v>46</v>
      </c>
      <c r="AE33">
        <v>1</v>
      </c>
      <c r="AF33">
        <v>0</v>
      </c>
      <c r="AG33" t="s">
        <v>75</v>
      </c>
      <c r="AH33" t="s">
        <v>48</v>
      </c>
      <c r="AI33" t="s">
        <v>64</v>
      </c>
      <c r="AJ33" s="1" t="s">
        <v>146</v>
      </c>
      <c r="AK33" s="1" t="s">
        <v>115</v>
      </c>
      <c r="AL33">
        <v>0</v>
      </c>
    </row>
    <row r="34" spans="1:38" x14ac:dyDescent="0.35">
      <c r="A34" t="s">
        <v>147</v>
      </c>
      <c r="B34" t="s">
        <v>98</v>
      </c>
      <c r="C34" t="s">
        <v>148</v>
      </c>
      <c r="D34">
        <v>2.2999999999999998</v>
      </c>
      <c r="E34" t="s">
        <v>110</v>
      </c>
      <c r="F34">
        <v>29</v>
      </c>
      <c r="G34" t="s">
        <v>42</v>
      </c>
      <c r="H34" t="s">
        <v>43</v>
      </c>
      <c r="I34">
        <v>2</v>
      </c>
      <c r="J34">
        <v>5.9</v>
      </c>
      <c r="K34">
        <v>13</v>
      </c>
      <c r="L34">
        <v>4</v>
      </c>
      <c r="M34">
        <v>12</v>
      </c>
      <c r="N34">
        <v>0</v>
      </c>
      <c r="O34" t="s">
        <v>70</v>
      </c>
      <c r="P34">
        <v>37400</v>
      </c>
      <c r="Q34">
        <v>4.7</v>
      </c>
      <c r="R34">
        <v>3</v>
      </c>
      <c r="S34">
        <v>0.4</v>
      </c>
      <c r="T34">
        <v>0</v>
      </c>
      <c r="U34">
        <v>3.7</v>
      </c>
      <c r="V34">
        <v>3.1</v>
      </c>
      <c r="W34">
        <v>3.8</v>
      </c>
      <c r="X34" t="s">
        <v>45</v>
      </c>
      <c r="Y34">
        <v>0</v>
      </c>
      <c r="Z34">
        <v>0</v>
      </c>
      <c r="AB34">
        <v>0</v>
      </c>
      <c r="AC34" t="s">
        <v>124</v>
      </c>
      <c r="AD34" s="2">
        <v>46125</v>
      </c>
      <c r="AE34">
        <v>1</v>
      </c>
      <c r="AF34">
        <v>0</v>
      </c>
      <c r="AG34" t="s">
        <v>75</v>
      </c>
      <c r="AH34" t="s">
        <v>48</v>
      </c>
      <c r="AI34" t="s">
        <v>64</v>
      </c>
      <c r="AJ34" s="1" t="s">
        <v>149</v>
      </c>
      <c r="AK34" s="1" t="s">
        <v>84</v>
      </c>
      <c r="AL34">
        <v>1</v>
      </c>
    </row>
    <row r="35" spans="1:38" x14ac:dyDescent="0.35">
      <c r="A35" t="s">
        <v>150</v>
      </c>
      <c r="B35" t="s">
        <v>98</v>
      </c>
      <c r="C35" t="s">
        <v>151</v>
      </c>
      <c r="D35">
        <v>4.2</v>
      </c>
      <c r="E35" t="s">
        <v>81</v>
      </c>
      <c r="F35">
        <v>34</v>
      </c>
      <c r="G35" t="s">
        <v>68</v>
      </c>
      <c r="H35" t="s">
        <v>69</v>
      </c>
      <c r="I35">
        <v>0</v>
      </c>
      <c r="J35">
        <v>5.3</v>
      </c>
      <c r="K35">
        <v>17</v>
      </c>
      <c r="L35">
        <v>2</v>
      </c>
      <c r="M35">
        <v>12</v>
      </c>
      <c r="N35">
        <v>0</v>
      </c>
      <c r="O35" t="s">
        <v>82</v>
      </c>
      <c r="P35">
        <v>25300</v>
      </c>
      <c r="Q35">
        <v>8.6999999999999993</v>
      </c>
      <c r="R35">
        <v>3.6</v>
      </c>
      <c r="S35">
        <v>0.7</v>
      </c>
      <c r="T35">
        <v>0</v>
      </c>
      <c r="U35">
        <v>3.9</v>
      </c>
      <c r="V35">
        <v>2.7</v>
      </c>
      <c r="W35">
        <v>3.9</v>
      </c>
      <c r="X35" t="s">
        <v>45</v>
      </c>
      <c r="Y35">
        <v>0</v>
      </c>
      <c r="Z35">
        <v>1</v>
      </c>
      <c r="AA35">
        <v>0.3</v>
      </c>
      <c r="AB35">
        <v>2</v>
      </c>
      <c r="AC35" t="s">
        <v>46</v>
      </c>
      <c r="AE35">
        <v>0</v>
      </c>
      <c r="AF35">
        <v>0</v>
      </c>
      <c r="AG35" t="s">
        <v>47</v>
      </c>
      <c r="AH35" t="s">
        <v>76</v>
      </c>
      <c r="AI35" t="s">
        <v>64</v>
      </c>
      <c r="AJ35">
        <v>3.5</v>
      </c>
      <c r="AK35">
        <v>0</v>
      </c>
      <c r="AL35">
        <v>0</v>
      </c>
    </row>
    <row r="36" spans="1:38" x14ac:dyDescent="0.35">
      <c r="A36" t="s">
        <v>152</v>
      </c>
      <c r="B36" t="s">
        <v>52</v>
      </c>
      <c r="C36" t="s">
        <v>153</v>
      </c>
      <c r="D36">
        <v>0.9</v>
      </c>
      <c r="E36" t="s">
        <v>81</v>
      </c>
      <c r="F36">
        <v>22</v>
      </c>
      <c r="G36" t="s">
        <v>68</v>
      </c>
      <c r="H36" t="s">
        <v>63</v>
      </c>
      <c r="I36">
        <v>6</v>
      </c>
      <c r="J36">
        <v>4.9000000000000004</v>
      </c>
      <c r="K36">
        <v>7</v>
      </c>
      <c r="L36">
        <v>2</v>
      </c>
      <c r="M36">
        <v>12</v>
      </c>
      <c r="N36">
        <v>0</v>
      </c>
      <c r="O36" t="s">
        <v>82</v>
      </c>
      <c r="P36">
        <v>33000</v>
      </c>
      <c r="Q36">
        <v>3.6</v>
      </c>
      <c r="R36">
        <v>4.9000000000000004</v>
      </c>
      <c r="S36">
        <v>0.8</v>
      </c>
      <c r="T36">
        <v>0</v>
      </c>
      <c r="U36">
        <v>4</v>
      </c>
      <c r="V36">
        <v>2.8</v>
      </c>
      <c r="W36">
        <v>3.4</v>
      </c>
      <c r="X36" t="s">
        <v>45</v>
      </c>
      <c r="Y36">
        <v>1</v>
      </c>
      <c r="Z36">
        <v>1</v>
      </c>
      <c r="AA36">
        <v>0.3</v>
      </c>
      <c r="AB36">
        <v>0</v>
      </c>
      <c r="AC36" t="s">
        <v>46</v>
      </c>
      <c r="AE36">
        <v>0</v>
      </c>
      <c r="AF36">
        <v>0</v>
      </c>
      <c r="AG36" t="s">
        <v>47</v>
      </c>
      <c r="AH36" t="s">
        <v>95</v>
      </c>
      <c r="AI36" t="s">
        <v>64</v>
      </c>
      <c r="AJ36">
        <v>3.4</v>
      </c>
      <c r="AK36">
        <v>0.5</v>
      </c>
      <c r="AL36">
        <v>0</v>
      </c>
    </row>
    <row r="37" spans="1:38" x14ac:dyDescent="0.35">
      <c r="A37" t="s">
        <v>154</v>
      </c>
      <c r="B37" t="s">
        <v>73</v>
      </c>
      <c r="C37" t="s">
        <v>74</v>
      </c>
      <c r="D37">
        <v>3.2</v>
      </c>
      <c r="E37" t="s">
        <v>62</v>
      </c>
      <c r="F37">
        <v>28</v>
      </c>
      <c r="G37" t="s">
        <v>42</v>
      </c>
      <c r="H37" t="s">
        <v>94</v>
      </c>
      <c r="I37">
        <v>0</v>
      </c>
      <c r="J37">
        <v>5</v>
      </c>
      <c r="K37">
        <v>5</v>
      </c>
      <c r="L37">
        <v>1</v>
      </c>
      <c r="M37">
        <v>12</v>
      </c>
      <c r="N37">
        <v>0</v>
      </c>
      <c r="O37" t="s">
        <v>56</v>
      </c>
      <c r="P37">
        <v>94700</v>
      </c>
      <c r="Q37">
        <v>10.9</v>
      </c>
      <c r="R37">
        <v>3.4</v>
      </c>
      <c r="S37">
        <v>1.5</v>
      </c>
      <c r="T37">
        <v>0</v>
      </c>
      <c r="U37">
        <v>3.1</v>
      </c>
      <c r="V37">
        <v>3.9</v>
      </c>
      <c r="W37">
        <v>3.7</v>
      </c>
      <c r="X37" t="s">
        <v>45</v>
      </c>
      <c r="Y37">
        <v>0</v>
      </c>
      <c r="Z37">
        <v>0</v>
      </c>
      <c r="AB37">
        <v>0</v>
      </c>
      <c r="AC37" t="s">
        <v>46</v>
      </c>
      <c r="AE37">
        <v>1</v>
      </c>
      <c r="AF37">
        <v>0</v>
      </c>
      <c r="AG37" t="s">
        <v>75</v>
      </c>
      <c r="AH37" t="s">
        <v>76</v>
      </c>
      <c r="AI37" t="s">
        <v>64</v>
      </c>
      <c r="AJ37" s="1" t="s">
        <v>126</v>
      </c>
      <c r="AK37">
        <v>0</v>
      </c>
      <c r="AL37">
        <v>0</v>
      </c>
    </row>
    <row r="38" spans="1:38" x14ac:dyDescent="0.35">
      <c r="A38" t="s">
        <v>155</v>
      </c>
      <c r="B38" t="s">
        <v>73</v>
      </c>
      <c r="C38" t="s">
        <v>121</v>
      </c>
      <c r="D38">
        <v>3.7</v>
      </c>
      <c r="E38" t="s">
        <v>110</v>
      </c>
      <c r="F38">
        <v>30</v>
      </c>
      <c r="G38" t="s">
        <v>68</v>
      </c>
      <c r="H38" t="s">
        <v>43</v>
      </c>
      <c r="I38">
        <v>5</v>
      </c>
      <c r="J38">
        <v>3</v>
      </c>
      <c r="K38">
        <v>14</v>
      </c>
      <c r="L38">
        <v>1</v>
      </c>
      <c r="M38">
        <v>12</v>
      </c>
      <c r="N38">
        <v>0</v>
      </c>
      <c r="O38" t="s">
        <v>70</v>
      </c>
      <c r="P38">
        <v>42300</v>
      </c>
      <c r="Q38">
        <v>10.9</v>
      </c>
      <c r="R38">
        <v>5</v>
      </c>
      <c r="S38">
        <v>1.6</v>
      </c>
      <c r="T38">
        <v>0</v>
      </c>
      <c r="U38">
        <v>5</v>
      </c>
      <c r="V38">
        <v>3.4</v>
      </c>
      <c r="W38">
        <v>3.7</v>
      </c>
      <c r="X38" t="s">
        <v>89</v>
      </c>
      <c r="Y38">
        <v>0</v>
      </c>
      <c r="Z38">
        <v>1</v>
      </c>
      <c r="AA38">
        <v>2.8</v>
      </c>
      <c r="AB38">
        <v>0</v>
      </c>
      <c r="AC38" t="s">
        <v>46</v>
      </c>
      <c r="AE38">
        <v>0</v>
      </c>
      <c r="AF38">
        <v>0</v>
      </c>
      <c r="AG38" t="s">
        <v>47</v>
      </c>
      <c r="AH38" t="s">
        <v>76</v>
      </c>
      <c r="AI38" t="s">
        <v>64</v>
      </c>
      <c r="AJ38" s="1" t="s">
        <v>156</v>
      </c>
      <c r="AK38" s="1" t="s">
        <v>127</v>
      </c>
      <c r="AL38">
        <v>0</v>
      </c>
    </row>
    <row r="39" spans="1:38" x14ac:dyDescent="0.35">
      <c r="A39" t="s">
        <v>157</v>
      </c>
      <c r="B39" t="s">
        <v>52</v>
      </c>
      <c r="C39" t="s">
        <v>53</v>
      </c>
      <c r="D39">
        <v>1.2</v>
      </c>
      <c r="E39" t="s">
        <v>67</v>
      </c>
      <c r="F39">
        <v>24</v>
      </c>
      <c r="G39" t="s">
        <v>42</v>
      </c>
      <c r="H39" t="s">
        <v>55</v>
      </c>
      <c r="I39">
        <v>3</v>
      </c>
      <c r="J39">
        <v>11.7</v>
      </c>
      <c r="K39">
        <v>8</v>
      </c>
      <c r="L39">
        <v>4</v>
      </c>
      <c r="M39">
        <v>12</v>
      </c>
      <c r="N39">
        <v>0</v>
      </c>
      <c r="O39" t="s">
        <v>70</v>
      </c>
      <c r="P39">
        <v>39000</v>
      </c>
      <c r="Q39">
        <v>8</v>
      </c>
      <c r="R39">
        <v>2.2000000000000002</v>
      </c>
      <c r="S39">
        <v>1</v>
      </c>
      <c r="T39">
        <v>0</v>
      </c>
      <c r="U39">
        <v>4.5</v>
      </c>
      <c r="V39">
        <v>2.8</v>
      </c>
      <c r="W39">
        <v>3.3</v>
      </c>
      <c r="X39" t="s">
        <v>45</v>
      </c>
      <c r="Y39">
        <v>0</v>
      </c>
      <c r="Z39">
        <v>0</v>
      </c>
      <c r="AB39">
        <v>0</v>
      </c>
      <c r="AC39" t="s">
        <v>46</v>
      </c>
      <c r="AE39">
        <v>1</v>
      </c>
      <c r="AF39">
        <v>0</v>
      </c>
      <c r="AG39" t="s">
        <v>75</v>
      </c>
      <c r="AH39" t="s">
        <v>48</v>
      </c>
      <c r="AI39" t="s">
        <v>49</v>
      </c>
      <c r="AJ39" s="1" t="s">
        <v>122</v>
      </c>
      <c r="AK39">
        <v>0.25</v>
      </c>
      <c r="AL39">
        <v>0</v>
      </c>
    </row>
    <row r="40" spans="1:38" x14ac:dyDescent="0.35">
      <c r="A40" t="s">
        <v>158</v>
      </c>
      <c r="B40" t="s">
        <v>73</v>
      </c>
      <c r="C40" t="s">
        <v>74</v>
      </c>
      <c r="D40">
        <v>7.3</v>
      </c>
      <c r="E40" t="s">
        <v>110</v>
      </c>
      <c r="F40">
        <v>39</v>
      </c>
      <c r="G40" t="s">
        <v>54</v>
      </c>
      <c r="H40" t="s">
        <v>94</v>
      </c>
      <c r="I40">
        <v>4</v>
      </c>
      <c r="J40">
        <v>9.1999999999999993</v>
      </c>
      <c r="K40">
        <v>7</v>
      </c>
      <c r="L40">
        <v>1</v>
      </c>
      <c r="M40">
        <v>12</v>
      </c>
      <c r="N40">
        <v>0</v>
      </c>
      <c r="O40" t="s">
        <v>44</v>
      </c>
      <c r="P40">
        <v>60700</v>
      </c>
      <c r="Q40">
        <v>5.4</v>
      </c>
      <c r="R40">
        <v>3.6</v>
      </c>
      <c r="S40">
        <v>0.8</v>
      </c>
      <c r="T40">
        <v>0</v>
      </c>
      <c r="U40">
        <v>3</v>
      </c>
      <c r="V40">
        <v>3.3</v>
      </c>
      <c r="W40">
        <v>2.9</v>
      </c>
      <c r="X40" t="s">
        <v>45</v>
      </c>
      <c r="Y40">
        <v>1</v>
      </c>
      <c r="Z40">
        <v>0</v>
      </c>
      <c r="AB40">
        <v>0</v>
      </c>
      <c r="AC40" t="s">
        <v>46</v>
      </c>
      <c r="AE40">
        <v>1</v>
      </c>
      <c r="AF40">
        <v>0</v>
      </c>
      <c r="AG40" t="s">
        <v>75</v>
      </c>
      <c r="AH40" t="s">
        <v>83</v>
      </c>
      <c r="AI40" t="s">
        <v>64</v>
      </c>
      <c r="AJ40" s="1" t="s">
        <v>159</v>
      </c>
      <c r="AK40" s="1" t="s">
        <v>115</v>
      </c>
      <c r="AL40">
        <v>0</v>
      </c>
    </row>
    <row r="41" spans="1:38" x14ac:dyDescent="0.35">
      <c r="A41" t="s">
        <v>160</v>
      </c>
      <c r="B41" t="s">
        <v>39</v>
      </c>
      <c r="C41" t="s">
        <v>66</v>
      </c>
      <c r="D41">
        <v>4.8</v>
      </c>
      <c r="E41" t="s">
        <v>81</v>
      </c>
      <c r="F41">
        <v>34</v>
      </c>
      <c r="G41" t="s">
        <v>42</v>
      </c>
      <c r="H41" t="s">
        <v>55</v>
      </c>
      <c r="I41">
        <v>1</v>
      </c>
      <c r="J41">
        <v>8.9</v>
      </c>
      <c r="K41">
        <v>12</v>
      </c>
      <c r="L41">
        <v>0</v>
      </c>
      <c r="M41">
        <v>12</v>
      </c>
      <c r="N41">
        <v>0</v>
      </c>
      <c r="O41" t="s">
        <v>82</v>
      </c>
      <c r="P41">
        <v>31000</v>
      </c>
      <c r="Q41">
        <v>9.1999999999999993</v>
      </c>
      <c r="R41">
        <v>3.5</v>
      </c>
      <c r="S41">
        <v>0.7</v>
      </c>
      <c r="T41">
        <v>0</v>
      </c>
      <c r="U41">
        <v>3.2</v>
      </c>
      <c r="V41">
        <v>2.8</v>
      </c>
      <c r="W41">
        <v>4</v>
      </c>
      <c r="X41" t="s">
        <v>45</v>
      </c>
      <c r="Y41">
        <v>0</v>
      </c>
      <c r="Z41">
        <v>0</v>
      </c>
      <c r="AB41">
        <v>1</v>
      </c>
      <c r="AC41" t="s">
        <v>46</v>
      </c>
      <c r="AE41">
        <v>1</v>
      </c>
      <c r="AF41">
        <v>0</v>
      </c>
      <c r="AG41" t="s">
        <v>75</v>
      </c>
      <c r="AH41" t="s">
        <v>76</v>
      </c>
      <c r="AI41" t="s">
        <v>64</v>
      </c>
      <c r="AJ41" s="1" t="s">
        <v>90</v>
      </c>
      <c r="AK41">
        <v>8.3333333333333301E-2</v>
      </c>
      <c r="AL41">
        <v>0</v>
      </c>
    </row>
    <row r="42" spans="1:38" x14ac:dyDescent="0.35">
      <c r="A42" t="s">
        <v>161</v>
      </c>
      <c r="B42" t="s">
        <v>52</v>
      </c>
      <c r="C42" t="s">
        <v>53</v>
      </c>
      <c r="D42">
        <v>3.3</v>
      </c>
      <c r="E42" t="s">
        <v>41</v>
      </c>
      <c r="F42">
        <v>30</v>
      </c>
      <c r="G42" t="s">
        <v>42</v>
      </c>
      <c r="H42" t="s">
        <v>94</v>
      </c>
      <c r="I42">
        <v>4</v>
      </c>
      <c r="J42">
        <v>2.1</v>
      </c>
      <c r="K42">
        <v>9</v>
      </c>
      <c r="L42">
        <v>1</v>
      </c>
      <c r="M42">
        <v>12</v>
      </c>
      <c r="N42">
        <v>0</v>
      </c>
      <c r="O42" t="s">
        <v>44</v>
      </c>
      <c r="P42">
        <v>70100</v>
      </c>
      <c r="Q42">
        <v>4.4000000000000004</v>
      </c>
      <c r="R42">
        <v>2.2999999999999998</v>
      </c>
      <c r="S42">
        <v>0.1</v>
      </c>
      <c r="T42">
        <v>0</v>
      </c>
      <c r="U42">
        <v>3</v>
      </c>
      <c r="V42">
        <v>3</v>
      </c>
      <c r="W42">
        <v>3.6</v>
      </c>
      <c r="X42" t="s">
        <v>45</v>
      </c>
      <c r="Y42">
        <v>0</v>
      </c>
      <c r="Z42">
        <v>0</v>
      </c>
      <c r="AB42">
        <v>2</v>
      </c>
      <c r="AC42" t="s">
        <v>46</v>
      </c>
      <c r="AE42">
        <v>1</v>
      </c>
      <c r="AF42">
        <v>0</v>
      </c>
      <c r="AG42" t="s">
        <v>75</v>
      </c>
      <c r="AH42" t="s">
        <v>76</v>
      </c>
      <c r="AI42" t="s">
        <v>64</v>
      </c>
      <c r="AJ42" s="1" t="s">
        <v>162</v>
      </c>
      <c r="AK42" s="1" t="s">
        <v>115</v>
      </c>
      <c r="AL42">
        <v>0</v>
      </c>
    </row>
    <row r="43" spans="1:38" x14ac:dyDescent="0.35">
      <c r="A43" t="s">
        <v>163</v>
      </c>
      <c r="B43" t="s">
        <v>60</v>
      </c>
      <c r="C43" t="s">
        <v>107</v>
      </c>
      <c r="D43">
        <v>2.1</v>
      </c>
      <c r="E43" t="s">
        <v>81</v>
      </c>
      <c r="F43">
        <v>35</v>
      </c>
      <c r="G43" t="s">
        <v>42</v>
      </c>
      <c r="H43" t="s">
        <v>55</v>
      </c>
      <c r="I43">
        <v>1</v>
      </c>
      <c r="J43">
        <v>13.8</v>
      </c>
      <c r="K43">
        <v>14</v>
      </c>
      <c r="L43">
        <v>5</v>
      </c>
      <c r="M43">
        <v>12</v>
      </c>
      <c r="N43">
        <v>0</v>
      </c>
      <c r="O43" t="s">
        <v>82</v>
      </c>
      <c r="P43">
        <v>31900</v>
      </c>
      <c r="Q43">
        <v>8.1</v>
      </c>
      <c r="R43">
        <v>3.9</v>
      </c>
      <c r="S43">
        <v>3.2</v>
      </c>
      <c r="T43">
        <v>0</v>
      </c>
      <c r="U43">
        <v>3.6</v>
      </c>
      <c r="V43">
        <v>3.7</v>
      </c>
      <c r="W43">
        <v>1.7</v>
      </c>
      <c r="X43" t="s">
        <v>45</v>
      </c>
      <c r="Y43">
        <v>0</v>
      </c>
      <c r="Z43">
        <v>0</v>
      </c>
      <c r="AB43">
        <v>0</v>
      </c>
      <c r="AC43" t="s">
        <v>46</v>
      </c>
      <c r="AE43">
        <v>1</v>
      </c>
      <c r="AF43">
        <v>0</v>
      </c>
      <c r="AG43" t="s">
        <v>75</v>
      </c>
      <c r="AH43" t="s">
        <v>48</v>
      </c>
      <c r="AI43" t="s">
        <v>49</v>
      </c>
      <c r="AJ43">
        <v>3</v>
      </c>
      <c r="AK43">
        <v>8.3333333333333301E-2</v>
      </c>
      <c r="AL43">
        <v>0</v>
      </c>
    </row>
    <row r="44" spans="1:38" x14ac:dyDescent="0.35">
      <c r="A44" t="s">
        <v>164</v>
      </c>
      <c r="B44" t="s">
        <v>39</v>
      </c>
      <c r="C44" t="s">
        <v>40</v>
      </c>
      <c r="D44">
        <v>0.8</v>
      </c>
      <c r="E44" t="s">
        <v>41</v>
      </c>
      <c r="F44">
        <v>21</v>
      </c>
      <c r="G44" t="s">
        <v>68</v>
      </c>
      <c r="H44" t="s">
        <v>69</v>
      </c>
      <c r="I44">
        <v>3</v>
      </c>
      <c r="J44">
        <v>14.8</v>
      </c>
      <c r="K44">
        <v>15</v>
      </c>
      <c r="L44">
        <v>3</v>
      </c>
      <c r="M44">
        <v>12</v>
      </c>
      <c r="N44">
        <v>0</v>
      </c>
      <c r="O44" t="s">
        <v>44</v>
      </c>
      <c r="P44">
        <v>64100</v>
      </c>
      <c r="Q44">
        <v>7.4</v>
      </c>
      <c r="R44">
        <v>4.5999999999999996</v>
      </c>
      <c r="S44">
        <v>0.5</v>
      </c>
      <c r="T44">
        <v>0</v>
      </c>
      <c r="U44">
        <v>2.4</v>
      </c>
      <c r="V44">
        <v>2.2999999999999998</v>
      </c>
      <c r="W44">
        <v>2.7</v>
      </c>
      <c r="X44" t="s">
        <v>89</v>
      </c>
      <c r="Y44">
        <v>0</v>
      </c>
      <c r="Z44">
        <v>1</v>
      </c>
      <c r="AA44">
        <v>0.6</v>
      </c>
      <c r="AB44">
        <v>0</v>
      </c>
      <c r="AC44" t="s">
        <v>46</v>
      </c>
      <c r="AE44">
        <v>0</v>
      </c>
      <c r="AF44">
        <v>0</v>
      </c>
      <c r="AG44" t="s">
        <v>47</v>
      </c>
      <c r="AH44" t="s">
        <v>95</v>
      </c>
      <c r="AI44" t="s">
        <v>49</v>
      </c>
      <c r="AJ44" s="1" t="s">
        <v>165</v>
      </c>
      <c r="AK44">
        <v>0.25</v>
      </c>
      <c r="AL44">
        <v>0</v>
      </c>
    </row>
    <row r="45" spans="1:38" x14ac:dyDescent="0.35">
      <c r="A45" t="s">
        <v>166</v>
      </c>
      <c r="B45" t="s">
        <v>98</v>
      </c>
      <c r="C45" t="s">
        <v>151</v>
      </c>
      <c r="D45">
        <v>6.9</v>
      </c>
      <c r="E45" t="s">
        <v>110</v>
      </c>
      <c r="F45">
        <v>33</v>
      </c>
      <c r="G45" t="s">
        <v>42</v>
      </c>
      <c r="H45" t="s">
        <v>94</v>
      </c>
      <c r="I45">
        <v>1</v>
      </c>
      <c r="J45">
        <v>28.8</v>
      </c>
      <c r="K45">
        <v>14</v>
      </c>
      <c r="L45">
        <v>1</v>
      </c>
      <c r="M45">
        <v>12</v>
      </c>
      <c r="N45">
        <v>0</v>
      </c>
      <c r="O45" t="s">
        <v>44</v>
      </c>
      <c r="P45">
        <v>59400</v>
      </c>
      <c r="Q45">
        <v>18.5</v>
      </c>
      <c r="R45">
        <v>5</v>
      </c>
      <c r="S45">
        <v>1.3</v>
      </c>
      <c r="T45">
        <v>0</v>
      </c>
      <c r="U45">
        <v>2.6</v>
      </c>
      <c r="V45">
        <v>4.5</v>
      </c>
      <c r="W45">
        <v>3</v>
      </c>
      <c r="X45" t="s">
        <v>45</v>
      </c>
      <c r="Y45">
        <v>0</v>
      </c>
      <c r="Z45">
        <v>1</v>
      </c>
      <c r="AA45">
        <v>0.4</v>
      </c>
      <c r="AB45">
        <v>0</v>
      </c>
      <c r="AC45" t="s">
        <v>46</v>
      </c>
      <c r="AE45">
        <v>0</v>
      </c>
      <c r="AF45">
        <v>0</v>
      </c>
      <c r="AG45" t="s">
        <v>47</v>
      </c>
      <c r="AH45" t="s">
        <v>83</v>
      </c>
      <c r="AI45" t="s">
        <v>57</v>
      </c>
      <c r="AJ45" s="1" t="s">
        <v>86</v>
      </c>
      <c r="AK45">
        <v>8.3333333333333301E-2</v>
      </c>
      <c r="AL45">
        <v>0</v>
      </c>
    </row>
    <row r="46" spans="1:38" x14ac:dyDescent="0.35">
      <c r="A46" t="s">
        <v>167</v>
      </c>
      <c r="B46" t="s">
        <v>60</v>
      </c>
      <c r="C46" t="s">
        <v>80</v>
      </c>
      <c r="D46">
        <v>2.6</v>
      </c>
      <c r="E46" t="s">
        <v>67</v>
      </c>
      <c r="F46">
        <v>30</v>
      </c>
      <c r="G46" t="s">
        <v>68</v>
      </c>
      <c r="H46" t="s">
        <v>43</v>
      </c>
      <c r="I46">
        <v>4</v>
      </c>
      <c r="J46">
        <v>14.3</v>
      </c>
      <c r="K46">
        <v>10</v>
      </c>
      <c r="L46">
        <v>4</v>
      </c>
      <c r="M46">
        <v>12</v>
      </c>
      <c r="N46">
        <v>0</v>
      </c>
      <c r="O46" t="s">
        <v>70</v>
      </c>
      <c r="P46">
        <v>39000</v>
      </c>
      <c r="Q46">
        <v>3.1</v>
      </c>
      <c r="R46">
        <v>3.6</v>
      </c>
      <c r="S46">
        <v>0.3</v>
      </c>
      <c r="T46">
        <v>0</v>
      </c>
      <c r="U46">
        <v>1.3</v>
      </c>
      <c r="V46">
        <v>3.7</v>
      </c>
      <c r="W46">
        <v>3.2</v>
      </c>
      <c r="X46" t="s">
        <v>45</v>
      </c>
      <c r="Y46">
        <v>0</v>
      </c>
      <c r="Z46">
        <v>0</v>
      </c>
      <c r="AB46">
        <v>0</v>
      </c>
      <c r="AC46" t="s">
        <v>46</v>
      </c>
      <c r="AE46">
        <v>1</v>
      </c>
      <c r="AF46">
        <v>0</v>
      </c>
      <c r="AG46" t="s">
        <v>75</v>
      </c>
      <c r="AH46" t="s">
        <v>48</v>
      </c>
      <c r="AI46" t="s">
        <v>49</v>
      </c>
      <c r="AJ46" s="1" t="s">
        <v>168</v>
      </c>
      <c r="AK46" s="1" t="s">
        <v>115</v>
      </c>
      <c r="AL46">
        <v>0</v>
      </c>
    </row>
    <row r="47" spans="1:38" x14ac:dyDescent="0.35">
      <c r="A47" t="s">
        <v>169</v>
      </c>
      <c r="B47" t="s">
        <v>39</v>
      </c>
      <c r="C47" t="s">
        <v>40</v>
      </c>
      <c r="D47">
        <v>1.1000000000000001</v>
      </c>
      <c r="E47" t="s">
        <v>81</v>
      </c>
      <c r="F47">
        <v>23</v>
      </c>
      <c r="G47" t="s">
        <v>42</v>
      </c>
      <c r="H47" t="s">
        <v>55</v>
      </c>
      <c r="I47">
        <v>1</v>
      </c>
      <c r="J47">
        <v>32.799999999999997</v>
      </c>
      <c r="K47">
        <v>10</v>
      </c>
      <c r="L47">
        <v>0</v>
      </c>
      <c r="M47">
        <v>12</v>
      </c>
      <c r="N47">
        <v>0</v>
      </c>
      <c r="O47" t="s">
        <v>82</v>
      </c>
      <c r="P47">
        <v>27600</v>
      </c>
      <c r="Q47">
        <v>0</v>
      </c>
      <c r="R47">
        <v>1.5</v>
      </c>
      <c r="S47">
        <v>2.2000000000000002</v>
      </c>
      <c r="T47">
        <v>0</v>
      </c>
      <c r="U47">
        <v>2.9</v>
      </c>
      <c r="V47">
        <v>1</v>
      </c>
      <c r="W47">
        <v>4.4000000000000004</v>
      </c>
      <c r="X47" t="s">
        <v>45</v>
      </c>
      <c r="Y47">
        <v>0</v>
      </c>
      <c r="Z47">
        <v>2</v>
      </c>
      <c r="AA47">
        <v>0.3</v>
      </c>
      <c r="AB47">
        <v>0</v>
      </c>
      <c r="AC47" t="s">
        <v>124</v>
      </c>
      <c r="AD47" s="2">
        <v>46291</v>
      </c>
      <c r="AE47">
        <v>0</v>
      </c>
      <c r="AF47">
        <v>0</v>
      </c>
      <c r="AG47" t="s">
        <v>47</v>
      </c>
      <c r="AH47" t="s">
        <v>48</v>
      </c>
      <c r="AI47" t="s">
        <v>57</v>
      </c>
      <c r="AJ47" s="1" t="s">
        <v>170</v>
      </c>
      <c r="AK47">
        <v>8.3333333333333301E-2</v>
      </c>
      <c r="AL47">
        <v>1</v>
      </c>
    </row>
    <row r="48" spans="1:38" x14ac:dyDescent="0.35">
      <c r="A48" t="s">
        <v>171</v>
      </c>
      <c r="B48" t="s">
        <v>98</v>
      </c>
      <c r="C48" t="s">
        <v>99</v>
      </c>
      <c r="D48">
        <v>2.1</v>
      </c>
      <c r="E48" t="s">
        <v>41</v>
      </c>
      <c r="F48">
        <v>29</v>
      </c>
      <c r="G48" t="s">
        <v>68</v>
      </c>
      <c r="H48" t="s">
        <v>94</v>
      </c>
      <c r="I48">
        <v>2</v>
      </c>
      <c r="J48">
        <v>5.7</v>
      </c>
      <c r="K48">
        <v>11</v>
      </c>
      <c r="L48">
        <v>4</v>
      </c>
      <c r="M48">
        <v>12</v>
      </c>
      <c r="N48">
        <v>0</v>
      </c>
      <c r="O48" t="s">
        <v>44</v>
      </c>
      <c r="P48">
        <v>66900</v>
      </c>
      <c r="Q48">
        <v>5.4</v>
      </c>
      <c r="R48">
        <v>3.6</v>
      </c>
      <c r="S48">
        <v>1.3</v>
      </c>
      <c r="T48">
        <v>0</v>
      </c>
      <c r="U48">
        <v>4.3</v>
      </c>
      <c r="V48">
        <v>3.3</v>
      </c>
      <c r="W48">
        <v>5</v>
      </c>
      <c r="X48" t="s">
        <v>45</v>
      </c>
      <c r="Y48">
        <v>0</v>
      </c>
      <c r="Z48">
        <v>1</v>
      </c>
      <c r="AA48">
        <v>1</v>
      </c>
      <c r="AB48">
        <v>0</v>
      </c>
      <c r="AC48" t="s">
        <v>46</v>
      </c>
      <c r="AE48">
        <v>0</v>
      </c>
      <c r="AF48">
        <v>0</v>
      </c>
      <c r="AG48" t="s">
        <v>47</v>
      </c>
      <c r="AH48" t="s">
        <v>48</v>
      </c>
      <c r="AI48" t="s">
        <v>64</v>
      </c>
      <c r="AJ48">
        <v>4.2</v>
      </c>
      <c r="AK48" s="1" t="s">
        <v>84</v>
      </c>
      <c r="AL48">
        <v>0</v>
      </c>
    </row>
    <row r="49" spans="1:38" x14ac:dyDescent="0.35">
      <c r="A49" t="s">
        <v>172</v>
      </c>
      <c r="B49" t="s">
        <v>98</v>
      </c>
      <c r="C49" t="s">
        <v>99</v>
      </c>
      <c r="D49">
        <v>5.0999999999999996</v>
      </c>
      <c r="E49" t="s">
        <v>81</v>
      </c>
      <c r="F49">
        <v>27</v>
      </c>
      <c r="G49" t="s">
        <v>42</v>
      </c>
      <c r="H49" t="s">
        <v>43</v>
      </c>
      <c r="I49">
        <v>0</v>
      </c>
      <c r="J49">
        <v>29.9</v>
      </c>
      <c r="K49">
        <v>12</v>
      </c>
      <c r="L49">
        <v>2</v>
      </c>
      <c r="M49">
        <v>12</v>
      </c>
      <c r="N49">
        <v>0</v>
      </c>
      <c r="O49" t="s">
        <v>82</v>
      </c>
      <c r="P49">
        <v>28100</v>
      </c>
      <c r="Q49">
        <v>1.1000000000000001</v>
      </c>
      <c r="R49">
        <v>3.9</v>
      </c>
      <c r="S49">
        <v>1.7</v>
      </c>
      <c r="T49">
        <v>0</v>
      </c>
      <c r="U49">
        <v>3.2</v>
      </c>
      <c r="V49">
        <v>4.0999999999999996</v>
      </c>
      <c r="W49">
        <v>1.4</v>
      </c>
      <c r="X49" t="s">
        <v>45</v>
      </c>
      <c r="Y49">
        <v>0</v>
      </c>
      <c r="Z49">
        <v>1</v>
      </c>
      <c r="AA49">
        <v>5</v>
      </c>
      <c r="AB49">
        <v>0</v>
      </c>
      <c r="AC49" t="s">
        <v>46</v>
      </c>
      <c r="AE49">
        <v>0</v>
      </c>
      <c r="AF49">
        <v>0</v>
      </c>
      <c r="AG49" t="s">
        <v>47</v>
      </c>
      <c r="AH49" t="s">
        <v>83</v>
      </c>
      <c r="AI49" t="s">
        <v>57</v>
      </c>
      <c r="AJ49">
        <v>2.9</v>
      </c>
      <c r="AK49">
        <v>0</v>
      </c>
      <c r="AL49">
        <v>0</v>
      </c>
    </row>
    <row r="50" spans="1:38" x14ac:dyDescent="0.35">
      <c r="A50" t="s">
        <v>173</v>
      </c>
      <c r="B50" t="s">
        <v>39</v>
      </c>
      <c r="C50" t="s">
        <v>40</v>
      </c>
      <c r="D50">
        <v>4.4000000000000004</v>
      </c>
      <c r="E50" t="s">
        <v>81</v>
      </c>
      <c r="F50">
        <v>33</v>
      </c>
      <c r="G50" t="s">
        <v>68</v>
      </c>
      <c r="H50" t="s">
        <v>55</v>
      </c>
      <c r="I50">
        <v>3</v>
      </c>
      <c r="J50">
        <v>14.6</v>
      </c>
      <c r="K50">
        <v>8</v>
      </c>
      <c r="L50">
        <v>2</v>
      </c>
      <c r="M50">
        <v>12</v>
      </c>
      <c r="N50">
        <v>0</v>
      </c>
      <c r="O50" t="s">
        <v>82</v>
      </c>
      <c r="P50">
        <v>29100</v>
      </c>
      <c r="Q50">
        <v>5.0999999999999996</v>
      </c>
      <c r="R50">
        <v>3</v>
      </c>
      <c r="S50">
        <v>0.3</v>
      </c>
      <c r="T50">
        <v>0</v>
      </c>
      <c r="U50">
        <v>3.2</v>
      </c>
      <c r="V50">
        <v>3.5</v>
      </c>
      <c r="W50">
        <v>3.6</v>
      </c>
      <c r="X50" t="s">
        <v>45</v>
      </c>
      <c r="Y50">
        <v>0</v>
      </c>
      <c r="Z50">
        <v>0</v>
      </c>
      <c r="AB50">
        <v>0</v>
      </c>
      <c r="AC50" t="s">
        <v>46</v>
      </c>
      <c r="AE50">
        <v>1</v>
      </c>
      <c r="AF50">
        <v>0</v>
      </c>
      <c r="AG50" t="s">
        <v>75</v>
      </c>
      <c r="AH50" t="s">
        <v>76</v>
      </c>
      <c r="AI50" t="s">
        <v>49</v>
      </c>
      <c r="AJ50" s="1" t="s">
        <v>174</v>
      </c>
      <c r="AK50">
        <v>0.25</v>
      </c>
      <c r="AL50">
        <v>0</v>
      </c>
    </row>
    <row r="51" spans="1:38" x14ac:dyDescent="0.35">
      <c r="A51" t="s">
        <v>175</v>
      </c>
      <c r="B51" t="s">
        <v>73</v>
      </c>
      <c r="C51" t="s">
        <v>121</v>
      </c>
      <c r="D51">
        <v>1.5</v>
      </c>
      <c r="E51" t="s">
        <v>110</v>
      </c>
      <c r="F51">
        <v>32</v>
      </c>
      <c r="G51" t="s">
        <v>42</v>
      </c>
      <c r="H51" t="s">
        <v>43</v>
      </c>
      <c r="I51">
        <v>3</v>
      </c>
      <c r="J51">
        <v>13.3</v>
      </c>
      <c r="K51">
        <v>9</v>
      </c>
      <c r="L51">
        <v>1</v>
      </c>
      <c r="M51">
        <v>12</v>
      </c>
      <c r="N51">
        <v>0</v>
      </c>
      <c r="O51" t="s">
        <v>44</v>
      </c>
      <c r="P51">
        <v>50200</v>
      </c>
      <c r="Q51">
        <v>2.8</v>
      </c>
      <c r="R51">
        <v>3.4</v>
      </c>
      <c r="S51">
        <v>1.8</v>
      </c>
      <c r="T51">
        <v>0</v>
      </c>
      <c r="U51">
        <v>3.6</v>
      </c>
      <c r="V51">
        <v>2.8</v>
      </c>
      <c r="W51">
        <v>3.5</v>
      </c>
      <c r="X51" t="s">
        <v>45</v>
      </c>
      <c r="Y51">
        <v>0</v>
      </c>
      <c r="Z51">
        <v>0</v>
      </c>
      <c r="AB51">
        <v>2</v>
      </c>
      <c r="AC51" t="s">
        <v>46</v>
      </c>
      <c r="AE51">
        <v>1</v>
      </c>
      <c r="AF51">
        <v>0</v>
      </c>
      <c r="AG51" t="s">
        <v>75</v>
      </c>
      <c r="AH51" t="s">
        <v>48</v>
      </c>
      <c r="AI51" t="s">
        <v>49</v>
      </c>
      <c r="AJ51" s="1" t="s">
        <v>71</v>
      </c>
      <c r="AK51">
        <v>0.25</v>
      </c>
      <c r="AL51">
        <v>0</v>
      </c>
    </row>
    <row r="52" spans="1:38" x14ac:dyDescent="0.35">
      <c r="A52" t="s">
        <v>176</v>
      </c>
      <c r="B52" t="s">
        <v>73</v>
      </c>
      <c r="C52" t="s">
        <v>177</v>
      </c>
      <c r="D52">
        <v>7.8</v>
      </c>
      <c r="E52" t="s">
        <v>67</v>
      </c>
      <c r="F52">
        <v>35</v>
      </c>
      <c r="G52" t="s">
        <v>42</v>
      </c>
      <c r="H52" t="s">
        <v>43</v>
      </c>
      <c r="I52">
        <v>3</v>
      </c>
      <c r="J52">
        <v>8.6999999999999993</v>
      </c>
      <c r="K52">
        <v>9</v>
      </c>
      <c r="L52">
        <v>3</v>
      </c>
      <c r="M52">
        <v>12</v>
      </c>
      <c r="N52">
        <v>0</v>
      </c>
      <c r="O52" t="s">
        <v>70</v>
      </c>
      <c r="P52">
        <v>44900</v>
      </c>
      <c r="Q52">
        <v>4.4000000000000004</v>
      </c>
      <c r="R52">
        <v>2.8</v>
      </c>
      <c r="S52">
        <v>0.1</v>
      </c>
      <c r="T52">
        <v>0</v>
      </c>
      <c r="U52">
        <v>2.4</v>
      </c>
      <c r="V52">
        <v>3.1</v>
      </c>
      <c r="W52">
        <v>3.3</v>
      </c>
      <c r="X52" t="s">
        <v>45</v>
      </c>
      <c r="Y52">
        <v>0</v>
      </c>
      <c r="Z52">
        <v>0</v>
      </c>
      <c r="AB52">
        <v>0</v>
      </c>
      <c r="AC52" t="s">
        <v>46</v>
      </c>
      <c r="AE52">
        <v>1</v>
      </c>
      <c r="AF52">
        <v>0</v>
      </c>
      <c r="AG52" t="s">
        <v>75</v>
      </c>
      <c r="AH52" t="s">
        <v>83</v>
      </c>
      <c r="AI52" t="s">
        <v>64</v>
      </c>
      <c r="AJ52" s="1" t="s">
        <v>141</v>
      </c>
      <c r="AK52">
        <v>0.25</v>
      </c>
      <c r="AL52">
        <v>0</v>
      </c>
    </row>
    <row r="53" spans="1:38" x14ac:dyDescent="0.35">
      <c r="A53" t="s">
        <v>178</v>
      </c>
      <c r="B53" t="s">
        <v>73</v>
      </c>
      <c r="C53" t="s">
        <v>113</v>
      </c>
      <c r="D53">
        <v>1</v>
      </c>
      <c r="E53" t="s">
        <v>67</v>
      </c>
      <c r="F53">
        <v>21</v>
      </c>
      <c r="G53" t="s">
        <v>42</v>
      </c>
      <c r="H53" t="s">
        <v>69</v>
      </c>
      <c r="I53">
        <v>2</v>
      </c>
      <c r="J53">
        <v>7.3</v>
      </c>
      <c r="K53">
        <v>6</v>
      </c>
      <c r="L53">
        <v>2</v>
      </c>
      <c r="M53">
        <v>12</v>
      </c>
      <c r="N53">
        <v>0</v>
      </c>
      <c r="O53" t="s">
        <v>70</v>
      </c>
      <c r="P53">
        <v>35600</v>
      </c>
      <c r="Q53">
        <v>3.7</v>
      </c>
      <c r="R53">
        <v>3.1</v>
      </c>
      <c r="S53">
        <v>0.6</v>
      </c>
      <c r="T53">
        <v>0</v>
      </c>
      <c r="U53">
        <v>3.3</v>
      </c>
      <c r="V53">
        <v>3.4</v>
      </c>
      <c r="W53">
        <v>3.8</v>
      </c>
      <c r="X53" t="s">
        <v>45</v>
      </c>
      <c r="Y53">
        <v>0</v>
      </c>
      <c r="Z53">
        <v>0</v>
      </c>
      <c r="AB53">
        <v>0</v>
      </c>
      <c r="AC53" t="s">
        <v>46</v>
      </c>
      <c r="AE53">
        <v>1</v>
      </c>
      <c r="AF53">
        <v>0</v>
      </c>
      <c r="AG53" t="s">
        <v>75</v>
      </c>
      <c r="AH53" t="s">
        <v>95</v>
      </c>
      <c r="AI53" t="s">
        <v>64</v>
      </c>
      <c r="AJ53">
        <v>3.5</v>
      </c>
      <c r="AK53" s="1" t="s">
        <v>84</v>
      </c>
      <c r="AL53">
        <v>0</v>
      </c>
    </row>
    <row r="54" spans="1:38" x14ac:dyDescent="0.35">
      <c r="A54" t="s">
        <v>179</v>
      </c>
      <c r="B54" t="s">
        <v>39</v>
      </c>
      <c r="C54" t="s">
        <v>66</v>
      </c>
      <c r="D54">
        <v>8.8000000000000007</v>
      </c>
      <c r="E54" t="s">
        <v>67</v>
      </c>
      <c r="F54">
        <v>31</v>
      </c>
      <c r="G54" t="s">
        <v>68</v>
      </c>
      <c r="H54" t="s">
        <v>55</v>
      </c>
      <c r="I54">
        <v>3</v>
      </c>
      <c r="J54">
        <v>6.1</v>
      </c>
      <c r="K54">
        <v>5</v>
      </c>
      <c r="L54">
        <v>0</v>
      </c>
      <c r="M54">
        <v>12</v>
      </c>
      <c r="N54">
        <v>0</v>
      </c>
      <c r="O54" t="s">
        <v>70</v>
      </c>
      <c r="P54">
        <v>49800</v>
      </c>
      <c r="Q54">
        <v>11.9</v>
      </c>
      <c r="R54">
        <v>4.0999999999999996</v>
      </c>
      <c r="S54">
        <v>0.3</v>
      </c>
      <c r="T54">
        <v>0</v>
      </c>
      <c r="U54">
        <v>4.0999999999999996</v>
      </c>
      <c r="V54">
        <v>3.9</v>
      </c>
      <c r="W54">
        <v>3.5</v>
      </c>
      <c r="X54" t="s">
        <v>45</v>
      </c>
      <c r="Y54">
        <v>0</v>
      </c>
      <c r="Z54">
        <v>1</v>
      </c>
      <c r="AA54">
        <v>4.5999999999999996</v>
      </c>
      <c r="AB54">
        <v>0</v>
      </c>
      <c r="AC54" t="s">
        <v>46</v>
      </c>
      <c r="AE54">
        <v>0</v>
      </c>
      <c r="AF54">
        <v>0</v>
      </c>
      <c r="AG54" t="s">
        <v>47</v>
      </c>
      <c r="AH54" t="s">
        <v>83</v>
      </c>
      <c r="AI54" t="s">
        <v>64</v>
      </c>
      <c r="AJ54" s="1" t="s">
        <v>180</v>
      </c>
      <c r="AK54">
        <v>0.25</v>
      </c>
      <c r="AL54">
        <v>0</v>
      </c>
    </row>
    <row r="55" spans="1:38" x14ac:dyDescent="0.35">
      <c r="A55" t="s">
        <v>181</v>
      </c>
      <c r="B55" t="s">
        <v>39</v>
      </c>
      <c r="C55" t="s">
        <v>40</v>
      </c>
      <c r="D55">
        <v>4.3</v>
      </c>
      <c r="E55" t="s">
        <v>41</v>
      </c>
      <c r="F55">
        <v>33</v>
      </c>
      <c r="G55" t="s">
        <v>42</v>
      </c>
      <c r="H55" t="s">
        <v>43</v>
      </c>
      <c r="I55">
        <v>2</v>
      </c>
      <c r="J55">
        <v>30.5</v>
      </c>
      <c r="K55">
        <v>3</v>
      </c>
      <c r="L55">
        <v>0</v>
      </c>
      <c r="M55">
        <v>12</v>
      </c>
      <c r="N55">
        <v>0</v>
      </c>
      <c r="O55" t="s">
        <v>44</v>
      </c>
      <c r="P55">
        <v>67400</v>
      </c>
      <c r="Q55">
        <v>7.8</v>
      </c>
      <c r="R55">
        <v>4.5</v>
      </c>
      <c r="S55">
        <v>1.3</v>
      </c>
      <c r="T55">
        <v>0</v>
      </c>
      <c r="U55">
        <v>3.6</v>
      </c>
      <c r="V55">
        <v>1.9</v>
      </c>
      <c r="W55">
        <v>3.1</v>
      </c>
      <c r="X55" t="s">
        <v>45</v>
      </c>
      <c r="Y55">
        <v>0</v>
      </c>
      <c r="Z55">
        <v>0</v>
      </c>
      <c r="AB55">
        <v>1</v>
      </c>
      <c r="AC55" t="s">
        <v>46</v>
      </c>
      <c r="AE55">
        <v>1</v>
      </c>
      <c r="AF55">
        <v>0</v>
      </c>
      <c r="AG55" t="s">
        <v>75</v>
      </c>
      <c r="AH55" t="s">
        <v>76</v>
      </c>
      <c r="AI55" t="s">
        <v>57</v>
      </c>
      <c r="AJ55" s="1" t="s">
        <v>182</v>
      </c>
      <c r="AK55" s="1" t="s">
        <v>84</v>
      </c>
      <c r="AL55">
        <v>0</v>
      </c>
    </row>
    <row r="56" spans="1:38" x14ac:dyDescent="0.35">
      <c r="A56" t="s">
        <v>183</v>
      </c>
      <c r="B56" t="s">
        <v>39</v>
      </c>
      <c r="C56" t="s">
        <v>40</v>
      </c>
      <c r="D56">
        <v>2.8</v>
      </c>
      <c r="E56" t="s">
        <v>67</v>
      </c>
      <c r="F56">
        <v>29</v>
      </c>
      <c r="G56" t="s">
        <v>42</v>
      </c>
      <c r="H56" t="s">
        <v>94</v>
      </c>
      <c r="I56">
        <v>3</v>
      </c>
      <c r="J56">
        <v>8.5</v>
      </c>
      <c r="K56">
        <v>12</v>
      </c>
      <c r="L56">
        <v>1</v>
      </c>
      <c r="M56">
        <v>12</v>
      </c>
      <c r="N56">
        <v>0</v>
      </c>
      <c r="O56" t="s">
        <v>70</v>
      </c>
      <c r="P56">
        <v>42700</v>
      </c>
      <c r="Q56">
        <v>12.3</v>
      </c>
      <c r="R56">
        <v>2.1</v>
      </c>
      <c r="S56">
        <v>3.4</v>
      </c>
      <c r="T56">
        <v>0</v>
      </c>
      <c r="U56">
        <v>3.3</v>
      </c>
      <c r="V56">
        <v>2.7</v>
      </c>
      <c r="W56">
        <v>3.4</v>
      </c>
      <c r="X56" t="s">
        <v>45</v>
      </c>
      <c r="Y56">
        <v>1</v>
      </c>
      <c r="Z56">
        <v>0</v>
      </c>
      <c r="AB56">
        <v>0</v>
      </c>
      <c r="AC56" t="s">
        <v>46</v>
      </c>
      <c r="AE56">
        <v>1</v>
      </c>
      <c r="AF56">
        <v>0</v>
      </c>
      <c r="AG56" t="s">
        <v>75</v>
      </c>
      <c r="AH56" t="s">
        <v>48</v>
      </c>
      <c r="AI56" t="s">
        <v>64</v>
      </c>
      <c r="AJ56" s="1" t="s">
        <v>50</v>
      </c>
      <c r="AK56">
        <v>0.25</v>
      </c>
      <c r="AL56">
        <v>0</v>
      </c>
    </row>
    <row r="57" spans="1:38" x14ac:dyDescent="0.35">
      <c r="A57" t="s">
        <v>184</v>
      </c>
      <c r="B57" t="s">
        <v>39</v>
      </c>
      <c r="C57" t="s">
        <v>66</v>
      </c>
      <c r="D57">
        <v>3.1</v>
      </c>
      <c r="E57" t="s">
        <v>81</v>
      </c>
      <c r="F57">
        <v>21</v>
      </c>
      <c r="G57" t="s">
        <v>68</v>
      </c>
      <c r="H57" t="s">
        <v>55</v>
      </c>
      <c r="I57">
        <v>7</v>
      </c>
      <c r="J57">
        <v>14.8</v>
      </c>
      <c r="K57">
        <v>15</v>
      </c>
      <c r="L57">
        <v>2</v>
      </c>
      <c r="M57">
        <v>12</v>
      </c>
      <c r="N57">
        <v>0</v>
      </c>
      <c r="O57" t="s">
        <v>82</v>
      </c>
      <c r="P57">
        <v>31800</v>
      </c>
      <c r="Q57">
        <v>8.1999999999999993</v>
      </c>
      <c r="R57">
        <v>2.7</v>
      </c>
      <c r="S57">
        <v>2</v>
      </c>
      <c r="T57">
        <v>0</v>
      </c>
      <c r="U57">
        <v>4.4000000000000004</v>
      </c>
      <c r="V57">
        <v>4.7</v>
      </c>
      <c r="W57">
        <v>3.8</v>
      </c>
      <c r="X57" t="s">
        <v>45</v>
      </c>
      <c r="Y57">
        <v>0</v>
      </c>
      <c r="Z57">
        <v>0</v>
      </c>
      <c r="AB57">
        <v>1</v>
      </c>
      <c r="AC57" t="s">
        <v>46</v>
      </c>
      <c r="AE57">
        <v>1</v>
      </c>
      <c r="AF57">
        <v>0</v>
      </c>
      <c r="AG57" t="s">
        <v>75</v>
      </c>
      <c r="AH57" t="s">
        <v>76</v>
      </c>
      <c r="AI57" t="s">
        <v>49</v>
      </c>
      <c r="AJ57" s="1" t="s">
        <v>185</v>
      </c>
      <c r="AK57" s="1" t="s">
        <v>105</v>
      </c>
      <c r="AL57">
        <v>0</v>
      </c>
    </row>
    <row r="58" spans="1:38" x14ac:dyDescent="0.35">
      <c r="A58" t="s">
        <v>186</v>
      </c>
      <c r="B58" t="s">
        <v>52</v>
      </c>
      <c r="C58" t="s">
        <v>153</v>
      </c>
      <c r="D58">
        <v>4</v>
      </c>
      <c r="E58" t="s">
        <v>67</v>
      </c>
      <c r="F58">
        <v>35</v>
      </c>
      <c r="G58" t="s">
        <v>42</v>
      </c>
      <c r="H58" t="s">
        <v>43</v>
      </c>
      <c r="I58">
        <v>3</v>
      </c>
      <c r="J58">
        <v>17.2</v>
      </c>
      <c r="K58">
        <v>10</v>
      </c>
      <c r="L58">
        <v>1</v>
      </c>
      <c r="M58">
        <v>12</v>
      </c>
      <c r="N58">
        <v>0</v>
      </c>
      <c r="O58" t="s">
        <v>70</v>
      </c>
      <c r="P58">
        <v>39900</v>
      </c>
      <c r="Q58">
        <v>11.7</v>
      </c>
      <c r="R58">
        <v>1.8</v>
      </c>
      <c r="S58">
        <v>4</v>
      </c>
      <c r="T58">
        <v>0</v>
      </c>
      <c r="U58">
        <v>3.9</v>
      </c>
      <c r="V58">
        <v>3.2</v>
      </c>
      <c r="W58">
        <v>3.8</v>
      </c>
      <c r="X58" t="s">
        <v>45</v>
      </c>
      <c r="Y58">
        <v>0</v>
      </c>
      <c r="Z58">
        <v>2</v>
      </c>
      <c r="AA58">
        <v>3.2</v>
      </c>
      <c r="AB58">
        <v>1</v>
      </c>
      <c r="AC58" t="s">
        <v>46</v>
      </c>
      <c r="AE58">
        <v>0</v>
      </c>
      <c r="AF58">
        <v>0</v>
      </c>
      <c r="AG58" t="s">
        <v>47</v>
      </c>
      <c r="AH58" t="s">
        <v>76</v>
      </c>
      <c r="AI58" t="s">
        <v>49</v>
      </c>
      <c r="AJ58" s="1" t="s">
        <v>187</v>
      </c>
      <c r="AK58">
        <v>0.25</v>
      </c>
      <c r="AL58">
        <v>0</v>
      </c>
    </row>
    <row r="59" spans="1:38" x14ac:dyDescent="0.35">
      <c r="A59" t="s">
        <v>188</v>
      </c>
      <c r="B59" t="s">
        <v>117</v>
      </c>
      <c r="C59" t="s">
        <v>189</v>
      </c>
      <c r="D59">
        <v>5.4</v>
      </c>
      <c r="E59" t="s">
        <v>81</v>
      </c>
      <c r="F59">
        <v>32</v>
      </c>
      <c r="G59" t="s">
        <v>68</v>
      </c>
      <c r="H59" t="s">
        <v>69</v>
      </c>
      <c r="I59">
        <v>5</v>
      </c>
      <c r="J59">
        <v>17.100000000000001</v>
      </c>
      <c r="K59">
        <v>11</v>
      </c>
      <c r="L59">
        <v>2</v>
      </c>
      <c r="M59">
        <v>12</v>
      </c>
      <c r="N59">
        <v>0</v>
      </c>
      <c r="O59" t="s">
        <v>82</v>
      </c>
      <c r="P59">
        <v>29700</v>
      </c>
      <c r="Q59">
        <v>6.8</v>
      </c>
      <c r="R59">
        <v>4.9000000000000004</v>
      </c>
      <c r="S59">
        <v>1.3</v>
      </c>
      <c r="T59">
        <v>0</v>
      </c>
      <c r="U59">
        <v>2.7</v>
      </c>
      <c r="V59">
        <v>4.5999999999999996</v>
      </c>
      <c r="W59">
        <v>3.6</v>
      </c>
      <c r="X59" t="s">
        <v>45</v>
      </c>
      <c r="Y59">
        <v>0</v>
      </c>
      <c r="Z59">
        <v>0</v>
      </c>
      <c r="AB59">
        <v>0</v>
      </c>
      <c r="AC59" t="s">
        <v>46</v>
      </c>
      <c r="AE59">
        <v>1</v>
      </c>
      <c r="AF59">
        <v>0</v>
      </c>
      <c r="AG59" t="s">
        <v>75</v>
      </c>
      <c r="AH59" t="s">
        <v>83</v>
      </c>
      <c r="AI59" t="s">
        <v>49</v>
      </c>
      <c r="AJ59" s="1" t="s">
        <v>190</v>
      </c>
      <c r="AK59" s="1" t="s">
        <v>127</v>
      </c>
      <c r="AL59">
        <v>0</v>
      </c>
    </row>
    <row r="60" spans="1:38" x14ac:dyDescent="0.35">
      <c r="A60" t="s">
        <v>191</v>
      </c>
      <c r="B60" t="s">
        <v>73</v>
      </c>
      <c r="C60" t="s">
        <v>113</v>
      </c>
      <c r="D60">
        <v>0.7</v>
      </c>
      <c r="E60" t="s">
        <v>67</v>
      </c>
      <c r="F60">
        <v>23</v>
      </c>
      <c r="G60" t="s">
        <v>42</v>
      </c>
      <c r="H60" t="s">
        <v>94</v>
      </c>
      <c r="I60">
        <v>3</v>
      </c>
      <c r="J60">
        <v>11.7</v>
      </c>
      <c r="K60">
        <v>6</v>
      </c>
      <c r="L60">
        <v>5</v>
      </c>
      <c r="M60">
        <v>12</v>
      </c>
      <c r="N60">
        <v>0</v>
      </c>
      <c r="O60" t="s">
        <v>82</v>
      </c>
      <c r="P60">
        <v>34700</v>
      </c>
      <c r="Q60">
        <v>14.4</v>
      </c>
      <c r="R60">
        <v>4</v>
      </c>
      <c r="S60">
        <v>2.2999999999999998</v>
      </c>
      <c r="T60">
        <v>0</v>
      </c>
      <c r="U60">
        <v>3</v>
      </c>
      <c r="V60">
        <v>5</v>
      </c>
      <c r="W60">
        <v>2.9</v>
      </c>
      <c r="X60" t="s">
        <v>45</v>
      </c>
      <c r="Y60">
        <v>0</v>
      </c>
      <c r="Z60">
        <v>0</v>
      </c>
      <c r="AB60">
        <v>1</v>
      </c>
      <c r="AC60" t="s">
        <v>46</v>
      </c>
      <c r="AE60">
        <v>1</v>
      </c>
      <c r="AF60">
        <v>0</v>
      </c>
      <c r="AG60" t="s">
        <v>75</v>
      </c>
      <c r="AH60" t="s">
        <v>95</v>
      </c>
      <c r="AI60" t="s">
        <v>49</v>
      </c>
      <c r="AJ60" s="1" t="s">
        <v>190</v>
      </c>
      <c r="AK60">
        <v>0.25</v>
      </c>
      <c r="AL60">
        <v>0</v>
      </c>
    </row>
    <row r="61" spans="1:38" x14ac:dyDescent="0.35">
      <c r="A61" t="s">
        <v>192</v>
      </c>
      <c r="B61" t="s">
        <v>73</v>
      </c>
      <c r="C61" t="s">
        <v>113</v>
      </c>
      <c r="D61">
        <v>2</v>
      </c>
      <c r="E61" t="s">
        <v>81</v>
      </c>
      <c r="F61">
        <v>32</v>
      </c>
      <c r="G61" t="s">
        <v>42</v>
      </c>
      <c r="H61" t="s">
        <v>69</v>
      </c>
      <c r="I61">
        <v>3</v>
      </c>
      <c r="J61">
        <v>29.5</v>
      </c>
      <c r="K61">
        <v>13</v>
      </c>
      <c r="L61">
        <v>4</v>
      </c>
      <c r="M61">
        <v>12</v>
      </c>
      <c r="N61">
        <v>0</v>
      </c>
      <c r="O61" t="s">
        <v>82</v>
      </c>
      <c r="P61">
        <v>26300</v>
      </c>
      <c r="Q61">
        <v>9.9</v>
      </c>
      <c r="R61">
        <v>1.4</v>
      </c>
      <c r="S61">
        <v>2.9</v>
      </c>
      <c r="T61">
        <v>0</v>
      </c>
      <c r="U61">
        <v>5</v>
      </c>
      <c r="V61">
        <v>2.8</v>
      </c>
      <c r="W61">
        <v>5</v>
      </c>
      <c r="X61" t="s">
        <v>45</v>
      </c>
      <c r="Y61">
        <v>0</v>
      </c>
      <c r="Z61">
        <v>1</v>
      </c>
      <c r="AA61">
        <v>2</v>
      </c>
      <c r="AB61">
        <v>0</v>
      </c>
      <c r="AC61" t="s">
        <v>46</v>
      </c>
      <c r="AE61">
        <v>0</v>
      </c>
      <c r="AF61">
        <v>0</v>
      </c>
      <c r="AG61" t="s">
        <v>47</v>
      </c>
      <c r="AH61" t="s">
        <v>48</v>
      </c>
      <c r="AI61" t="s">
        <v>57</v>
      </c>
      <c r="AJ61" s="1" t="s">
        <v>193</v>
      </c>
      <c r="AK61">
        <v>0.25</v>
      </c>
      <c r="AL61">
        <v>0</v>
      </c>
    </row>
    <row r="62" spans="1:38" x14ac:dyDescent="0.35">
      <c r="A62" t="s">
        <v>194</v>
      </c>
      <c r="B62" t="s">
        <v>39</v>
      </c>
      <c r="C62" t="s">
        <v>40</v>
      </c>
      <c r="D62">
        <v>3.9</v>
      </c>
      <c r="E62" t="s">
        <v>81</v>
      </c>
      <c r="F62">
        <v>27</v>
      </c>
      <c r="G62" t="s">
        <v>42</v>
      </c>
      <c r="H62" t="s">
        <v>94</v>
      </c>
      <c r="I62">
        <v>4</v>
      </c>
      <c r="J62">
        <v>14</v>
      </c>
      <c r="K62">
        <v>4</v>
      </c>
      <c r="L62">
        <v>2</v>
      </c>
      <c r="M62">
        <v>12</v>
      </c>
      <c r="N62">
        <v>0</v>
      </c>
      <c r="O62" t="s">
        <v>82</v>
      </c>
      <c r="P62">
        <v>29600</v>
      </c>
      <c r="Q62">
        <v>4.9000000000000004</v>
      </c>
      <c r="R62">
        <v>3.1</v>
      </c>
      <c r="S62">
        <v>2.9</v>
      </c>
      <c r="T62">
        <v>0</v>
      </c>
      <c r="U62">
        <v>3.6</v>
      </c>
      <c r="V62">
        <v>2.1</v>
      </c>
      <c r="W62">
        <v>3.7</v>
      </c>
      <c r="X62" t="s">
        <v>45</v>
      </c>
      <c r="Y62">
        <v>0</v>
      </c>
      <c r="Z62">
        <v>0</v>
      </c>
      <c r="AB62">
        <v>0</v>
      </c>
      <c r="AC62" t="s">
        <v>46</v>
      </c>
      <c r="AE62">
        <v>1</v>
      </c>
      <c r="AF62">
        <v>0</v>
      </c>
      <c r="AG62" t="s">
        <v>75</v>
      </c>
      <c r="AH62" t="s">
        <v>76</v>
      </c>
      <c r="AI62" t="s">
        <v>49</v>
      </c>
      <c r="AJ62" s="1" t="s">
        <v>50</v>
      </c>
      <c r="AK62" s="1" t="s">
        <v>115</v>
      </c>
      <c r="AL62">
        <v>0</v>
      </c>
    </row>
    <row r="63" spans="1:38" x14ac:dyDescent="0.35">
      <c r="A63" t="s">
        <v>195</v>
      </c>
      <c r="B63" t="s">
        <v>52</v>
      </c>
      <c r="C63" t="s">
        <v>93</v>
      </c>
      <c r="D63">
        <v>8</v>
      </c>
      <c r="E63" t="s">
        <v>67</v>
      </c>
      <c r="F63">
        <v>31</v>
      </c>
      <c r="G63" t="s">
        <v>42</v>
      </c>
      <c r="H63" t="s">
        <v>55</v>
      </c>
      <c r="I63">
        <v>3</v>
      </c>
      <c r="J63">
        <v>5.9</v>
      </c>
      <c r="K63">
        <v>9</v>
      </c>
      <c r="L63">
        <v>1</v>
      </c>
      <c r="M63">
        <v>12</v>
      </c>
      <c r="N63">
        <v>0</v>
      </c>
      <c r="O63" t="s">
        <v>70</v>
      </c>
      <c r="P63">
        <v>41200</v>
      </c>
      <c r="Q63">
        <v>10.5</v>
      </c>
      <c r="R63">
        <v>2.9</v>
      </c>
      <c r="S63">
        <v>0.3</v>
      </c>
      <c r="T63">
        <v>0</v>
      </c>
      <c r="U63">
        <v>3.5</v>
      </c>
      <c r="V63">
        <v>3</v>
      </c>
      <c r="W63">
        <v>4</v>
      </c>
      <c r="X63" t="s">
        <v>45</v>
      </c>
      <c r="Y63">
        <v>0</v>
      </c>
      <c r="Z63">
        <v>0</v>
      </c>
      <c r="AB63">
        <v>0</v>
      </c>
      <c r="AC63" t="s">
        <v>46</v>
      </c>
      <c r="AE63">
        <v>1</v>
      </c>
      <c r="AF63">
        <v>0</v>
      </c>
      <c r="AG63" t="s">
        <v>75</v>
      </c>
      <c r="AH63" t="s">
        <v>83</v>
      </c>
      <c r="AI63" t="s">
        <v>64</v>
      </c>
      <c r="AJ63">
        <v>3.5</v>
      </c>
      <c r="AK63">
        <v>0.25</v>
      </c>
      <c r="AL63">
        <v>0</v>
      </c>
    </row>
    <row r="64" spans="1:38" x14ac:dyDescent="0.35">
      <c r="A64" t="s">
        <v>196</v>
      </c>
      <c r="B64" t="s">
        <v>117</v>
      </c>
      <c r="C64" t="s">
        <v>197</v>
      </c>
      <c r="D64">
        <v>7.8</v>
      </c>
      <c r="E64" t="s">
        <v>41</v>
      </c>
      <c r="F64">
        <v>35</v>
      </c>
      <c r="G64" t="s">
        <v>54</v>
      </c>
      <c r="H64" t="s">
        <v>55</v>
      </c>
      <c r="I64">
        <v>2</v>
      </c>
      <c r="J64">
        <v>7.5</v>
      </c>
      <c r="K64">
        <v>5</v>
      </c>
      <c r="L64">
        <v>2</v>
      </c>
      <c r="M64">
        <v>12</v>
      </c>
      <c r="N64">
        <v>0</v>
      </c>
      <c r="O64" t="s">
        <v>56</v>
      </c>
      <c r="P64">
        <v>86900</v>
      </c>
      <c r="Q64">
        <v>8.1</v>
      </c>
      <c r="R64">
        <v>2.5</v>
      </c>
      <c r="S64">
        <v>0.5</v>
      </c>
      <c r="T64">
        <v>0</v>
      </c>
      <c r="U64">
        <v>2.5</v>
      </c>
      <c r="V64">
        <v>4.2</v>
      </c>
      <c r="W64">
        <v>3</v>
      </c>
      <c r="X64" t="s">
        <v>45</v>
      </c>
      <c r="Y64">
        <v>0</v>
      </c>
      <c r="Z64">
        <v>0</v>
      </c>
      <c r="AB64">
        <v>0</v>
      </c>
      <c r="AC64" t="s">
        <v>46</v>
      </c>
      <c r="AE64">
        <v>1</v>
      </c>
      <c r="AF64">
        <v>0</v>
      </c>
      <c r="AG64" t="s">
        <v>75</v>
      </c>
      <c r="AH64" t="s">
        <v>83</v>
      </c>
      <c r="AI64" t="s">
        <v>64</v>
      </c>
      <c r="AJ64" s="1" t="s">
        <v>198</v>
      </c>
      <c r="AK64" s="1" t="s">
        <v>84</v>
      </c>
      <c r="AL64">
        <v>0</v>
      </c>
    </row>
    <row r="65" spans="1:38" x14ac:dyDescent="0.35">
      <c r="A65" t="s">
        <v>199</v>
      </c>
      <c r="B65" t="s">
        <v>39</v>
      </c>
      <c r="C65" t="s">
        <v>40</v>
      </c>
      <c r="D65">
        <v>10</v>
      </c>
      <c r="E65" t="s">
        <v>81</v>
      </c>
      <c r="F65">
        <v>43</v>
      </c>
      <c r="G65" t="s">
        <v>54</v>
      </c>
      <c r="H65" t="s">
        <v>63</v>
      </c>
      <c r="I65">
        <v>4</v>
      </c>
      <c r="J65">
        <v>2.2000000000000002</v>
      </c>
      <c r="K65">
        <v>9</v>
      </c>
      <c r="L65">
        <v>2</v>
      </c>
      <c r="M65">
        <v>12</v>
      </c>
      <c r="N65">
        <v>0</v>
      </c>
      <c r="O65" t="s">
        <v>82</v>
      </c>
      <c r="P65">
        <v>29600</v>
      </c>
      <c r="Q65">
        <v>7.2</v>
      </c>
      <c r="R65">
        <v>4.0999999999999996</v>
      </c>
      <c r="S65">
        <v>2.6</v>
      </c>
      <c r="T65">
        <v>0</v>
      </c>
      <c r="U65">
        <v>3.2</v>
      </c>
      <c r="V65">
        <v>4.3</v>
      </c>
      <c r="W65">
        <v>3.6</v>
      </c>
      <c r="X65" t="s">
        <v>45</v>
      </c>
      <c r="Y65">
        <v>0</v>
      </c>
      <c r="Z65">
        <v>0</v>
      </c>
      <c r="AB65">
        <v>0</v>
      </c>
      <c r="AC65" t="s">
        <v>46</v>
      </c>
      <c r="AE65">
        <v>1</v>
      </c>
      <c r="AF65">
        <v>0</v>
      </c>
      <c r="AG65" t="s">
        <v>75</v>
      </c>
      <c r="AH65" t="s">
        <v>83</v>
      </c>
      <c r="AI65" t="s">
        <v>64</v>
      </c>
      <c r="AJ65" s="1" t="s">
        <v>58</v>
      </c>
      <c r="AK65" s="1" t="s">
        <v>115</v>
      </c>
      <c r="AL65">
        <v>0</v>
      </c>
    </row>
    <row r="66" spans="1:38" x14ac:dyDescent="0.35">
      <c r="A66" t="s">
        <v>200</v>
      </c>
      <c r="B66" t="s">
        <v>39</v>
      </c>
      <c r="C66" t="s">
        <v>66</v>
      </c>
      <c r="D66">
        <v>7.5</v>
      </c>
      <c r="E66" t="s">
        <v>81</v>
      </c>
      <c r="F66">
        <v>40</v>
      </c>
      <c r="G66" t="s">
        <v>42</v>
      </c>
      <c r="H66" t="s">
        <v>94</v>
      </c>
      <c r="I66">
        <v>3</v>
      </c>
      <c r="J66">
        <v>12.7</v>
      </c>
      <c r="K66">
        <v>13</v>
      </c>
      <c r="L66">
        <v>5</v>
      </c>
      <c r="M66">
        <v>12</v>
      </c>
      <c r="N66">
        <v>0</v>
      </c>
      <c r="O66" t="s">
        <v>82</v>
      </c>
      <c r="P66">
        <v>28900</v>
      </c>
      <c r="Q66">
        <v>8.4</v>
      </c>
      <c r="R66">
        <v>4.0999999999999996</v>
      </c>
      <c r="S66">
        <v>4</v>
      </c>
      <c r="T66">
        <v>0</v>
      </c>
      <c r="U66">
        <v>3.9</v>
      </c>
      <c r="V66">
        <v>5</v>
      </c>
      <c r="W66">
        <v>3.5</v>
      </c>
      <c r="X66" t="s">
        <v>89</v>
      </c>
      <c r="Y66">
        <v>0</v>
      </c>
      <c r="Z66">
        <v>1</v>
      </c>
      <c r="AA66">
        <v>5.7</v>
      </c>
      <c r="AB66">
        <v>0</v>
      </c>
      <c r="AC66" t="s">
        <v>46</v>
      </c>
      <c r="AE66">
        <v>0</v>
      </c>
      <c r="AF66">
        <v>0</v>
      </c>
      <c r="AG66" t="s">
        <v>47</v>
      </c>
      <c r="AH66" t="s">
        <v>83</v>
      </c>
      <c r="AI66" t="s">
        <v>49</v>
      </c>
      <c r="AJ66" s="1" t="s">
        <v>201</v>
      </c>
      <c r="AK66">
        <v>0.25</v>
      </c>
      <c r="AL66">
        <v>0</v>
      </c>
    </row>
    <row r="67" spans="1:38" x14ac:dyDescent="0.35">
      <c r="A67" t="s">
        <v>202</v>
      </c>
      <c r="B67" t="s">
        <v>117</v>
      </c>
      <c r="C67" t="s">
        <v>118</v>
      </c>
      <c r="D67">
        <v>1.9</v>
      </c>
      <c r="E67" t="s">
        <v>41</v>
      </c>
      <c r="F67">
        <v>29</v>
      </c>
      <c r="G67" t="s">
        <v>68</v>
      </c>
      <c r="H67" t="s">
        <v>43</v>
      </c>
      <c r="I67">
        <v>4</v>
      </c>
      <c r="J67">
        <v>15.7</v>
      </c>
      <c r="K67">
        <v>9</v>
      </c>
      <c r="L67">
        <v>3</v>
      </c>
      <c r="M67">
        <v>12</v>
      </c>
      <c r="N67">
        <v>0</v>
      </c>
      <c r="O67" t="s">
        <v>44</v>
      </c>
      <c r="P67">
        <v>56000</v>
      </c>
      <c r="Q67">
        <v>11</v>
      </c>
      <c r="R67">
        <v>3.4</v>
      </c>
      <c r="S67">
        <v>0.4</v>
      </c>
      <c r="T67">
        <v>0</v>
      </c>
      <c r="U67">
        <v>3.3</v>
      </c>
      <c r="V67">
        <v>3.2</v>
      </c>
      <c r="W67">
        <v>1.9</v>
      </c>
      <c r="X67" t="s">
        <v>45</v>
      </c>
      <c r="Y67">
        <v>0</v>
      </c>
      <c r="Z67">
        <v>0</v>
      </c>
      <c r="AB67">
        <v>0</v>
      </c>
      <c r="AC67" t="s">
        <v>46</v>
      </c>
      <c r="AE67">
        <v>1</v>
      </c>
      <c r="AF67">
        <v>0</v>
      </c>
      <c r="AG67" t="s">
        <v>75</v>
      </c>
      <c r="AH67" t="s">
        <v>48</v>
      </c>
      <c r="AI67" t="s">
        <v>49</v>
      </c>
      <c r="AJ67" s="1" t="s">
        <v>144</v>
      </c>
      <c r="AK67" s="1" t="s">
        <v>115</v>
      </c>
      <c r="AL67">
        <v>0</v>
      </c>
    </row>
    <row r="68" spans="1:38" x14ac:dyDescent="0.35">
      <c r="A68" t="s">
        <v>203</v>
      </c>
      <c r="B68" t="s">
        <v>117</v>
      </c>
      <c r="C68" t="s">
        <v>189</v>
      </c>
      <c r="D68">
        <v>3.7</v>
      </c>
      <c r="E68" t="s">
        <v>41</v>
      </c>
      <c r="F68">
        <v>32</v>
      </c>
      <c r="G68" t="s">
        <v>68</v>
      </c>
      <c r="H68" t="s">
        <v>43</v>
      </c>
      <c r="I68">
        <v>0</v>
      </c>
      <c r="J68">
        <v>16.7</v>
      </c>
      <c r="K68">
        <v>10</v>
      </c>
      <c r="L68">
        <v>0</v>
      </c>
      <c r="M68">
        <v>12</v>
      </c>
      <c r="N68">
        <v>0</v>
      </c>
      <c r="O68" t="s">
        <v>56</v>
      </c>
      <c r="P68">
        <v>77300</v>
      </c>
      <c r="Q68">
        <v>0</v>
      </c>
      <c r="R68">
        <v>2.6</v>
      </c>
      <c r="S68">
        <v>0.5</v>
      </c>
      <c r="T68">
        <v>0</v>
      </c>
      <c r="U68">
        <v>2.8</v>
      </c>
      <c r="V68">
        <v>3.6</v>
      </c>
      <c r="W68">
        <v>2.8</v>
      </c>
      <c r="X68" t="s">
        <v>45</v>
      </c>
      <c r="Y68">
        <v>0</v>
      </c>
      <c r="Z68">
        <v>0</v>
      </c>
      <c r="AB68">
        <v>0</v>
      </c>
      <c r="AC68" t="s">
        <v>46</v>
      </c>
      <c r="AE68">
        <v>1</v>
      </c>
      <c r="AF68">
        <v>0</v>
      </c>
      <c r="AG68" t="s">
        <v>75</v>
      </c>
      <c r="AH68" t="s">
        <v>76</v>
      </c>
      <c r="AI68" t="s">
        <v>49</v>
      </c>
      <c r="AJ68" s="1" t="s">
        <v>159</v>
      </c>
      <c r="AK68">
        <v>0</v>
      </c>
      <c r="AL68">
        <v>0</v>
      </c>
    </row>
    <row r="69" spans="1:38" x14ac:dyDescent="0.35">
      <c r="A69" t="s">
        <v>204</v>
      </c>
      <c r="B69" t="s">
        <v>98</v>
      </c>
      <c r="C69" t="s">
        <v>151</v>
      </c>
      <c r="D69">
        <v>7.6</v>
      </c>
      <c r="E69" t="s">
        <v>110</v>
      </c>
      <c r="F69">
        <v>37</v>
      </c>
      <c r="G69" t="s">
        <v>42</v>
      </c>
      <c r="H69" t="s">
        <v>43</v>
      </c>
      <c r="I69">
        <v>4</v>
      </c>
      <c r="J69">
        <v>14.6</v>
      </c>
      <c r="K69">
        <v>10</v>
      </c>
      <c r="L69">
        <v>2</v>
      </c>
      <c r="M69">
        <v>12</v>
      </c>
      <c r="N69">
        <v>0</v>
      </c>
      <c r="O69" t="s">
        <v>44</v>
      </c>
      <c r="P69">
        <v>60100</v>
      </c>
      <c r="Q69">
        <v>6.6</v>
      </c>
      <c r="R69">
        <v>2.6</v>
      </c>
      <c r="S69">
        <v>2</v>
      </c>
      <c r="T69">
        <v>0</v>
      </c>
      <c r="U69">
        <v>3</v>
      </c>
      <c r="V69">
        <v>2.6</v>
      </c>
      <c r="W69">
        <v>2.8</v>
      </c>
      <c r="X69" t="s">
        <v>45</v>
      </c>
      <c r="Y69">
        <v>0</v>
      </c>
      <c r="Z69">
        <v>0</v>
      </c>
      <c r="AB69">
        <v>0</v>
      </c>
      <c r="AC69" t="s">
        <v>46</v>
      </c>
      <c r="AE69">
        <v>1</v>
      </c>
      <c r="AF69">
        <v>0</v>
      </c>
      <c r="AG69" t="s">
        <v>75</v>
      </c>
      <c r="AH69" t="s">
        <v>83</v>
      </c>
      <c r="AI69" t="s">
        <v>49</v>
      </c>
      <c r="AJ69" s="1" t="s">
        <v>102</v>
      </c>
      <c r="AK69" s="1" t="s">
        <v>115</v>
      </c>
      <c r="AL69">
        <v>0</v>
      </c>
    </row>
    <row r="70" spans="1:38" x14ac:dyDescent="0.35">
      <c r="A70" t="s">
        <v>205</v>
      </c>
      <c r="B70" t="s">
        <v>73</v>
      </c>
      <c r="C70" t="s">
        <v>113</v>
      </c>
      <c r="D70">
        <v>7.1</v>
      </c>
      <c r="E70" t="s">
        <v>67</v>
      </c>
      <c r="F70">
        <v>28</v>
      </c>
      <c r="G70" t="s">
        <v>54</v>
      </c>
      <c r="H70" t="s">
        <v>55</v>
      </c>
      <c r="I70">
        <v>6</v>
      </c>
      <c r="J70">
        <v>8.6999999999999993</v>
      </c>
      <c r="K70">
        <v>4</v>
      </c>
      <c r="L70">
        <v>2</v>
      </c>
      <c r="M70">
        <v>12</v>
      </c>
      <c r="N70">
        <v>0</v>
      </c>
      <c r="O70" t="s">
        <v>70</v>
      </c>
      <c r="P70">
        <v>45700</v>
      </c>
      <c r="Q70">
        <v>10.7</v>
      </c>
      <c r="R70">
        <v>3.2</v>
      </c>
      <c r="S70">
        <v>0.8</v>
      </c>
      <c r="T70">
        <v>0</v>
      </c>
      <c r="U70">
        <v>4.4000000000000004</v>
      </c>
      <c r="V70">
        <v>1</v>
      </c>
      <c r="W70">
        <v>2.9</v>
      </c>
      <c r="X70" t="s">
        <v>45</v>
      </c>
      <c r="Y70">
        <v>0</v>
      </c>
      <c r="Z70">
        <v>4</v>
      </c>
      <c r="AA70">
        <v>1.5</v>
      </c>
      <c r="AB70">
        <v>1</v>
      </c>
      <c r="AC70" t="s">
        <v>46</v>
      </c>
      <c r="AE70">
        <v>0</v>
      </c>
      <c r="AF70">
        <v>0</v>
      </c>
      <c r="AG70" t="s">
        <v>47</v>
      </c>
      <c r="AH70" t="s">
        <v>83</v>
      </c>
      <c r="AI70" t="s">
        <v>64</v>
      </c>
      <c r="AJ70" s="1" t="s">
        <v>170</v>
      </c>
      <c r="AK70">
        <v>0.5</v>
      </c>
      <c r="AL70">
        <v>0</v>
      </c>
    </row>
    <row r="71" spans="1:38" x14ac:dyDescent="0.35">
      <c r="A71" t="s">
        <v>206</v>
      </c>
      <c r="B71" t="s">
        <v>52</v>
      </c>
      <c r="C71" t="s">
        <v>93</v>
      </c>
      <c r="D71">
        <v>3.2</v>
      </c>
      <c r="E71" t="s">
        <v>67</v>
      </c>
      <c r="F71">
        <v>32</v>
      </c>
      <c r="G71" t="s">
        <v>42</v>
      </c>
      <c r="H71" t="s">
        <v>94</v>
      </c>
      <c r="I71">
        <v>3</v>
      </c>
      <c r="J71">
        <v>92</v>
      </c>
      <c r="K71">
        <v>9</v>
      </c>
      <c r="L71">
        <v>2</v>
      </c>
      <c r="M71">
        <v>12</v>
      </c>
      <c r="N71">
        <v>1</v>
      </c>
      <c r="O71" t="s">
        <v>70</v>
      </c>
      <c r="P71">
        <v>43500</v>
      </c>
      <c r="Q71">
        <v>9</v>
      </c>
      <c r="R71">
        <v>2.8</v>
      </c>
      <c r="S71">
        <v>2.7</v>
      </c>
      <c r="T71">
        <v>0</v>
      </c>
      <c r="U71">
        <v>3.9</v>
      </c>
      <c r="V71">
        <v>3.2</v>
      </c>
      <c r="W71">
        <v>2.5</v>
      </c>
      <c r="X71" t="s">
        <v>45</v>
      </c>
      <c r="Y71">
        <v>0</v>
      </c>
      <c r="Z71">
        <v>1</v>
      </c>
      <c r="AB71">
        <v>0</v>
      </c>
      <c r="AC71" t="s">
        <v>46</v>
      </c>
      <c r="AE71">
        <v>1</v>
      </c>
      <c r="AF71">
        <v>0</v>
      </c>
      <c r="AG71" t="s">
        <v>47</v>
      </c>
      <c r="AH71" t="s">
        <v>76</v>
      </c>
      <c r="AI71" t="s">
        <v>207</v>
      </c>
      <c r="AJ71" s="1" t="s">
        <v>162</v>
      </c>
      <c r="AK71">
        <v>0.25</v>
      </c>
      <c r="AL71">
        <v>0</v>
      </c>
    </row>
    <row r="72" spans="1:38" x14ac:dyDescent="0.35">
      <c r="A72" t="s">
        <v>208</v>
      </c>
      <c r="B72" t="s">
        <v>73</v>
      </c>
      <c r="C72" t="s">
        <v>177</v>
      </c>
      <c r="D72">
        <v>5.3</v>
      </c>
      <c r="E72" t="s">
        <v>81</v>
      </c>
      <c r="F72">
        <v>28</v>
      </c>
      <c r="G72" t="s">
        <v>68</v>
      </c>
      <c r="H72" t="s">
        <v>94</v>
      </c>
      <c r="I72">
        <v>2</v>
      </c>
      <c r="J72">
        <v>10.1</v>
      </c>
      <c r="K72">
        <v>8</v>
      </c>
      <c r="L72">
        <v>2</v>
      </c>
      <c r="M72">
        <v>12</v>
      </c>
      <c r="N72">
        <v>0</v>
      </c>
      <c r="O72" t="s">
        <v>82</v>
      </c>
      <c r="P72">
        <v>32200</v>
      </c>
      <c r="Q72">
        <v>3.5</v>
      </c>
      <c r="R72">
        <v>3.2</v>
      </c>
      <c r="S72">
        <v>2.2000000000000002</v>
      </c>
      <c r="T72">
        <v>0</v>
      </c>
      <c r="U72">
        <v>3.8</v>
      </c>
      <c r="V72">
        <v>2.2000000000000002</v>
      </c>
      <c r="W72">
        <v>3.4</v>
      </c>
      <c r="X72" t="s">
        <v>45</v>
      </c>
      <c r="Y72">
        <v>0</v>
      </c>
      <c r="Z72">
        <v>1</v>
      </c>
      <c r="AA72">
        <v>2.7</v>
      </c>
      <c r="AB72">
        <v>0</v>
      </c>
      <c r="AC72" t="s">
        <v>46</v>
      </c>
      <c r="AE72">
        <v>0</v>
      </c>
      <c r="AF72">
        <v>0</v>
      </c>
      <c r="AG72" t="s">
        <v>47</v>
      </c>
      <c r="AH72" t="s">
        <v>83</v>
      </c>
      <c r="AI72" t="s">
        <v>49</v>
      </c>
      <c r="AJ72" s="1" t="s">
        <v>50</v>
      </c>
      <c r="AK72" s="1" t="s">
        <v>84</v>
      </c>
      <c r="AL72">
        <v>0</v>
      </c>
    </row>
    <row r="73" spans="1:38" x14ac:dyDescent="0.35">
      <c r="A73" t="s">
        <v>209</v>
      </c>
      <c r="B73" t="s">
        <v>98</v>
      </c>
      <c r="C73" t="s">
        <v>99</v>
      </c>
      <c r="D73">
        <v>2.6</v>
      </c>
      <c r="E73" t="s">
        <v>81</v>
      </c>
      <c r="F73">
        <v>30</v>
      </c>
      <c r="G73" t="s">
        <v>68</v>
      </c>
      <c r="H73" t="s">
        <v>43</v>
      </c>
      <c r="I73">
        <v>0</v>
      </c>
      <c r="J73">
        <v>20.5</v>
      </c>
      <c r="K73">
        <v>9</v>
      </c>
      <c r="L73">
        <v>3</v>
      </c>
      <c r="M73">
        <v>12</v>
      </c>
      <c r="N73">
        <v>0</v>
      </c>
      <c r="O73" t="s">
        <v>82</v>
      </c>
      <c r="P73">
        <v>31100</v>
      </c>
      <c r="Q73">
        <v>0</v>
      </c>
      <c r="R73">
        <v>3.7</v>
      </c>
      <c r="S73">
        <v>3.1</v>
      </c>
      <c r="T73">
        <v>0</v>
      </c>
      <c r="U73">
        <v>3.7</v>
      </c>
      <c r="V73">
        <v>3.8</v>
      </c>
      <c r="W73">
        <v>4.5</v>
      </c>
      <c r="X73" t="s">
        <v>45</v>
      </c>
      <c r="Y73">
        <v>0</v>
      </c>
      <c r="Z73">
        <v>1</v>
      </c>
      <c r="AA73">
        <v>0.8</v>
      </c>
      <c r="AB73">
        <v>0</v>
      </c>
      <c r="AC73" t="s">
        <v>46</v>
      </c>
      <c r="AE73">
        <v>0</v>
      </c>
      <c r="AF73">
        <v>0</v>
      </c>
      <c r="AG73" t="s">
        <v>47</v>
      </c>
      <c r="AH73" t="s">
        <v>48</v>
      </c>
      <c r="AI73" t="s">
        <v>57</v>
      </c>
      <c r="AJ73">
        <v>4</v>
      </c>
      <c r="AK73">
        <v>0</v>
      </c>
      <c r="AL73">
        <v>0</v>
      </c>
    </row>
    <row r="74" spans="1:38" x14ac:dyDescent="0.35">
      <c r="A74" t="s">
        <v>210</v>
      </c>
      <c r="B74" t="s">
        <v>60</v>
      </c>
      <c r="C74" t="s">
        <v>61</v>
      </c>
      <c r="D74">
        <v>1</v>
      </c>
      <c r="E74" t="s">
        <v>67</v>
      </c>
      <c r="F74">
        <v>26</v>
      </c>
      <c r="G74" t="s">
        <v>42</v>
      </c>
      <c r="H74" t="s">
        <v>55</v>
      </c>
      <c r="I74">
        <v>2</v>
      </c>
      <c r="J74">
        <v>1.3</v>
      </c>
      <c r="K74">
        <v>11</v>
      </c>
      <c r="L74">
        <v>0</v>
      </c>
      <c r="M74">
        <v>12</v>
      </c>
      <c r="N74">
        <v>0</v>
      </c>
      <c r="O74" t="s">
        <v>70</v>
      </c>
      <c r="P74">
        <v>40800</v>
      </c>
      <c r="Q74">
        <v>14.8</v>
      </c>
      <c r="R74">
        <v>1.8</v>
      </c>
      <c r="S74">
        <v>0.9</v>
      </c>
      <c r="T74">
        <v>0</v>
      </c>
      <c r="U74">
        <v>2.2000000000000002</v>
      </c>
      <c r="V74">
        <v>1.5</v>
      </c>
      <c r="W74">
        <v>3.5</v>
      </c>
      <c r="X74" t="s">
        <v>45</v>
      </c>
      <c r="Y74">
        <v>0</v>
      </c>
      <c r="Z74">
        <v>1</v>
      </c>
      <c r="AA74">
        <v>0.7</v>
      </c>
      <c r="AB74">
        <v>0</v>
      </c>
      <c r="AC74" t="s">
        <v>124</v>
      </c>
      <c r="AD74" s="2">
        <v>45688</v>
      </c>
      <c r="AE74">
        <v>0</v>
      </c>
      <c r="AF74">
        <v>0</v>
      </c>
      <c r="AG74" t="s">
        <v>47</v>
      </c>
      <c r="AH74" t="s">
        <v>95</v>
      </c>
      <c r="AI74" t="s">
        <v>64</v>
      </c>
      <c r="AJ74">
        <v>2.4</v>
      </c>
      <c r="AK74" s="1" t="s">
        <v>84</v>
      </c>
      <c r="AL74">
        <v>1</v>
      </c>
    </row>
    <row r="75" spans="1:38" x14ac:dyDescent="0.35">
      <c r="A75" t="s">
        <v>211</v>
      </c>
      <c r="B75" t="s">
        <v>73</v>
      </c>
      <c r="C75" t="s">
        <v>113</v>
      </c>
      <c r="D75">
        <v>3.4</v>
      </c>
      <c r="E75" t="s">
        <v>110</v>
      </c>
      <c r="F75">
        <v>31</v>
      </c>
      <c r="G75" t="s">
        <v>42</v>
      </c>
      <c r="H75" t="s">
        <v>55</v>
      </c>
      <c r="I75">
        <v>2</v>
      </c>
      <c r="J75">
        <v>6.9</v>
      </c>
      <c r="K75">
        <v>10</v>
      </c>
      <c r="L75">
        <v>1</v>
      </c>
      <c r="M75">
        <v>12</v>
      </c>
      <c r="N75">
        <v>0</v>
      </c>
      <c r="O75" t="s">
        <v>44</v>
      </c>
      <c r="P75">
        <v>58000</v>
      </c>
      <c r="Q75">
        <v>7.3</v>
      </c>
      <c r="R75">
        <v>2.5</v>
      </c>
      <c r="S75">
        <v>0.7</v>
      </c>
      <c r="T75">
        <v>0</v>
      </c>
      <c r="U75">
        <v>3.5</v>
      </c>
      <c r="V75">
        <v>2.5</v>
      </c>
      <c r="W75">
        <v>2.5</v>
      </c>
      <c r="X75" t="s">
        <v>45</v>
      </c>
      <c r="Y75">
        <v>0</v>
      </c>
      <c r="Z75">
        <v>1</v>
      </c>
      <c r="AA75">
        <v>2.9</v>
      </c>
      <c r="AB75">
        <v>1</v>
      </c>
      <c r="AC75" t="s">
        <v>46</v>
      </c>
      <c r="AE75">
        <v>0</v>
      </c>
      <c r="AF75">
        <v>0</v>
      </c>
      <c r="AG75" t="s">
        <v>47</v>
      </c>
      <c r="AH75" t="s">
        <v>76</v>
      </c>
      <c r="AI75" t="s">
        <v>64</v>
      </c>
      <c r="AJ75" s="1" t="s">
        <v>212</v>
      </c>
      <c r="AK75" s="1" t="s">
        <v>84</v>
      </c>
      <c r="AL75">
        <v>0</v>
      </c>
    </row>
    <row r="76" spans="1:38" x14ac:dyDescent="0.35">
      <c r="A76" t="s">
        <v>213</v>
      </c>
      <c r="B76" t="s">
        <v>73</v>
      </c>
      <c r="C76" t="s">
        <v>121</v>
      </c>
      <c r="D76">
        <v>3.3</v>
      </c>
      <c r="E76" t="s">
        <v>67</v>
      </c>
      <c r="F76">
        <v>30</v>
      </c>
      <c r="G76" t="s">
        <v>68</v>
      </c>
      <c r="H76" t="s">
        <v>55</v>
      </c>
      <c r="I76">
        <v>3</v>
      </c>
      <c r="J76">
        <v>4</v>
      </c>
      <c r="K76">
        <v>7</v>
      </c>
      <c r="L76">
        <v>1</v>
      </c>
      <c r="M76">
        <v>12</v>
      </c>
      <c r="N76">
        <v>0</v>
      </c>
      <c r="O76" t="s">
        <v>82</v>
      </c>
      <c r="P76">
        <v>30200</v>
      </c>
      <c r="Q76">
        <v>14.1</v>
      </c>
      <c r="R76">
        <v>3.2</v>
      </c>
      <c r="S76">
        <v>0.5</v>
      </c>
      <c r="T76">
        <v>0</v>
      </c>
      <c r="U76">
        <v>3.3</v>
      </c>
      <c r="V76">
        <v>3.4</v>
      </c>
      <c r="W76">
        <v>2.6</v>
      </c>
      <c r="X76" t="s">
        <v>45</v>
      </c>
      <c r="Y76">
        <v>1</v>
      </c>
      <c r="Z76">
        <v>1</v>
      </c>
      <c r="AA76">
        <v>1.5</v>
      </c>
      <c r="AB76">
        <v>1</v>
      </c>
      <c r="AC76" t="s">
        <v>46</v>
      </c>
      <c r="AE76">
        <v>0</v>
      </c>
      <c r="AF76">
        <v>0</v>
      </c>
      <c r="AG76" t="s">
        <v>47</v>
      </c>
      <c r="AH76" t="s">
        <v>76</v>
      </c>
      <c r="AI76" t="s">
        <v>64</v>
      </c>
      <c r="AJ76" s="1" t="s">
        <v>214</v>
      </c>
      <c r="AK76">
        <v>0.25</v>
      </c>
      <c r="AL76">
        <v>0</v>
      </c>
    </row>
    <row r="77" spans="1:38" x14ac:dyDescent="0.35">
      <c r="A77" t="s">
        <v>215</v>
      </c>
      <c r="B77" t="s">
        <v>98</v>
      </c>
      <c r="C77" t="s">
        <v>99</v>
      </c>
      <c r="D77">
        <v>2.5</v>
      </c>
      <c r="E77" t="s">
        <v>110</v>
      </c>
      <c r="F77">
        <v>21</v>
      </c>
      <c r="G77" t="s">
        <v>68</v>
      </c>
      <c r="H77" t="s">
        <v>69</v>
      </c>
      <c r="I77">
        <v>3</v>
      </c>
      <c r="J77">
        <v>37.799999999999997</v>
      </c>
      <c r="K77">
        <v>6</v>
      </c>
      <c r="L77">
        <v>0</v>
      </c>
      <c r="M77">
        <v>12</v>
      </c>
      <c r="N77">
        <v>0</v>
      </c>
      <c r="O77" t="s">
        <v>70</v>
      </c>
      <c r="P77">
        <v>45500</v>
      </c>
      <c r="Q77">
        <v>11.2</v>
      </c>
      <c r="R77">
        <v>4.5999999999999996</v>
      </c>
      <c r="S77">
        <v>3.9</v>
      </c>
      <c r="T77">
        <v>0</v>
      </c>
      <c r="U77">
        <v>3.1</v>
      </c>
      <c r="V77">
        <v>3.5</v>
      </c>
      <c r="W77">
        <v>3.1</v>
      </c>
      <c r="X77" t="s">
        <v>89</v>
      </c>
      <c r="Y77">
        <v>0</v>
      </c>
      <c r="Z77">
        <v>2</v>
      </c>
      <c r="AA77">
        <v>0.5</v>
      </c>
      <c r="AB77">
        <v>2</v>
      </c>
      <c r="AC77" t="s">
        <v>46</v>
      </c>
      <c r="AE77">
        <v>0</v>
      </c>
      <c r="AF77">
        <v>0</v>
      </c>
      <c r="AG77" t="s">
        <v>47</v>
      </c>
      <c r="AH77" t="s">
        <v>48</v>
      </c>
      <c r="AI77" t="s">
        <v>57</v>
      </c>
      <c r="AJ77" s="1" t="s">
        <v>198</v>
      </c>
      <c r="AK77">
        <v>0.25</v>
      </c>
      <c r="AL77">
        <v>0</v>
      </c>
    </row>
    <row r="78" spans="1:38" x14ac:dyDescent="0.35">
      <c r="A78" t="s">
        <v>216</v>
      </c>
      <c r="B78" t="s">
        <v>98</v>
      </c>
      <c r="C78" t="s">
        <v>99</v>
      </c>
      <c r="D78">
        <v>5.4</v>
      </c>
      <c r="E78" t="s">
        <v>67</v>
      </c>
      <c r="F78">
        <v>32</v>
      </c>
      <c r="G78" t="s">
        <v>54</v>
      </c>
      <c r="H78" t="s">
        <v>43</v>
      </c>
      <c r="I78">
        <v>1</v>
      </c>
      <c r="J78">
        <v>23.4</v>
      </c>
      <c r="K78">
        <v>10</v>
      </c>
      <c r="L78">
        <v>1</v>
      </c>
      <c r="M78">
        <v>12</v>
      </c>
      <c r="N78">
        <v>0</v>
      </c>
      <c r="O78" t="s">
        <v>82</v>
      </c>
      <c r="P78">
        <v>33900</v>
      </c>
      <c r="Q78">
        <v>4.8</v>
      </c>
      <c r="R78">
        <v>4</v>
      </c>
      <c r="S78">
        <v>0.3</v>
      </c>
      <c r="T78">
        <v>0</v>
      </c>
      <c r="U78">
        <v>4.2</v>
      </c>
      <c r="V78">
        <v>3.2</v>
      </c>
      <c r="W78">
        <v>2.2999999999999998</v>
      </c>
      <c r="X78" t="s">
        <v>45</v>
      </c>
      <c r="Y78">
        <v>0</v>
      </c>
      <c r="Z78">
        <v>0</v>
      </c>
      <c r="AB78">
        <v>0</v>
      </c>
      <c r="AC78" t="s">
        <v>46</v>
      </c>
      <c r="AE78">
        <v>1</v>
      </c>
      <c r="AF78">
        <v>0</v>
      </c>
      <c r="AG78" t="s">
        <v>75</v>
      </c>
      <c r="AH78" t="s">
        <v>83</v>
      </c>
      <c r="AI78" t="s">
        <v>57</v>
      </c>
      <c r="AJ78" s="1" t="s">
        <v>198</v>
      </c>
      <c r="AK78">
        <v>8.3333333333333301E-2</v>
      </c>
      <c r="AL78">
        <v>0</v>
      </c>
    </row>
    <row r="79" spans="1:38" x14ac:dyDescent="0.35">
      <c r="A79" t="s">
        <v>217</v>
      </c>
      <c r="B79" t="s">
        <v>39</v>
      </c>
      <c r="C79" t="s">
        <v>66</v>
      </c>
      <c r="D79">
        <v>3.1</v>
      </c>
      <c r="E79" t="s">
        <v>67</v>
      </c>
      <c r="F79">
        <v>32</v>
      </c>
      <c r="G79" t="s">
        <v>68</v>
      </c>
      <c r="H79" t="s">
        <v>55</v>
      </c>
      <c r="I79">
        <v>7</v>
      </c>
      <c r="J79">
        <v>7.1</v>
      </c>
      <c r="K79">
        <v>16</v>
      </c>
      <c r="L79">
        <v>3</v>
      </c>
      <c r="M79">
        <v>12</v>
      </c>
      <c r="N79">
        <v>0</v>
      </c>
      <c r="O79" t="s">
        <v>70</v>
      </c>
      <c r="P79">
        <v>44500</v>
      </c>
      <c r="Q79">
        <v>0</v>
      </c>
      <c r="R79">
        <v>3.2</v>
      </c>
      <c r="S79">
        <v>0.2</v>
      </c>
      <c r="T79">
        <v>0</v>
      </c>
      <c r="U79">
        <v>3.8</v>
      </c>
      <c r="V79">
        <v>4.9000000000000004</v>
      </c>
      <c r="W79">
        <v>3.6</v>
      </c>
      <c r="X79" t="s">
        <v>45</v>
      </c>
      <c r="Y79">
        <v>0</v>
      </c>
      <c r="Z79">
        <v>0</v>
      </c>
      <c r="AB79">
        <v>0</v>
      </c>
      <c r="AC79" t="s">
        <v>46</v>
      </c>
      <c r="AE79">
        <v>1</v>
      </c>
      <c r="AF79">
        <v>0</v>
      </c>
      <c r="AG79" t="s">
        <v>75</v>
      </c>
      <c r="AH79" t="s">
        <v>76</v>
      </c>
      <c r="AI79" t="s">
        <v>64</v>
      </c>
      <c r="AJ79">
        <v>4.0999999999999996</v>
      </c>
      <c r="AK79" s="1" t="s">
        <v>105</v>
      </c>
      <c r="AL79">
        <v>0</v>
      </c>
    </row>
    <row r="80" spans="1:38" x14ac:dyDescent="0.35">
      <c r="A80" t="s">
        <v>218</v>
      </c>
      <c r="B80" t="s">
        <v>117</v>
      </c>
      <c r="C80" t="s">
        <v>197</v>
      </c>
      <c r="D80">
        <v>4.9000000000000004</v>
      </c>
      <c r="E80" t="s">
        <v>41</v>
      </c>
      <c r="F80">
        <v>33</v>
      </c>
      <c r="G80" t="s">
        <v>54</v>
      </c>
      <c r="H80" t="s">
        <v>69</v>
      </c>
      <c r="I80">
        <v>2</v>
      </c>
      <c r="J80">
        <v>2.7</v>
      </c>
      <c r="K80">
        <v>11</v>
      </c>
      <c r="L80">
        <v>2</v>
      </c>
      <c r="M80">
        <v>12</v>
      </c>
      <c r="N80">
        <v>0</v>
      </c>
      <c r="O80" t="s">
        <v>44</v>
      </c>
      <c r="P80">
        <v>66200</v>
      </c>
      <c r="Q80">
        <v>6.2</v>
      </c>
      <c r="R80">
        <v>3.6</v>
      </c>
      <c r="S80">
        <v>1.4</v>
      </c>
      <c r="T80">
        <v>0</v>
      </c>
      <c r="U80">
        <v>4</v>
      </c>
      <c r="V80">
        <v>3.3</v>
      </c>
      <c r="W80">
        <v>4.5</v>
      </c>
      <c r="X80" t="s">
        <v>45</v>
      </c>
      <c r="Y80">
        <v>1</v>
      </c>
      <c r="Z80">
        <v>0</v>
      </c>
      <c r="AB80">
        <v>0</v>
      </c>
      <c r="AC80" t="s">
        <v>46</v>
      </c>
      <c r="AE80">
        <v>1</v>
      </c>
      <c r="AF80">
        <v>0</v>
      </c>
      <c r="AG80" t="s">
        <v>75</v>
      </c>
      <c r="AH80" t="s">
        <v>76</v>
      </c>
      <c r="AI80" t="s">
        <v>64</v>
      </c>
      <c r="AJ80" s="1" t="s">
        <v>219</v>
      </c>
      <c r="AK80" s="1" t="s">
        <v>84</v>
      </c>
      <c r="AL80">
        <v>0</v>
      </c>
    </row>
    <row r="81" spans="1:38" x14ac:dyDescent="0.35">
      <c r="A81" t="s">
        <v>220</v>
      </c>
      <c r="B81" t="s">
        <v>39</v>
      </c>
      <c r="C81" t="s">
        <v>88</v>
      </c>
      <c r="D81">
        <v>6.2</v>
      </c>
      <c r="E81" t="s">
        <v>41</v>
      </c>
      <c r="F81">
        <v>32</v>
      </c>
      <c r="G81" t="s">
        <v>54</v>
      </c>
      <c r="H81" t="s">
        <v>63</v>
      </c>
      <c r="I81">
        <v>2</v>
      </c>
      <c r="J81">
        <v>3.6</v>
      </c>
      <c r="K81">
        <v>11</v>
      </c>
      <c r="L81">
        <v>0</v>
      </c>
      <c r="M81">
        <v>12</v>
      </c>
      <c r="N81">
        <v>0</v>
      </c>
      <c r="O81" t="s">
        <v>44</v>
      </c>
      <c r="P81">
        <v>68800</v>
      </c>
      <c r="Q81">
        <v>7.9</v>
      </c>
      <c r="R81">
        <v>3.1</v>
      </c>
      <c r="S81">
        <v>0.7</v>
      </c>
      <c r="T81">
        <v>0</v>
      </c>
      <c r="U81">
        <v>3.3</v>
      </c>
      <c r="V81">
        <v>2.6</v>
      </c>
      <c r="W81">
        <v>2.9</v>
      </c>
      <c r="X81" t="s">
        <v>45</v>
      </c>
      <c r="Y81">
        <v>0</v>
      </c>
      <c r="Z81">
        <v>0</v>
      </c>
      <c r="AB81">
        <v>0</v>
      </c>
      <c r="AC81" t="s">
        <v>46</v>
      </c>
      <c r="AE81">
        <v>1</v>
      </c>
      <c r="AF81">
        <v>0</v>
      </c>
      <c r="AG81" t="s">
        <v>75</v>
      </c>
      <c r="AH81" t="s">
        <v>83</v>
      </c>
      <c r="AI81" t="s">
        <v>64</v>
      </c>
      <c r="AJ81" s="1" t="s">
        <v>141</v>
      </c>
      <c r="AK81" s="1" t="s">
        <v>84</v>
      </c>
      <c r="AL81">
        <v>0</v>
      </c>
    </row>
    <row r="82" spans="1:38" x14ac:dyDescent="0.35">
      <c r="A82" t="s">
        <v>221</v>
      </c>
      <c r="B82" t="s">
        <v>39</v>
      </c>
      <c r="C82" t="s">
        <v>40</v>
      </c>
      <c r="D82">
        <v>14.8</v>
      </c>
      <c r="E82" t="s">
        <v>67</v>
      </c>
      <c r="F82">
        <v>47</v>
      </c>
      <c r="G82" t="s">
        <v>68</v>
      </c>
      <c r="H82" t="s">
        <v>55</v>
      </c>
      <c r="I82">
        <v>2</v>
      </c>
      <c r="J82">
        <v>20.3</v>
      </c>
      <c r="K82">
        <v>13</v>
      </c>
      <c r="L82">
        <v>1</v>
      </c>
      <c r="M82">
        <v>12</v>
      </c>
      <c r="N82">
        <v>0</v>
      </c>
      <c r="O82" t="s">
        <v>70</v>
      </c>
      <c r="P82">
        <v>45300</v>
      </c>
      <c r="Q82">
        <v>9.8000000000000007</v>
      </c>
      <c r="R82">
        <v>4.2</v>
      </c>
      <c r="S82">
        <v>2.9</v>
      </c>
      <c r="T82">
        <v>0</v>
      </c>
      <c r="U82">
        <v>4.0999999999999996</v>
      </c>
      <c r="V82">
        <v>4.5999999999999996</v>
      </c>
      <c r="W82">
        <v>3.5</v>
      </c>
      <c r="X82" t="s">
        <v>45</v>
      </c>
      <c r="Y82">
        <v>0</v>
      </c>
      <c r="Z82">
        <v>2</v>
      </c>
      <c r="AA82">
        <v>1.8</v>
      </c>
      <c r="AB82">
        <v>0</v>
      </c>
      <c r="AC82" t="s">
        <v>46</v>
      </c>
      <c r="AE82">
        <v>0</v>
      </c>
      <c r="AF82">
        <v>0</v>
      </c>
      <c r="AG82" t="s">
        <v>47</v>
      </c>
      <c r="AH82" t="s">
        <v>83</v>
      </c>
      <c r="AI82" t="s">
        <v>57</v>
      </c>
      <c r="AJ82" s="1" t="s">
        <v>222</v>
      </c>
      <c r="AK82" s="1" t="s">
        <v>84</v>
      </c>
      <c r="AL82">
        <v>0</v>
      </c>
    </row>
    <row r="83" spans="1:38" x14ac:dyDescent="0.35">
      <c r="A83" t="s">
        <v>223</v>
      </c>
      <c r="B83" t="s">
        <v>98</v>
      </c>
      <c r="C83" t="s">
        <v>148</v>
      </c>
      <c r="D83">
        <v>3.5</v>
      </c>
      <c r="E83" t="s">
        <v>110</v>
      </c>
      <c r="F83">
        <v>31</v>
      </c>
      <c r="G83" t="s">
        <v>42</v>
      </c>
      <c r="H83" t="s">
        <v>43</v>
      </c>
      <c r="I83">
        <v>4</v>
      </c>
      <c r="J83">
        <v>2.1</v>
      </c>
      <c r="K83">
        <v>4</v>
      </c>
      <c r="L83">
        <v>2</v>
      </c>
      <c r="M83">
        <v>12</v>
      </c>
      <c r="N83">
        <v>0</v>
      </c>
      <c r="O83" t="s">
        <v>70</v>
      </c>
      <c r="P83">
        <v>45200</v>
      </c>
      <c r="Q83">
        <v>3.6</v>
      </c>
      <c r="R83">
        <v>3.6</v>
      </c>
      <c r="S83">
        <v>0.2</v>
      </c>
      <c r="T83">
        <v>0</v>
      </c>
      <c r="U83">
        <v>2</v>
      </c>
      <c r="V83">
        <v>4.8</v>
      </c>
      <c r="W83">
        <v>3.1</v>
      </c>
      <c r="X83" t="s">
        <v>45</v>
      </c>
      <c r="Y83">
        <v>0</v>
      </c>
      <c r="Z83">
        <v>1</v>
      </c>
      <c r="AA83">
        <v>3.3</v>
      </c>
      <c r="AB83">
        <v>1</v>
      </c>
      <c r="AC83" t="s">
        <v>46</v>
      </c>
      <c r="AE83">
        <v>0</v>
      </c>
      <c r="AF83">
        <v>0</v>
      </c>
      <c r="AG83" t="s">
        <v>47</v>
      </c>
      <c r="AH83" t="s">
        <v>76</v>
      </c>
      <c r="AI83" t="s">
        <v>64</v>
      </c>
      <c r="AJ83" s="1" t="s">
        <v>71</v>
      </c>
      <c r="AK83" s="1" t="s">
        <v>115</v>
      </c>
      <c r="AL83">
        <v>0</v>
      </c>
    </row>
    <row r="84" spans="1:38" x14ac:dyDescent="0.35">
      <c r="A84" t="s">
        <v>224</v>
      </c>
      <c r="B84" t="s">
        <v>39</v>
      </c>
      <c r="C84" t="s">
        <v>88</v>
      </c>
      <c r="D84">
        <v>8</v>
      </c>
      <c r="E84" t="s">
        <v>67</v>
      </c>
      <c r="F84">
        <v>36</v>
      </c>
      <c r="G84" t="s">
        <v>42</v>
      </c>
      <c r="H84" t="s">
        <v>43</v>
      </c>
      <c r="I84">
        <v>1</v>
      </c>
      <c r="J84">
        <v>10.199999999999999</v>
      </c>
      <c r="K84">
        <v>6</v>
      </c>
      <c r="L84">
        <v>2</v>
      </c>
      <c r="M84">
        <v>12</v>
      </c>
      <c r="N84">
        <v>0</v>
      </c>
      <c r="O84" t="s">
        <v>70</v>
      </c>
      <c r="P84">
        <v>43300</v>
      </c>
      <c r="Q84">
        <v>8.6999999999999993</v>
      </c>
      <c r="R84">
        <v>4.4000000000000004</v>
      </c>
      <c r="S84">
        <v>1</v>
      </c>
      <c r="T84">
        <v>0</v>
      </c>
      <c r="U84">
        <v>3.3</v>
      </c>
      <c r="V84">
        <v>3.1</v>
      </c>
      <c r="W84">
        <v>2.9</v>
      </c>
      <c r="X84" t="s">
        <v>45</v>
      </c>
      <c r="Y84">
        <v>0</v>
      </c>
      <c r="Z84">
        <v>1</v>
      </c>
      <c r="AA84">
        <v>7.6</v>
      </c>
      <c r="AB84">
        <v>0</v>
      </c>
      <c r="AC84" t="s">
        <v>46</v>
      </c>
      <c r="AE84">
        <v>0</v>
      </c>
      <c r="AF84">
        <v>0</v>
      </c>
      <c r="AG84" t="s">
        <v>47</v>
      </c>
      <c r="AH84" t="s">
        <v>83</v>
      </c>
      <c r="AI84" t="s">
        <v>49</v>
      </c>
      <c r="AJ84">
        <v>3.1</v>
      </c>
      <c r="AK84">
        <v>8.3333333333333301E-2</v>
      </c>
      <c r="AL84">
        <v>0</v>
      </c>
    </row>
    <row r="85" spans="1:38" x14ac:dyDescent="0.35">
      <c r="A85" t="s">
        <v>225</v>
      </c>
      <c r="B85" t="s">
        <v>73</v>
      </c>
      <c r="C85" t="s">
        <v>121</v>
      </c>
      <c r="D85">
        <v>4.4000000000000004</v>
      </c>
      <c r="E85" t="s">
        <v>81</v>
      </c>
      <c r="F85">
        <v>35</v>
      </c>
      <c r="G85" t="s">
        <v>68</v>
      </c>
      <c r="H85" t="s">
        <v>55</v>
      </c>
      <c r="I85">
        <v>3</v>
      </c>
      <c r="J85">
        <v>18</v>
      </c>
      <c r="K85">
        <v>14</v>
      </c>
      <c r="L85">
        <v>1</v>
      </c>
      <c r="M85">
        <v>12</v>
      </c>
      <c r="N85">
        <v>0</v>
      </c>
      <c r="O85" t="s">
        <v>82</v>
      </c>
      <c r="P85">
        <v>21600</v>
      </c>
      <c r="Q85">
        <v>8.6999999999999993</v>
      </c>
      <c r="R85">
        <v>2</v>
      </c>
      <c r="S85">
        <v>0.1</v>
      </c>
      <c r="T85">
        <v>0</v>
      </c>
      <c r="U85">
        <v>3.9</v>
      </c>
      <c r="V85">
        <v>3.2</v>
      </c>
      <c r="W85">
        <v>3.6</v>
      </c>
      <c r="X85" t="s">
        <v>45</v>
      </c>
      <c r="Y85">
        <v>0</v>
      </c>
      <c r="Z85">
        <v>1</v>
      </c>
      <c r="AA85">
        <v>2.2000000000000002</v>
      </c>
      <c r="AB85">
        <v>1</v>
      </c>
      <c r="AC85" t="s">
        <v>46</v>
      </c>
      <c r="AE85">
        <v>0</v>
      </c>
      <c r="AF85">
        <v>0</v>
      </c>
      <c r="AG85" t="s">
        <v>47</v>
      </c>
      <c r="AH85" t="s">
        <v>76</v>
      </c>
      <c r="AI85" t="s">
        <v>49</v>
      </c>
      <c r="AJ85" s="1" t="s">
        <v>126</v>
      </c>
      <c r="AK85">
        <v>0.25</v>
      </c>
      <c r="AL85">
        <v>0</v>
      </c>
    </row>
    <row r="86" spans="1:38" x14ac:dyDescent="0.35">
      <c r="A86" t="s">
        <v>226</v>
      </c>
      <c r="B86" t="s">
        <v>73</v>
      </c>
      <c r="C86" t="s">
        <v>177</v>
      </c>
      <c r="D86">
        <v>4.5999999999999996</v>
      </c>
      <c r="E86" t="s">
        <v>110</v>
      </c>
      <c r="F86">
        <v>32</v>
      </c>
      <c r="G86" t="s">
        <v>68</v>
      </c>
      <c r="H86" t="s">
        <v>43</v>
      </c>
      <c r="I86">
        <v>2</v>
      </c>
      <c r="J86">
        <v>3.2</v>
      </c>
      <c r="K86">
        <v>6</v>
      </c>
      <c r="L86">
        <v>3</v>
      </c>
      <c r="M86">
        <v>12</v>
      </c>
      <c r="N86">
        <v>0</v>
      </c>
      <c r="O86" t="s">
        <v>70</v>
      </c>
      <c r="P86">
        <v>46400</v>
      </c>
      <c r="Q86">
        <v>11.9</v>
      </c>
      <c r="R86">
        <v>2.5</v>
      </c>
      <c r="S86">
        <v>0.9</v>
      </c>
      <c r="T86">
        <v>0</v>
      </c>
      <c r="U86">
        <v>3.6</v>
      </c>
      <c r="V86">
        <v>3.2</v>
      </c>
      <c r="W86">
        <v>2.9</v>
      </c>
      <c r="X86" t="s">
        <v>45</v>
      </c>
      <c r="Y86">
        <v>0</v>
      </c>
      <c r="Z86">
        <v>0</v>
      </c>
      <c r="AB86">
        <v>1</v>
      </c>
      <c r="AC86" t="s">
        <v>46</v>
      </c>
      <c r="AE86">
        <v>1</v>
      </c>
      <c r="AF86">
        <v>0</v>
      </c>
      <c r="AG86" t="s">
        <v>75</v>
      </c>
      <c r="AH86" t="s">
        <v>76</v>
      </c>
      <c r="AI86" t="s">
        <v>64</v>
      </c>
      <c r="AJ86" s="1" t="s">
        <v>227</v>
      </c>
      <c r="AK86" s="1" t="s">
        <v>84</v>
      </c>
      <c r="AL86">
        <v>0</v>
      </c>
    </row>
    <row r="87" spans="1:38" x14ac:dyDescent="0.35">
      <c r="A87" t="s">
        <v>228</v>
      </c>
      <c r="B87" t="s">
        <v>73</v>
      </c>
      <c r="C87" t="s">
        <v>121</v>
      </c>
      <c r="D87">
        <v>3.5</v>
      </c>
      <c r="E87" t="s">
        <v>81</v>
      </c>
      <c r="F87">
        <v>26</v>
      </c>
      <c r="G87" t="s">
        <v>54</v>
      </c>
      <c r="H87" t="s">
        <v>69</v>
      </c>
      <c r="I87">
        <v>2</v>
      </c>
      <c r="J87">
        <v>10.1</v>
      </c>
      <c r="K87">
        <v>15</v>
      </c>
      <c r="L87">
        <v>3</v>
      </c>
      <c r="M87">
        <v>12</v>
      </c>
      <c r="N87">
        <v>0</v>
      </c>
      <c r="O87" t="s">
        <v>82</v>
      </c>
      <c r="P87">
        <v>29300</v>
      </c>
      <c r="Q87">
        <v>6.8</v>
      </c>
      <c r="R87">
        <v>3.4</v>
      </c>
      <c r="S87">
        <v>1.4</v>
      </c>
      <c r="T87">
        <v>0</v>
      </c>
      <c r="U87">
        <v>4.3</v>
      </c>
      <c r="V87">
        <v>2.6</v>
      </c>
      <c r="W87">
        <v>2.8</v>
      </c>
      <c r="X87" t="s">
        <v>45</v>
      </c>
      <c r="Y87">
        <v>0</v>
      </c>
      <c r="Z87">
        <v>0</v>
      </c>
      <c r="AB87">
        <v>0</v>
      </c>
      <c r="AC87" t="s">
        <v>46</v>
      </c>
      <c r="AE87">
        <v>1</v>
      </c>
      <c r="AF87">
        <v>0</v>
      </c>
      <c r="AG87" t="s">
        <v>75</v>
      </c>
      <c r="AH87" t="s">
        <v>76</v>
      </c>
      <c r="AI87" t="s">
        <v>49</v>
      </c>
      <c r="AJ87" s="1" t="s">
        <v>198</v>
      </c>
      <c r="AK87" s="1" t="s">
        <v>84</v>
      </c>
      <c r="AL87">
        <v>0</v>
      </c>
    </row>
    <row r="88" spans="1:38" x14ac:dyDescent="0.35">
      <c r="A88" t="s">
        <v>229</v>
      </c>
      <c r="B88" t="s">
        <v>39</v>
      </c>
      <c r="C88" t="s">
        <v>40</v>
      </c>
      <c r="D88">
        <v>4.0999999999999996</v>
      </c>
      <c r="E88" t="s">
        <v>67</v>
      </c>
      <c r="F88">
        <v>21</v>
      </c>
      <c r="G88" t="s">
        <v>42</v>
      </c>
      <c r="H88" t="s">
        <v>55</v>
      </c>
      <c r="I88">
        <v>4</v>
      </c>
      <c r="J88">
        <v>7.2</v>
      </c>
      <c r="K88">
        <v>15</v>
      </c>
      <c r="L88">
        <v>0</v>
      </c>
      <c r="M88">
        <v>12</v>
      </c>
      <c r="N88">
        <v>0</v>
      </c>
      <c r="O88" t="s">
        <v>82</v>
      </c>
      <c r="P88">
        <v>33400</v>
      </c>
      <c r="Q88">
        <v>9.8000000000000007</v>
      </c>
      <c r="R88">
        <v>3.6</v>
      </c>
      <c r="S88">
        <v>1.2</v>
      </c>
      <c r="T88">
        <v>0</v>
      </c>
      <c r="U88">
        <v>3.2</v>
      </c>
      <c r="V88">
        <v>2.7</v>
      </c>
      <c r="W88">
        <v>2.1</v>
      </c>
      <c r="X88" t="s">
        <v>45</v>
      </c>
      <c r="Y88">
        <v>0</v>
      </c>
      <c r="Z88">
        <v>2</v>
      </c>
      <c r="AB88">
        <v>0</v>
      </c>
      <c r="AC88" t="s">
        <v>46</v>
      </c>
      <c r="AE88">
        <v>1</v>
      </c>
      <c r="AF88">
        <v>0</v>
      </c>
      <c r="AG88" t="s">
        <v>47</v>
      </c>
      <c r="AH88" t="s">
        <v>76</v>
      </c>
      <c r="AI88" t="s">
        <v>64</v>
      </c>
      <c r="AJ88" s="1" t="s">
        <v>230</v>
      </c>
      <c r="AK88" s="1" t="s">
        <v>115</v>
      </c>
      <c r="AL88">
        <v>0</v>
      </c>
    </row>
    <row r="89" spans="1:38" x14ac:dyDescent="0.35">
      <c r="A89" t="s">
        <v>231</v>
      </c>
      <c r="B89" t="s">
        <v>52</v>
      </c>
      <c r="C89" t="s">
        <v>93</v>
      </c>
      <c r="D89">
        <v>3.1</v>
      </c>
      <c r="E89" t="s">
        <v>67</v>
      </c>
      <c r="F89">
        <v>27</v>
      </c>
      <c r="G89" t="s">
        <v>68</v>
      </c>
      <c r="H89" t="s">
        <v>55</v>
      </c>
      <c r="I89">
        <v>3</v>
      </c>
      <c r="J89">
        <v>6.4</v>
      </c>
      <c r="K89">
        <v>8</v>
      </c>
      <c r="L89">
        <v>2</v>
      </c>
      <c r="M89">
        <v>12</v>
      </c>
      <c r="N89">
        <v>0</v>
      </c>
      <c r="O89" t="s">
        <v>70</v>
      </c>
      <c r="P89">
        <v>44600</v>
      </c>
      <c r="Q89">
        <v>9.1999999999999993</v>
      </c>
      <c r="R89">
        <v>5</v>
      </c>
      <c r="S89">
        <v>1.1000000000000001</v>
      </c>
      <c r="T89">
        <v>0</v>
      </c>
      <c r="U89">
        <v>2.8</v>
      </c>
      <c r="V89">
        <v>4.4000000000000004</v>
      </c>
      <c r="W89">
        <v>3.5</v>
      </c>
      <c r="X89" t="s">
        <v>45</v>
      </c>
      <c r="Y89">
        <v>0</v>
      </c>
      <c r="Z89">
        <v>1</v>
      </c>
      <c r="AA89">
        <v>2.1</v>
      </c>
      <c r="AB89">
        <v>1</v>
      </c>
      <c r="AC89" t="s">
        <v>46</v>
      </c>
      <c r="AE89">
        <v>0</v>
      </c>
      <c r="AF89">
        <v>0</v>
      </c>
      <c r="AG89" t="s">
        <v>47</v>
      </c>
      <c r="AH89" t="s">
        <v>76</v>
      </c>
      <c r="AI89" t="s">
        <v>64</v>
      </c>
      <c r="AJ89" s="1" t="s">
        <v>126</v>
      </c>
      <c r="AK89">
        <v>0.25</v>
      </c>
      <c r="AL89">
        <v>0</v>
      </c>
    </row>
    <row r="90" spans="1:38" x14ac:dyDescent="0.35">
      <c r="A90" t="s">
        <v>232</v>
      </c>
      <c r="B90" t="s">
        <v>73</v>
      </c>
      <c r="C90" t="s">
        <v>113</v>
      </c>
      <c r="D90">
        <v>7.1</v>
      </c>
      <c r="E90" t="s">
        <v>81</v>
      </c>
      <c r="F90">
        <v>36</v>
      </c>
      <c r="G90" t="s">
        <v>42</v>
      </c>
      <c r="H90" t="s">
        <v>94</v>
      </c>
      <c r="I90">
        <v>2</v>
      </c>
      <c r="J90">
        <v>5.5</v>
      </c>
      <c r="K90">
        <v>11</v>
      </c>
      <c r="L90">
        <v>1</v>
      </c>
      <c r="M90">
        <v>12</v>
      </c>
      <c r="N90">
        <v>0</v>
      </c>
      <c r="O90" t="s">
        <v>82</v>
      </c>
      <c r="P90">
        <v>30300</v>
      </c>
      <c r="Q90">
        <v>11.5</v>
      </c>
      <c r="R90">
        <v>1.6</v>
      </c>
      <c r="S90">
        <v>2.2000000000000002</v>
      </c>
      <c r="T90">
        <v>0</v>
      </c>
      <c r="U90">
        <v>1.8</v>
      </c>
      <c r="V90">
        <v>3.6</v>
      </c>
      <c r="W90">
        <v>4.3</v>
      </c>
      <c r="X90" t="s">
        <v>45</v>
      </c>
      <c r="Y90">
        <v>0</v>
      </c>
      <c r="Z90">
        <v>2</v>
      </c>
      <c r="AA90">
        <v>6.9</v>
      </c>
      <c r="AB90">
        <v>1</v>
      </c>
      <c r="AC90" t="s">
        <v>46</v>
      </c>
      <c r="AE90">
        <v>0</v>
      </c>
      <c r="AF90">
        <v>0</v>
      </c>
      <c r="AG90" t="s">
        <v>47</v>
      </c>
      <c r="AH90" t="s">
        <v>83</v>
      </c>
      <c r="AI90" t="s">
        <v>64</v>
      </c>
      <c r="AJ90" s="1" t="s">
        <v>198</v>
      </c>
      <c r="AK90" s="1" t="s">
        <v>84</v>
      </c>
      <c r="AL90">
        <v>0</v>
      </c>
    </row>
    <row r="91" spans="1:38" x14ac:dyDescent="0.35">
      <c r="A91" t="s">
        <v>233</v>
      </c>
      <c r="B91" t="s">
        <v>117</v>
      </c>
      <c r="C91" t="s">
        <v>197</v>
      </c>
      <c r="D91">
        <v>2.1</v>
      </c>
      <c r="E91" t="s">
        <v>81</v>
      </c>
      <c r="F91">
        <v>27</v>
      </c>
      <c r="G91" t="s">
        <v>234</v>
      </c>
      <c r="H91" t="s">
        <v>55</v>
      </c>
      <c r="I91">
        <v>5</v>
      </c>
      <c r="J91">
        <v>19.100000000000001</v>
      </c>
      <c r="K91">
        <v>14</v>
      </c>
      <c r="L91">
        <v>3</v>
      </c>
      <c r="M91">
        <v>12</v>
      </c>
      <c r="N91">
        <v>0</v>
      </c>
      <c r="O91" t="s">
        <v>82</v>
      </c>
      <c r="P91">
        <v>31900</v>
      </c>
      <c r="Q91">
        <v>4.7</v>
      </c>
      <c r="R91">
        <v>3.2</v>
      </c>
      <c r="S91">
        <v>0.4</v>
      </c>
      <c r="T91">
        <v>0</v>
      </c>
      <c r="U91">
        <v>3.1</v>
      </c>
      <c r="V91">
        <v>2.7</v>
      </c>
      <c r="W91">
        <v>4</v>
      </c>
      <c r="X91" t="s">
        <v>89</v>
      </c>
      <c r="Y91">
        <v>0</v>
      </c>
      <c r="Z91">
        <v>0</v>
      </c>
      <c r="AB91">
        <v>0</v>
      </c>
      <c r="AC91" t="s">
        <v>46</v>
      </c>
      <c r="AE91">
        <v>1</v>
      </c>
      <c r="AF91">
        <v>0</v>
      </c>
      <c r="AG91" t="s">
        <v>75</v>
      </c>
      <c r="AH91" t="s">
        <v>48</v>
      </c>
      <c r="AI91" t="s">
        <v>49</v>
      </c>
      <c r="AJ91" s="1" t="s">
        <v>235</v>
      </c>
      <c r="AK91" s="1" t="s">
        <v>127</v>
      </c>
      <c r="AL91">
        <v>0</v>
      </c>
    </row>
    <row r="92" spans="1:38" x14ac:dyDescent="0.35">
      <c r="A92" t="s">
        <v>236</v>
      </c>
      <c r="B92" t="s">
        <v>73</v>
      </c>
      <c r="C92" t="s">
        <v>74</v>
      </c>
      <c r="D92">
        <v>1</v>
      </c>
      <c r="E92" t="s">
        <v>67</v>
      </c>
      <c r="F92">
        <v>30</v>
      </c>
      <c r="G92" t="s">
        <v>68</v>
      </c>
      <c r="H92" t="s">
        <v>69</v>
      </c>
      <c r="I92">
        <v>6</v>
      </c>
      <c r="J92">
        <v>26.9</v>
      </c>
      <c r="K92">
        <v>8</v>
      </c>
      <c r="L92">
        <v>1</v>
      </c>
      <c r="M92">
        <v>12</v>
      </c>
      <c r="N92">
        <v>0</v>
      </c>
      <c r="O92" t="s">
        <v>70</v>
      </c>
      <c r="P92">
        <v>39600</v>
      </c>
      <c r="Q92">
        <v>0</v>
      </c>
      <c r="R92">
        <v>3.1</v>
      </c>
      <c r="S92">
        <v>1.7</v>
      </c>
      <c r="T92">
        <v>0</v>
      </c>
      <c r="U92">
        <v>3.8</v>
      </c>
      <c r="V92">
        <v>2.4</v>
      </c>
      <c r="W92">
        <v>4.5999999999999996</v>
      </c>
      <c r="X92" t="s">
        <v>45</v>
      </c>
      <c r="Y92">
        <v>0</v>
      </c>
      <c r="Z92">
        <v>0</v>
      </c>
      <c r="AB92">
        <v>0</v>
      </c>
      <c r="AC92" t="s">
        <v>124</v>
      </c>
      <c r="AD92" s="2">
        <v>45448</v>
      </c>
      <c r="AE92">
        <v>1</v>
      </c>
      <c r="AF92">
        <v>0</v>
      </c>
      <c r="AG92" t="s">
        <v>75</v>
      </c>
      <c r="AH92" t="s">
        <v>95</v>
      </c>
      <c r="AI92" t="s">
        <v>57</v>
      </c>
      <c r="AJ92" s="1" t="s">
        <v>237</v>
      </c>
      <c r="AK92">
        <v>0.5</v>
      </c>
      <c r="AL92">
        <v>1</v>
      </c>
    </row>
    <row r="93" spans="1:38" x14ac:dyDescent="0.35">
      <c r="A93" t="s">
        <v>238</v>
      </c>
      <c r="B93" t="s">
        <v>39</v>
      </c>
      <c r="C93" t="s">
        <v>88</v>
      </c>
      <c r="D93">
        <v>2.4</v>
      </c>
      <c r="E93" t="s">
        <v>62</v>
      </c>
      <c r="F93">
        <v>29</v>
      </c>
      <c r="G93" t="s">
        <v>54</v>
      </c>
      <c r="H93" t="s">
        <v>69</v>
      </c>
      <c r="I93">
        <v>4</v>
      </c>
      <c r="J93">
        <v>8.1999999999999993</v>
      </c>
      <c r="K93">
        <v>8</v>
      </c>
      <c r="L93">
        <v>3</v>
      </c>
      <c r="M93">
        <v>12</v>
      </c>
      <c r="N93">
        <v>0</v>
      </c>
      <c r="O93" t="s">
        <v>56</v>
      </c>
      <c r="P93">
        <v>95400</v>
      </c>
      <c r="Q93">
        <v>7.1</v>
      </c>
      <c r="R93">
        <v>3.4</v>
      </c>
      <c r="S93">
        <v>1</v>
      </c>
      <c r="T93">
        <v>0</v>
      </c>
      <c r="U93">
        <v>4</v>
      </c>
      <c r="V93">
        <v>2.5</v>
      </c>
      <c r="W93">
        <v>2.9</v>
      </c>
      <c r="X93" t="s">
        <v>45</v>
      </c>
      <c r="Y93">
        <v>0</v>
      </c>
      <c r="Z93">
        <v>0</v>
      </c>
      <c r="AB93">
        <v>0</v>
      </c>
      <c r="AC93" t="s">
        <v>46</v>
      </c>
      <c r="AE93">
        <v>1</v>
      </c>
      <c r="AF93">
        <v>0</v>
      </c>
      <c r="AG93" t="s">
        <v>75</v>
      </c>
      <c r="AH93" t="s">
        <v>48</v>
      </c>
      <c r="AI93" t="s">
        <v>64</v>
      </c>
      <c r="AJ93" s="1" t="s">
        <v>50</v>
      </c>
      <c r="AK93" s="1" t="s">
        <v>115</v>
      </c>
      <c r="AL93">
        <v>0</v>
      </c>
    </row>
    <row r="94" spans="1:38" x14ac:dyDescent="0.35">
      <c r="A94" t="s">
        <v>239</v>
      </c>
      <c r="B94" t="s">
        <v>52</v>
      </c>
      <c r="C94" t="s">
        <v>153</v>
      </c>
      <c r="D94">
        <v>2.2000000000000002</v>
      </c>
      <c r="E94" t="s">
        <v>110</v>
      </c>
      <c r="F94">
        <v>33</v>
      </c>
      <c r="G94" t="s">
        <v>42</v>
      </c>
      <c r="H94" t="s">
        <v>94</v>
      </c>
      <c r="I94">
        <v>4</v>
      </c>
      <c r="J94">
        <v>13.3</v>
      </c>
      <c r="K94">
        <v>6</v>
      </c>
      <c r="L94">
        <v>1</v>
      </c>
      <c r="M94">
        <v>12</v>
      </c>
      <c r="N94">
        <v>0</v>
      </c>
      <c r="O94" t="s">
        <v>70</v>
      </c>
      <c r="P94">
        <v>45900</v>
      </c>
      <c r="Q94">
        <v>7.1</v>
      </c>
      <c r="R94">
        <v>4.8</v>
      </c>
      <c r="S94">
        <v>0.9</v>
      </c>
      <c r="T94">
        <v>0</v>
      </c>
      <c r="U94">
        <v>2</v>
      </c>
      <c r="V94">
        <v>3.1</v>
      </c>
      <c r="W94">
        <v>4.0999999999999996</v>
      </c>
      <c r="X94" t="s">
        <v>45</v>
      </c>
      <c r="Y94">
        <v>0</v>
      </c>
      <c r="Z94">
        <v>0</v>
      </c>
      <c r="AB94">
        <v>0</v>
      </c>
      <c r="AC94" t="s">
        <v>46</v>
      </c>
      <c r="AE94">
        <v>1</v>
      </c>
      <c r="AF94">
        <v>0</v>
      </c>
      <c r="AG94" t="s">
        <v>75</v>
      </c>
      <c r="AH94" t="s">
        <v>48</v>
      </c>
      <c r="AI94" t="s">
        <v>49</v>
      </c>
      <c r="AJ94" s="1" t="s">
        <v>159</v>
      </c>
      <c r="AK94" s="1" t="s">
        <v>115</v>
      </c>
      <c r="AL94">
        <v>0</v>
      </c>
    </row>
    <row r="95" spans="1:38" x14ac:dyDescent="0.35">
      <c r="A95" t="s">
        <v>240</v>
      </c>
      <c r="B95" t="s">
        <v>98</v>
      </c>
      <c r="C95" t="s">
        <v>148</v>
      </c>
      <c r="D95">
        <v>2.4</v>
      </c>
      <c r="E95" t="s">
        <v>67</v>
      </c>
      <c r="F95">
        <v>27</v>
      </c>
      <c r="G95" t="s">
        <v>68</v>
      </c>
      <c r="H95" t="s">
        <v>69</v>
      </c>
      <c r="I95">
        <v>0</v>
      </c>
      <c r="J95">
        <v>10.3</v>
      </c>
      <c r="K95">
        <v>13</v>
      </c>
      <c r="L95">
        <v>4</v>
      </c>
      <c r="M95">
        <v>12</v>
      </c>
      <c r="N95">
        <v>0</v>
      </c>
      <c r="O95" t="s">
        <v>70</v>
      </c>
      <c r="P95">
        <v>42500</v>
      </c>
      <c r="Q95">
        <v>3.4</v>
      </c>
      <c r="R95">
        <v>4</v>
      </c>
      <c r="S95">
        <v>1.9</v>
      </c>
      <c r="T95">
        <v>0</v>
      </c>
      <c r="U95">
        <v>4.4000000000000004</v>
      </c>
      <c r="V95">
        <v>4</v>
      </c>
      <c r="W95">
        <v>2.5</v>
      </c>
      <c r="X95" t="s">
        <v>45</v>
      </c>
      <c r="Y95">
        <v>0</v>
      </c>
      <c r="Z95">
        <v>2</v>
      </c>
      <c r="AA95">
        <v>0.4</v>
      </c>
      <c r="AB95">
        <v>0</v>
      </c>
      <c r="AC95" t="s">
        <v>46</v>
      </c>
      <c r="AE95">
        <v>0</v>
      </c>
      <c r="AF95">
        <v>0</v>
      </c>
      <c r="AG95" t="s">
        <v>47</v>
      </c>
      <c r="AH95" t="s">
        <v>48</v>
      </c>
      <c r="AI95" t="s">
        <v>49</v>
      </c>
      <c r="AJ95" s="1" t="s">
        <v>190</v>
      </c>
      <c r="AK95">
        <v>0</v>
      </c>
      <c r="AL95">
        <v>0</v>
      </c>
    </row>
    <row r="96" spans="1:38" x14ac:dyDescent="0.35">
      <c r="A96" t="s">
        <v>241</v>
      </c>
      <c r="B96" t="s">
        <v>98</v>
      </c>
      <c r="C96" t="s">
        <v>148</v>
      </c>
      <c r="D96">
        <v>3.4</v>
      </c>
      <c r="E96" t="s">
        <v>81</v>
      </c>
      <c r="F96">
        <v>31</v>
      </c>
      <c r="G96" t="s">
        <v>234</v>
      </c>
      <c r="H96" t="s">
        <v>94</v>
      </c>
      <c r="I96">
        <v>3</v>
      </c>
      <c r="J96">
        <v>1.6</v>
      </c>
      <c r="K96">
        <v>10</v>
      </c>
      <c r="L96">
        <v>0</v>
      </c>
      <c r="M96">
        <v>12</v>
      </c>
      <c r="N96">
        <v>0</v>
      </c>
      <c r="O96" t="s">
        <v>82</v>
      </c>
      <c r="P96">
        <v>30100</v>
      </c>
      <c r="Q96">
        <v>2</v>
      </c>
      <c r="R96">
        <v>1.8</v>
      </c>
      <c r="S96">
        <v>1.5</v>
      </c>
      <c r="T96">
        <v>0</v>
      </c>
      <c r="U96">
        <v>2.4</v>
      </c>
      <c r="V96">
        <v>2.4</v>
      </c>
      <c r="W96">
        <v>4</v>
      </c>
      <c r="X96" t="s">
        <v>45</v>
      </c>
      <c r="Y96">
        <v>0</v>
      </c>
      <c r="Z96">
        <v>2</v>
      </c>
      <c r="AA96">
        <v>1</v>
      </c>
      <c r="AB96">
        <v>0</v>
      </c>
      <c r="AC96" t="s">
        <v>46</v>
      </c>
      <c r="AE96">
        <v>0</v>
      </c>
      <c r="AF96">
        <v>0</v>
      </c>
      <c r="AG96" t="s">
        <v>47</v>
      </c>
      <c r="AH96" t="s">
        <v>76</v>
      </c>
      <c r="AI96" t="s">
        <v>64</v>
      </c>
      <c r="AJ96" s="1" t="s">
        <v>141</v>
      </c>
      <c r="AK96">
        <v>0.25</v>
      </c>
      <c r="AL96">
        <v>0</v>
      </c>
    </row>
    <row r="97" spans="1:38" x14ac:dyDescent="0.35">
      <c r="A97" t="s">
        <v>242</v>
      </c>
      <c r="B97" t="s">
        <v>39</v>
      </c>
      <c r="C97" t="s">
        <v>40</v>
      </c>
      <c r="D97">
        <v>2.5</v>
      </c>
      <c r="E97" t="s">
        <v>110</v>
      </c>
      <c r="F97">
        <v>31</v>
      </c>
      <c r="G97" t="s">
        <v>54</v>
      </c>
      <c r="H97" t="s">
        <v>69</v>
      </c>
      <c r="I97">
        <v>0</v>
      </c>
      <c r="J97">
        <v>7.9</v>
      </c>
      <c r="K97">
        <v>8</v>
      </c>
      <c r="L97">
        <v>3</v>
      </c>
      <c r="M97">
        <v>12</v>
      </c>
      <c r="N97">
        <v>0</v>
      </c>
      <c r="O97" t="s">
        <v>44</v>
      </c>
      <c r="P97">
        <v>65500</v>
      </c>
      <c r="Q97">
        <v>5.7</v>
      </c>
      <c r="R97">
        <v>4.5999999999999996</v>
      </c>
      <c r="S97">
        <v>1.8</v>
      </c>
      <c r="T97">
        <v>0</v>
      </c>
      <c r="U97">
        <v>3.2</v>
      </c>
      <c r="V97">
        <v>4</v>
      </c>
      <c r="W97">
        <v>4.7</v>
      </c>
      <c r="X97" t="s">
        <v>89</v>
      </c>
      <c r="Y97">
        <v>0</v>
      </c>
      <c r="Z97">
        <v>2</v>
      </c>
      <c r="AA97">
        <v>1.7</v>
      </c>
      <c r="AB97">
        <v>0</v>
      </c>
      <c r="AC97" t="s">
        <v>46</v>
      </c>
      <c r="AE97">
        <v>0</v>
      </c>
      <c r="AF97">
        <v>0</v>
      </c>
      <c r="AG97" t="s">
        <v>47</v>
      </c>
      <c r="AH97" t="s">
        <v>48</v>
      </c>
      <c r="AI97" t="s">
        <v>64</v>
      </c>
      <c r="AJ97" s="1" t="s">
        <v>243</v>
      </c>
      <c r="AK97">
        <v>0</v>
      </c>
      <c r="AL97">
        <v>0</v>
      </c>
    </row>
    <row r="98" spans="1:38" x14ac:dyDescent="0.35">
      <c r="A98" t="s">
        <v>244</v>
      </c>
      <c r="B98" t="s">
        <v>98</v>
      </c>
      <c r="C98" t="s">
        <v>151</v>
      </c>
      <c r="D98">
        <v>3.3</v>
      </c>
      <c r="E98" t="s">
        <v>81</v>
      </c>
      <c r="F98">
        <v>35</v>
      </c>
      <c r="G98" t="s">
        <v>54</v>
      </c>
      <c r="H98" t="s">
        <v>43</v>
      </c>
      <c r="I98">
        <v>6</v>
      </c>
      <c r="J98">
        <v>1.2</v>
      </c>
      <c r="K98">
        <v>9</v>
      </c>
      <c r="L98">
        <v>2</v>
      </c>
      <c r="M98">
        <v>12</v>
      </c>
      <c r="N98">
        <v>0</v>
      </c>
      <c r="O98" t="s">
        <v>82</v>
      </c>
      <c r="P98">
        <v>31400</v>
      </c>
      <c r="Q98">
        <v>7.5</v>
      </c>
      <c r="R98">
        <v>4.5999999999999996</v>
      </c>
      <c r="S98">
        <v>5.3</v>
      </c>
      <c r="T98">
        <v>0</v>
      </c>
      <c r="U98">
        <v>2.8</v>
      </c>
      <c r="V98">
        <v>3.4</v>
      </c>
      <c r="W98">
        <v>3.8</v>
      </c>
      <c r="X98" t="s">
        <v>45</v>
      </c>
      <c r="Y98">
        <v>0</v>
      </c>
      <c r="Z98">
        <v>1</v>
      </c>
      <c r="AA98">
        <v>1.6</v>
      </c>
      <c r="AB98">
        <v>1</v>
      </c>
      <c r="AC98" t="s">
        <v>46</v>
      </c>
      <c r="AE98">
        <v>0</v>
      </c>
      <c r="AF98">
        <v>0</v>
      </c>
      <c r="AG98" t="s">
        <v>47</v>
      </c>
      <c r="AH98" t="s">
        <v>76</v>
      </c>
      <c r="AI98" t="s">
        <v>64</v>
      </c>
      <c r="AJ98" s="1" t="s">
        <v>90</v>
      </c>
      <c r="AK98">
        <v>0.5</v>
      </c>
      <c r="AL98">
        <v>0</v>
      </c>
    </row>
    <row r="99" spans="1:38" x14ac:dyDescent="0.35">
      <c r="A99" t="s">
        <v>245</v>
      </c>
      <c r="B99" t="s">
        <v>73</v>
      </c>
      <c r="C99" t="s">
        <v>74</v>
      </c>
      <c r="D99">
        <v>2.5</v>
      </c>
      <c r="E99" t="s">
        <v>110</v>
      </c>
      <c r="F99">
        <v>22</v>
      </c>
      <c r="G99" t="s">
        <v>68</v>
      </c>
      <c r="H99" t="s">
        <v>43</v>
      </c>
      <c r="I99">
        <v>4</v>
      </c>
      <c r="J99">
        <v>6.7</v>
      </c>
      <c r="K99">
        <v>8</v>
      </c>
      <c r="L99">
        <v>1</v>
      </c>
      <c r="M99">
        <v>12</v>
      </c>
      <c r="N99">
        <v>0</v>
      </c>
      <c r="O99" t="s">
        <v>70</v>
      </c>
      <c r="P99">
        <v>49900</v>
      </c>
      <c r="Q99">
        <v>8.4</v>
      </c>
      <c r="R99">
        <v>3.4</v>
      </c>
      <c r="S99">
        <v>1</v>
      </c>
      <c r="T99">
        <v>0</v>
      </c>
      <c r="U99">
        <v>3.7</v>
      </c>
      <c r="V99">
        <v>3.3</v>
      </c>
      <c r="W99">
        <v>4.7</v>
      </c>
      <c r="X99" t="s">
        <v>45</v>
      </c>
      <c r="Y99">
        <v>0</v>
      </c>
      <c r="Z99">
        <v>0</v>
      </c>
      <c r="AB99">
        <v>0</v>
      </c>
      <c r="AC99" t="s">
        <v>46</v>
      </c>
      <c r="AE99">
        <v>1</v>
      </c>
      <c r="AF99">
        <v>0</v>
      </c>
      <c r="AG99" t="s">
        <v>75</v>
      </c>
      <c r="AH99" t="s">
        <v>48</v>
      </c>
      <c r="AI99" t="s">
        <v>64</v>
      </c>
      <c r="AJ99">
        <v>3.9</v>
      </c>
      <c r="AK99" s="1" t="s">
        <v>115</v>
      </c>
      <c r="AL99">
        <v>0</v>
      </c>
    </row>
    <row r="100" spans="1:38" x14ac:dyDescent="0.35">
      <c r="A100" t="s">
        <v>246</v>
      </c>
      <c r="B100" t="s">
        <v>73</v>
      </c>
      <c r="C100" t="s">
        <v>74</v>
      </c>
      <c r="D100">
        <v>5</v>
      </c>
      <c r="E100" t="s">
        <v>110</v>
      </c>
      <c r="F100">
        <v>29</v>
      </c>
      <c r="G100" t="s">
        <v>54</v>
      </c>
      <c r="H100" t="s">
        <v>43</v>
      </c>
      <c r="I100">
        <v>3</v>
      </c>
      <c r="J100">
        <v>9.9</v>
      </c>
      <c r="K100">
        <v>10</v>
      </c>
      <c r="L100">
        <v>0</v>
      </c>
      <c r="M100">
        <v>12</v>
      </c>
      <c r="N100">
        <v>0</v>
      </c>
      <c r="O100" t="s">
        <v>44</v>
      </c>
      <c r="P100">
        <v>56200</v>
      </c>
      <c r="Q100">
        <v>0</v>
      </c>
      <c r="R100">
        <v>1.7</v>
      </c>
      <c r="S100">
        <v>0.2</v>
      </c>
      <c r="T100">
        <v>0</v>
      </c>
      <c r="U100">
        <v>3.4</v>
      </c>
      <c r="V100">
        <v>4.0999999999999996</v>
      </c>
      <c r="W100">
        <v>2.9</v>
      </c>
      <c r="X100" t="s">
        <v>45</v>
      </c>
      <c r="Y100">
        <v>0</v>
      </c>
      <c r="Z100">
        <v>0</v>
      </c>
      <c r="AB100">
        <v>0</v>
      </c>
      <c r="AC100" t="s">
        <v>46</v>
      </c>
      <c r="AE100">
        <v>1</v>
      </c>
      <c r="AF100">
        <v>0</v>
      </c>
      <c r="AG100" t="s">
        <v>75</v>
      </c>
      <c r="AH100" t="s">
        <v>76</v>
      </c>
      <c r="AI100" t="s">
        <v>64</v>
      </c>
      <c r="AJ100" s="1" t="s">
        <v>77</v>
      </c>
      <c r="AK100">
        <v>0.25</v>
      </c>
      <c r="AL100">
        <v>0</v>
      </c>
    </row>
    <row r="101" spans="1:38" x14ac:dyDescent="0.35">
      <c r="A101" t="s">
        <v>247</v>
      </c>
      <c r="B101" t="s">
        <v>60</v>
      </c>
      <c r="C101" t="s">
        <v>80</v>
      </c>
      <c r="D101">
        <v>14.7</v>
      </c>
      <c r="E101" t="s">
        <v>67</v>
      </c>
      <c r="F101">
        <v>44</v>
      </c>
      <c r="G101" t="s">
        <v>54</v>
      </c>
      <c r="H101" t="s">
        <v>43</v>
      </c>
      <c r="I101">
        <v>4</v>
      </c>
      <c r="J101">
        <v>17</v>
      </c>
      <c r="K101">
        <v>15</v>
      </c>
      <c r="L101">
        <v>3</v>
      </c>
      <c r="M101">
        <v>12</v>
      </c>
      <c r="N101">
        <v>0</v>
      </c>
      <c r="O101" t="s">
        <v>70</v>
      </c>
      <c r="P101">
        <v>47500</v>
      </c>
      <c r="Q101">
        <v>1</v>
      </c>
      <c r="R101">
        <v>3.1</v>
      </c>
      <c r="S101">
        <v>0.4</v>
      </c>
      <c r="T101">
        <v>0</v>
      </c>
      <c r="U101">
        <v>3.9</v>
      </c>
      <c r="V101">
        <v>4</v>
      </c>
      <c r="W101">
        <v>3.3</v>
      </c>
      <c r="X101" t="s">
        <v>45</v>
      </c>
      <c r="Y101">
        <v>0</v>
      </c>
      <c r="Z101">
        <v>2</v>
      </c>
      <c r="AA101">
        <v>7.2</v>
      </c>
      <c r="AB101">
        <v>0</v>
      </c>
      <c r="AC101" t="s">
        <v>46</v>
      </c>
      <c r="AE101">
        <v>0</v>
      </c>
      <c r="AF101">
        <v>0</v>
      </c>
      <c r="AG101" t="s">
        <v>47</v>
      </c>
      <c r="AH101" t="s">
        <v>83</v>
      </c>
      <c r="AI101" t="s">
        <v>49</v>
      </c>
      <c r="AJ101" s="1" t="s">
        <v>114</v>
      </c>
      <c r="AK101" s="1" t="s">
        <v>115</v>
      </c>
      <c r="AL101">
        <v>0</v>
      </c>
    </row>
    <row r="102" spans="1:38" x14ac:dyDescent="0.35">
      <c r="A102" t="s">
        <v>248</v>
      </c>
      <c r="B102" t="s">
        <v>60</v>
      </c>
      <c r="C102" t="s">
        <v>107</v>
      </c>
      <c r="D102">
        <v>4.3</v>
      </c>
      <c r="E102" t="s">
        <v>67</v>
      </c>
      <c r="F102">
        <v>36</v>
      </c>
      <c r="G102" t="s">
        <v>68</v>
      </c>
      <c r="H102" t="s">
        <v>55</v>
      </c>
      <c r="I102">
        <v>4</v>
      </c>
      <c r="J102">
        <v>12.4</v>
      </c>
      <c r="K102">
        <v>10</v>
      </c>
      <c r="L102">
        <v>3</v>
      </c>
      <c r="M102">
        <v>12</v>
      </c>
      <c r="N102">
        <v>0</v>
      </c>
      <c r="O102" t="s">
        <v>70</v>
      </c>
      <c r="P102">
        <v>44800</v>
      </c>
      <c r="Q102">
        <v>12.5</v>
      </c>
      <c r="R102">
        <v>3.6</v>
      </c>
      <c r="S102">
        <v>3.9</v>
      </c>
      <c r="T102">
        <v>0</v>
      </c>
      <c r="U102">
        <v>5</v>
      </c>
      <c r="V102">
        <v>1.9</v>
      </c>
      <c r="W102">
        <v>2.7</v>
      </c>
      <c r="X102" t="s">
        <v>45</v>
      </c>
      <c r="Y102">
        <v>0</v>
      </c>
      <c r="Z102">
        <v>1</v>
      </c>
      <c r="AA102">
        <v>2.9</v>
      </c>
      <c r="AB102">
        <v>0</v>
      </c>
      <c r="AC102" t="s">
        <v>46</v>
      </c>
      <c r="AE102">
        <v>0</v>
      </c>
      <c r="AF102">
        <v>0</v>
      </c>
      <c r="AG102" t="s">
        <v>47</v>
      </c>
      <c r="AH102" t="s">
        <v>76</v>
      </c>
      <c r="AI102" t="s">
        <v>49</v>
      </c>
      <c r="AJ102" s="1" t="s">
        <v>249</v>
      </c>
      <c r="AK102" s="1" t="s">
        <v>115</v>
      </c>
      <c r="AL102">
        <v>0</v>
      </c>
    </row>
    <row r="103" spans="1:38" x14ac:dyDescent="0.35">
      <c r="A103" t="s">
        <v>250</v>
      </c>
      <c r="B103" t="s">
        <v>39</v>
      </c>
      <c r="C103" t="s">
        <v>40</v>
      </c>
      <c r="D103">
        <v>2.5</v>
      </c>
      <c r="E103" t="s">
        <v>81</v>
      </c>
      <c r="F103">
        <v>29</v>
      </c>
      <c r="G103" t="s">
        <v>68</v>
      </c>
      <c r="H103" t="s">
        <v>43</v>
      </c>
      <c r="I103">
        <v>5</v>
      </c>
      <c r="J103">
        <v>19.399999999999999</v>
      </c>
      <c r="K103">
        <v>6</v>
      </c>
      <c r="L103">
        <v>1</v>
      </c>
      <c r="M103">
        <v>12</v>
      </c>
      <c r="N103">
        <v>0</v>
      </c>
      <c r="O103" t="s">
        <v>82</v>
      </c>
      <c r="P103">
        <v>32700</v>
      </c>
      <c r="Q103">
        <v>7.2</v>
      </c>
      <c r="R103">
        <v>4.0999999999999996</v>
      </c>
      <c r="S103">
        <v>0.8</v>
      </c>
      <c r="T103">
        <v>0</v>
      </c>
      <c r="U103">
        <v>3.7</v>
      </c>
      <c r="V103">
        <v>2.2000000000000002</v>
      </c>
      <c r="W103">
        <v>3.4</v>
      </c>
      <c r="X103" t="s">
        <v>45</v>
      </c>
      <c r="Y103">
        <v>0</v>
      </c>
      <c r="Z103">
        <v>1</v>
      </c>
      <c r="AA103">
        <v>1.6</v>
      </c>
      <c r="AB103">
        <v>1</v>
      </c>
      <c r="AC103" t="s">
        <v>46</v>
      </c>
      <c r="AE103">
        <v>0</v>
      </c>
      <c r="AF103">
        <v>0</v>
      </c>
      <c r="AG103" t="s">
        <v>47</v>
      </c>
      <c r="AH103" t="s">
        <v>48</v>
      </c>
      <c r="AI103" t="s">
        <v>49</v>
      </c>
      <c r="AJ103">
        <v>3.1</v>
      </c>
      <c r="AK103" s="1" t="s">
        <v>127</v>
      </c>
      <c r="AL103">
        <v>0</v>
      </c>
    </row>
    <row r="104" spans="1:38" x14ac:dyDescent="0.35">
      <c r="A104" t="s">
        <v>251</v>
      </c>
      <c r="B104" t="s">
        <v>98</v>
      </c>
      <c r="C104" t="s">
        <v>148</v>
      </c>
      <c r="D104">
        <v>0.3</v>
      </c>
      <c r="E104" t="s">
        <v>81</v>
      </c>
      <c r="F104">
        <v>25</v>
      </c>
      <c r="G104" t="s">
        <v>68</v>
      </c>
      <c r="H104" t="s">
        <v>43</v>
      </c>
      <c r="I104">
        <v>2</v>
      </c>
      <c r="J104">
        <v>4.7</v>
      </c>
      <c r="K104">
        <v>9</v>
      </c>
      <c r="L104">
        <v>2</v>
      </c>
      <c r="M104">
        <v>12</v>
      </c>
      <c r="N104">
        <v>0</v>
      </c>
      <c r="O104" t="s">
        <v>82</v>
      </c>
      <c r="P104">
        <v>27500</v>
      </c>
      <c r="Q104">
        <v>8</v>
      </c>
      <c r="R104">
        <v>1.6</v>
      </c>
      <c r="S104">
        <v>2.2000000000000002</v>
      </c>
      <c r="T104">
        <v>0</v>
      </c>
      <c r="U104">
        <v>2.8</v>
      </c>
      <c r="V104">
        <v>3</v>
      </c>
      <c r="W104">
        <v>3.6</v>
      </c>
      <c r="X104" t="s">
        <v>45</v>
      </c>
      <c r="Y104">
        <v>0</v>
      </c>
      <c r="Z104">
        <v>1</v>
      </c>
      <c r="AA104">
        <v>0</v>
      </c>
      <c r="AB104">
        <v>2</v>
      </c>
      <c r="AC104" t="s">
        <v>46</v>
      </c>
      <c r="AE104">
        <v>0</v>
      </c>
      <c r="AF104">
        <v>0</v>
      </c>
      <c r="AG104" t="s">
        <v>47</v>
      </c>
      <c r="AH104" t="s">
        <v>95</v>
      </c>
      <c r="AI104" t="s">
        <v>64</v>
      </c>
      <c r="AJ104" s="1" t="s">
        <v>50</v>
      </c>
      <c r="AK104" s="1" t="s">
        <v>84</v>
      </c>
      <c r="AL104">
        <v>0</v>
      </c>
    </row>
    <row r="105" spans="1:38" x14ac:dyDescent="0.35">
      <c r="A105" t="s">
        <v>252</v>
      </c>
      <c r="B105" t="s">
        <v>60</v>
      </c>
      <c r="C105" t="s">
        <v>80</v>
      </c>
      <c r="D105">
        <v>11.7</v>
      </c>
      <c r="E105" t="s">
        <v>67</v>
      </c>
      <c r="F105">
        <v>41</v>
      </c>
      <c r="G105" t="s">
        <v>42</v>
      </c>
      <c r="H105" t="s">
        <v>55</v>
      </c>
      <c r="I105">
        <v>4</v>
      </c>
      <c r="J105">
        <v>24.6</v>
      </c>
      <c r="K105">
        <v>16</v>
      </c>
      <c r="L105">
        <v>3</v>
      </c>
      <c r="M105">
        <v>12</v>
      </c>
      <c r="N105">
        <v>0</v>
      </c>
      <c r="O105" t="s">
        <v>70</v>
      </c>
      <c r="P105">
        <v>37200</v>
      </c>
      <c r="Q105">
        <v>2.7</v>
      </c>
      <c r="R105">
        <v>2.5</v>
      </c>
      <c r="S105">
        <v>1.2</v>
      </c>
      <c r="T105">
        <v>0</v>
      </c>
      <c r="U105">
        <v>3.7</v>
      </c>
      <c r="V105">
        <v>3.5</v>
      </c>
      <c r="W105">
        <v>3.4</v>
      </c>
      <c r="X105" t="s">
        <v>45</v>
      </c>
      <c r="Y105">
        <v>0</v>
      </c>
      <c r="Z105">
        <v>0</v>
      </c>
      <c r="AB105">
        <v>0</v>
      </c>
      <c r="AC105" t="s">
        <v>46</v>
      </c>
      <c r="AE105">
        <v>1</v>
      </c>
      <c r="AF105">
        <v>0</v>
      </c>
      <c r="AG105" t="s">
        <v>75</v>
      </c>
      <c r="AH105" t="s">
        <v>83</v>
      </c>
      <c r="AI105" t="s">
        <v>57</v>
      </c>
      <c r="AJ105" s="1" t="s">
        <v>122</v>
      </c>
      <c r="AK105" s="1" t="s">
        <v>115</v>
      </c>
      <c r="AL105">
        <v>0</v>
      </c>
    </row>
    <row r="106" spans="1:38" x14ac:dyDescent="0.35">
      <c r="A106" t="s">
        <v>253</v>
      </c>
      <c r="B106" t="s">
        <v>39</v>
      </c>
      <c r="C106" t="s">
        <v>40</v>
      </c>
      <c r="D106">
        <v>4.5</v>
      </c>
      <c r="E106" t="s">
        <v>41</v>
      </c>
      <c r="F106">
        <v>34</v>
      </c>
      <c r="G106" t="s">
        <v>42</v>
      </c>
      <c r="H106" t="s">
        <v>55</v>
      </c>
      <c r="I106">
        <v>2</v>
      </c>
      <c r="J106">
        <v>26.9</v>
      </c>
      <c r="K106">
        <v>6</v>
      </c>
      <c r="L106">
        <v>6</v>
      </c>
      <c r="M106">
        <v>12</v>
      </c>
      <c r="N106">
        <v>0</v>
      </c>
      <c r="O106" t="s">
        <v>44</v>
      </c>
      <c r="P106">
        <v>56500</v>
      </c>
      <c r="Q106">
        <v>8</v>
      </c>
      <c r="R106">
        <v>4.2</v>
      </c>
      <c r="S106">
        <v>0.3</v>
      </c>
      <c r="T106">
        <v>0</v>
      </c>
      <c r="U106">
        <v>5</v>
      </c>
      <c r="V106">
        <v>4.4000000000000004</v>
      </c>
      <c r="W106">
        <v>3.4</v>
      </c>
      <c r="X106" t="s">
        <v>45</v>
      </c>
      <c r="Y106">
        <v>1</v>
      </c>
      <c r="Z106">
        <v>2</v>
      </c>
      <c r="AA106">
        <v>2</v>
      </c>
      <c r="AB106">
        <v>0</v>
      </c>
      <c r="AC106" t="s">
        <v>46</v>
      </c>
      <c r="AE106">
        <v>0</v>
      </c>
      <c r="AF106">
        <v>0</v>
      </c>
      <c r="AG106" t="s">
        <v>47</v>
      </c>
      <c r="AH106" t="s">
        <v>76</v>
      </c>
      <c r="AI106" t="s">
        <v>57</v>
      </c>
      <c r="AJ106" s="1" t="s">
        <v>193</v>
      </c>
      <c r="AK106" s="1" t="s">
        <v>84</v>
      </c>
      <c r="AL106">
        <v>0</v>
      </c>
    </row>
    <row r="107" spans="1:38" x14ac:dyDescent="0.35">
      <c r="A107" t="s">
        <v>254</v>
      </c>
      <c r="B107" t="s">
        <v>39</v>
      </c>
      <c r="C107" t="s">
        <v>88</v>
      </c>
      <c r="D107">
        <v>3.3</v>
      </c>
      <c r="E107" t="s">
        <v>67</v>
      </c>
      <c r="F107">
        <v>28</v>
      </c>
      <c r="G107" t="s">
        <v>68</v>
      </c>
      <c r="H107" t="s">
        <v>69</v>
      </c>
      <c r="I107">
        <v>6</v>
      </c>
      <c r="J107">
        <v>1.1000000000000001</v>
      </c>
      <c r="K107">
        <v>5</v>
      </c>
      <c r="L107">
        <v>0</v>
      </c>
      <c r="M107">
        <v>12</v>
      </c>
      <c r="N107">
        <v>0</v>
      </c>
      <c r="O107" t="s">
        <v>82</v>
      </c>
      <c r="P107">
        <v>33400</v>
      </c>
      <c r="Q107">
        <v>6.5</v>
      </c>
      <c r="R107">
        <v>4.5999999999999996</v>
      </c>
      <c r="S107">
        <v>1.4</v>
      </c>
      <c r="T107">
        <v>0</v>
      </c>
      <c r="U107">
        <v>3.9</v>
      </c>
      <c r="V107">
        <v>3.3</v>
      </c>
      <c r="W107">
        <v>3</v>
      </c>
      <c r="X107" t="s">
        <v>45</v>
      </c>
      <c r="Y107">
        <v>0</v>
      </c>
      <c r="Z107">
        <v>2</v>
      </c>
      <c r="AB107">
        <v>0</v>
      </c>
      <c r="AC107" t="s">
        <v>46</v>
      </c>
      <c r="AE107">
        <v>1</v>
      </c>
      <c r="AF107">
        <v>0</v>
      </c>
      <c r="AG107" t="s">
        <v>47</v>
      </c>
      <c r="AH107" t="s">
        <v>76</v>
      </c>
      <c r="AI107" t="s">
        <v>64</v>
      </c>
      <c r="AJ107">
        <v>3.4</v>
      </c>
      <c r="AK107">
        <v>0.5</v>
      </c>
      <c r="AL107">
        <v>0</v>
      </c>
    </row>
    <row r="108" spans="1:38" x14ac:dyDescent="0.35">
      <c r="A108" t="s">
        <v>255</v>
      </c>
      <c r="B108" t="s">
        <v>52</v>
      </c>
      <c r="C108" t="s">
        <v>153</v>
      </c>
      <c r="D108">
        <v>0.3</v>
      </c>
      <c r="E108" t="s">
        <v>110</v>
      </c>
      <c r="F108">
        <v>28</v>
      </c>
      <c r="G108" t="s">
        <v>42</v>
      </c>
      <c r="H108" t="s">
        <v>69</v>
      </c>
      <c r="I108">
        <v>4</v>
      </c>
      <c r="J108">
        <v>2</v>
      </c>
      <c r="K108">
        <v>5</v>
      </c>
      <c r="L108">
        <v>0</v>
      </c>
      <c r="M108">
        <v>12</v>
      </c>
      <c r="N108">
        <v>0</v>
      </c>
      <c r="O108" t="s">
        <v>70</v>
      </c>
      <c r="P108">
        <v>48300</v>
      </c>
      <c r="Q108">
        <v>5.5</v>
      </c>
      <c r="R108">
        <v>3.6</v>
      </c>
      <c r="S108">
        <v>0.6</v>
      </c>
      <c r="T108">
        <v>0</v>
      </c>
      <c r="U108">
        <v>4.2</v>
      </c>
      <c r="V108">
        <v>3.3</v>
      </c>
      <c r="W108">
        <v>3.7</v>
      </c>
      <c r="X108" t="s">
        <v>45</v>
      </c>
      <c r="Y108">
        <v>1</v>
      </c>
      <c r="Z108">
        <v>0</v>
      </c>
      <c r="AB108">
        <v>0</v>
      </c>
      <c r="AC108" t="s">
        <v>46</v>
      </c>
      <c r="AE108">
        <v>1</v>
      </c>
      <c r="AF108">
        <v>0</v>
      </c>
      <c r="AG108" t="s">
        <v>75</v>
      </c>
      <c r="AH108" t="s">
        <v>95</v>
      </c>
      <c r="AI108" t="s">
        <v>64</v>
      </c>
      <c r="AJ108" s="1" t="s">
        <v>114</v>
      </c>
      <c r="AK108" s="1" t="s">
        <v>115</v>
      </c>
      <c r="AL108">
        <v>0</v>
      </c>
    </row>
    <row r="109" spans="1:38" x14ac:dyDescent="0.35">
      <c r="A109" t="s">
        <v>256</v>
      </c>
      <c r="B109" t="s">
        <v>98</v>
      </c>
      <c r="C109" t="s">
        <v>148</v>
      </c>
      <c r="D109">
        <v>3.4</v>
      </c>
      <c r="E109" t="s">
        <v>110</v>
      </c>
      <c r="F109">
        <v>34</v>
      </c>
      <c r="G109" t="s">
        <v>42</v>
      </c>
      <c r="H109" t="s">
        <v>94</v>
      </c>
      <c r="I109">
        <v>2</v>
      </c>
      <c r="J109">
        <v>9.6999999999999993</v>
      </c>
      <c r="K109">
        <v>11</v>
      </c>
      <c r="L109">
        <v>0</v>
      </c>
      <c r="M109">
        <v>12</v>
      </c>
      <c r="N109">
        <v>0</v>
      </c>
      <c r="O109" t="s">
        <v>44</v>
      </c>
      <c r="P109">
        <v>62700</v>
      </c>
      <c r="Q109">
        <v>2.2000000000000002</v>
      </c>
      <c r="R109">
        <v>4.2</v>
      </c>
      <c r="S109">
        <v>0.7</v>
      </c>
      <c r="T109">
        <v>0</v>
      </c>
      <c r="U109">
        <v>1.9</v>
      </c>
      <c r="V109">
        <v>2.6</v>
      </c>
      <c r="W109">
        <v>3.3</v>
      </c>
      <c r="X109" t="s">
        <v>45</v>
      </c>
      <c r="Y109">
        <v>0</v>
      </c>
      <c r="Z109">
        <v>1</v>
      </c>
      <c r="AA109">
        <v>0.2</v>
      </c>
      <c r="AB109">
        <v>0</v>
      </c>
      <c r="AC109" t="s">
        <v>124</v>
      </c>
      <c r="AD109" s="2">
        <v>45494</v>
      </c>
      <c r="AE109">
        <v>0</v>
      </c>
      <c r="AF109">
        <v>0</v>
      </c>
      <c r="AG109" t="s">
        <v>47</v>
      </c>
      <c r="AH109" t="s">
        <v>76</v>
      </c>
      <c r="AI109" t="s">
        <v>64</v>
      </c>
      <c r="AJ109">
        <v>2.6</v>
      </c>
      <c r="AK109" s="1" t="s">
        <v>84</v>
      </c>
      <c r="AL109">
        <v>1</v>
      </c>
    </row>
    <row r="110" spans="1:38" x14ac:dyDescent="0.35">
      <c r="A110" t="s">
        <v>257</v>
      </c>
      <c r="B110" t="s">
        <v>73</v>
      </c>
      <c r="C110" t="s">
        <v>113</v>
      </c>
      <c r="D110">
        <v>4.0999999999999996</v>
      </c>
      <c r="E110" t="s">
        <v>81</v>
      </c>
      <c r="F110">
        <v>38</v>
      </c>
      <c r="G110" t="s">
        <v>68</v>
      </c>
      <c r="H110" t="s">
        <v>43</v>
      </c>
      <c r="I110">
        <v>4</v>
      </c>
      <c r="J110">
        <v>6.3</v>
      </c>
      <c r="K110">
        <v>11</v>
      </c>
      <c r="L110">
        <v>0</v>
      </c>
      <c r="M110">
        <v>12</v>
      </c>
      <c r="N110">
        <v>0</v>
      </c>
      <c r="O110" t="s">
        <v>82</v>
      </c>
      <c r="P110">
        <v>34100</v>
      </c>
      <c r="Q110">
        <v>4.5</v>
      </c>
      <c r="R110">
        <v>3.6</v>
      </c>
      <c r="S110">
        <v>1.2</v>
      </c>
      <c r="T110">
        <v>0</v>
      </c>
      <c r="U110">
        <v>3.6</v>
      </c>
      <c r="V110">
        <v>2.7</v>
      </c>
      <c r="W110">
        <v>2.5</v>
      </c>
      <c r="X110" t="s">
        <v>45</v>
      </c>
      <c r="Y110">
        <v>0</v>
      </c>
      <c r="Z110">
        <v>1</v>
      </c>
      <c r="AA110">
        <v>3.5</v>
      </c>
      <c r="AB110">
        <v>0</v>
      </c>
      <c r="AC110" t="s">
        <v>46</v>
      </c>
      <c r="AE110">
        <v>0</v>
      </c>
      <c r="AF110">
        <v>0</v>
      </c>
      <c r="AG110" t="s">
        <v>47</v>
      </c>
      <c r="AH110" t="s">
        <v>76</v>
      </c>
      <c r="AI110" t="s">
        <v>64</v>
      </c>
      <c r="AJ110" s="1" t="s">
        <v>141</v>
      </c>
      <c r="AK110" s="1" t="s">
        <v>115</v>
      </c>
      <c r="AL110">
        <v>0</v>
      </c>
    </row>
    <row r="111" spans="1:38" x14ac:dyDescent="0.35">
      <c r="A111" t="s">
        <v>258</v>
      </c>
      <c r="B111" t="s">
        <v>60</v>
      </c>
      <c r="C111" t="s">
        <v>80</v>
      </c>
      <c r="D111">
        <v>2.5</v>
      </c>
      <c r="E111" t="s">
        <v>81</v>
      </c>
      <c r="F111">
        <v>31</v>
      </c>
      <c r="G111" t="s">
        <v>68</v>
      </c>
      <c r="H111" t="s">
        <v>94</v>
      </c>
      <c r="I111">
        <v>1</v>
      </c>
      <c r="J111">
        <v>7.1</v>
      </c>
      <c r="K111">
        <v>5</v>
      </c>
      <c r="L111">
        <v>3</v>
      </c>
      <c r="M111">
        <v>12</v>
      </c>
      <c r="N111">
        <v>0</v>
      </c>
      <c r="O111" t="s">
        <v>82</v>
      </c>
      <c r="P111">
        <v>31500</v>
      </c>
      <c r="Q111">
        <v>15.9</v>
      </c>
      <c r="R111">
        <v>4.0999999999999996</v>
      </c>
      <c r="S111">
        <v>0.1</v>
      </c>
      <c r="T111">
        <v>0</v>
      </c>
      <c r="U111">
        <v>3.1</v>
      </c>
      <c r="V111">
        <v>2.9</v>
      </c>
      <c r="W111">
        <v>1.9</v>
      </c>
      <c r="X111" t="s">
        <v>45</v>
      </c>
      <c r="Y111">
        <v>0</v>
      </c>
      <c r="Z111">
        <v>1</v>
      </c>
      <c r="AA111">
        <v>1.5</v>
      </c>
      <c r="AB111">
        <v>0</v>
      </c>
      <c r="AC111" t="s">
        <v>46</v>
      </c>
      <c r="AE111">
        <v>0</v>
      </c>
      <c r="AF111">
        <v>0</v>
      </c>
      <c r="AG111" t="s">
        <v>47</v>
      </c>
      <c r="AH111" t="s">
        <v>48</v>
      </c>
      <c r="AI111" t="s">
        <v>64</v>
      </c>
      <c r="AJ111" s="1" t="s">
        <v>259</v>
      </c>
      <c r="AK111">
        <v>8.3333333333333301E-2</v>
      </c>
      <c r="AL111">
        <v>0</v>
      </c>
    </row>
    <row r="112" spans="1:38" x14ac:dyDescent="0.35">
      <c r="A112" t="s">
        <v>260</v>
      </c>
      <c r="B112" t="s">
        <v>52</v>
      </c>
      <c r="C112" t="s">
        <v>53</v>
      </c>
      <c r="D112">
        <v>1.1000000000000001</v>
      </c>
      <c r="E112" t="s">
        <v>67</v>
      </c>
      <c r="F112">
        <v>27</v>
      </c>
      <c r="G112" t="s">
        <v>68</v>
      </c>
      <c r="H112" t="s">
        <v>94</v>
      </c>
      <c r="I112">
        <v>1</v>
      </c>
      <c r="J112">
        <v>12.3</v>
      </c>
      <c r="K112">
        <v>10</v>
      </c>
      <c r="L112">
        <v>1</v>
      </c>
      <c r="M112">
        <v>12</v>
      </c>
      <c r="N112">
        <v>0</v>
      </c>
      <c r="O112" t="s">
        <v>70</v>
      </c>
      <c r="P112">
        <v>43600</v>
      </c>
      <c r="Q112">
        <v>6.6</v>
      </c>
      <c r="R112">
        <v>3.3</v>
      </c>
      <c r="S112">
        <v>2.1</v>
      </c>
      <c r="T112">
        <v>0</v>
      </c>
      <c r="U112">
        <v>2.7</v>
      </c>
      <c r="V112">
        <v>2.5</v>
      </c>
      <c r="W112">
        <v>2.9</v>
      </c>
      <c r="X112" t="s">
        <v>45</v>
      </c>
      <c r="Y112">
        <v>0</v>
      </c>
      <c r="Z112">
        <v>0</v>
      </c>
      <c r="AB112">
        <v>0</v>
      </c>
      <c r="AC112" t="s">
        <v>46</v>
      </c>
      <c r="AE112">
        <v>1</v>
      </c>
      <c r="AF112">
        <v>0</v>
      </c>
      <c r="AG112" t="s">
        <v>75</v>
      </c>
      <c r="AH112" t="s">
        <v>48</v>
      </c>
      <c r="AI112" t="s">
        <v>49</v>
      </c>
      <c r="AJ112" s="1" t="s">
        <v>96</v>
      </c>
      <c r="AK112">
        <v>8.3333333333333301E-2</v>
      </c>
      <c r="AL112">
        <v>0</v>
      </c>
    </row>
    <row r="113" spans="1:38" x14ac:dyDescent="0.35">
      <c r="A113" t="s">
        <v>261</v>
      </c>
      <c r="B113" t="s">
        <v>73</v>
      </c>
      <c r="C113" t="s">
        <v>121</v>
      </c>
      <c r="D113">
        <v>1.1000000000000001</v>
      </c>
      <c r="E113" t="s">
        <v>110</v>
      </c>
      <c r="F113">
        <v>27</v>
      </c>
      <c r="G113" t="s">
        <v>42</v>
      </c>
      <c r="H113" t="s">
        <v>55</v>
      </c>
      <c r="I113">
        <v>1</v>
      </c>
      <c r="J113">
        <v>20</v>
      </c>
      <c r="K113">
        <v>7</v>
      </c>
      <c r="L113">
        <v>1</v>
      </c>
      <c r="M113">
        <v>12</v>
      </c>
      <c r="N113">
        <v>0</v>
      </c>
      <c r="O113" t="s">
        <v>70</v>
      </c>
      <c r="P113">
        <v>47600</v>
      </c>
      <c r="Q113">
        <v>11.2</v>
      </c>
      <c r="R113">
        <v>3.6</v>
      </c>
      <c r="S113">
        <v>0.7</v>
      </c>
      <c r="T113">
        <v>0</v>
      </c>
      <c r="U113">
        <v>3.3</v>
      </c>
      <c r="V113">
        <v>4.2</v>
      </c>
      <c r="W113">
        <v>2.2999999999999998</v>
      </c>
      <c r="X113" t="s">
        <v>45</v>
      </c>
      <c r="Y113">
        <v>0</v>
      </c>
      <c r="Z113">
        <v>0</v>
      </c>
      <c r="AB113">
        <v>0</v>
      </c>
      <c r="AC113" t="s">
        <v>46</v>
      </c>
      <c r="AE113">
        <v>1</v>
      </c>
      <c r="AF113">
        <v>0</v>
      </c>
      <c r="AG113" t="s">
        <v>75</v>
      </c>
      <c r="AH113" t="s">
        <v>48</v>
      </c>
      <c r="AI113" t="s">
        <v>49</v>
      </c>
      <c r="AJ113" s="1" t="s">
        <v>235</v>
      </c>
      <c r="AK113">
        <v>8.3333333333333301E-2</v>
      </c>
      <c r="AL113">
        <v>0</v>
      </c>
    </row>
    <row r="114" spans="1:38" x14ac:dyDescent="0.35">
      <c r="A114" t="s">
        <v>262</v>
      </c>
      <c r="B114" t="s">
        <v>98</v>
      </c>
      <c r="C114" t="s">
        <v>151</v>
      </c>
      <c r="D114">
        <v>11.8</v>
      </c>
      <c r="E114" t="s">
        <v>67</v>
      </c>
      <c r="F114">
        <v>40</v>
      </c>
      <c r="G114" t="s">
        <v>68</v>
      </c>
      <c r="H114" t="s">
        <v>63</v>
      </c>
      <c r="I114">
        <v>0</v>
      </c>
      <c r="J114">
        <v>4.5</v>
      </c>
      <c r="K114">
        <v>3</v>
      </c>
      <c r="L114">
        <v>2</v>
      </c>
      <c r="M114">
        <v>12</v>
      </c>
      <c r="N114">
        <v>0</v>
      </c>
      <c r="O114" t="s">
        <v>70</v>
      </c>
      <c r="P114">
        <v>35700</v>
      </c>
      <c r="Q114">
        <v>7.2</v>
      </c>
      <c r="R114">
        <v>2.1</v>
      </c>
      <c r="S114">
        <v>2.4</v>
      </c>
      <c r="T114">
        <v>0</v>
      </c>
      <c r="U114">
        <v>3.4</v>
      </c>
      <c r="V114">
        <v>1</v>
      </c>
      <c r="W114">
        <v>2.7</v>
      </c>
      <c r="X114" t="s">
        <v>45</v>
      </c>
      <c r="Y114">
        <v>0</v>
      </c>
      <c r="Z114">
        <v>0</v>
      </c>
      <c r="AB114">
        <v>0</v>
      </c>
      <c r="AC114" t="s">
        <v>46</v>
      </c>
      <c r="AE114">
        <v>1</v>
      </c>
      <c r="AF114">
        <v>0</v>
      </c>
      <c r="AG114" t="s">
        <v>75</v>
      </c>
      <c r="AH114" t="s">
        <v>83</v>
      </c>
      <c r="AI114" t="s">
        <v>64</v>
      </c>
      <c r="AJ114" s="1" t="s">
        <v>263</v>
      </c>
      <c r="AK114">
        <v>0</v>
      </c>
      <c r="AL114">
        <v>0</v>
      </c>
    </row>
    <row r="115" spans="1:38" x14ac:dyDescent="0.35">
      <c r="A115" t="s">
        <v>264</v>
      </c>
      <c r="B115" t="s">
        <v>117</v>
      </c>
      <c r="C115" t="s">
        <v>189</v>
      </c>
      <c r="D115">
        <v>4</v>
      </c>
      <c r="E115" t="s">
        <v>110</v>
      </c>
      <c r="F115">
        <v>30</v>
      </c>
      <c r="G115" t="s">
        <v>42</v>
      </c>
      <c r="H115" t="s">
        <v>55</v>
      </c>
      <c r="I115">
        <v>2</v>
      </c>
      <c r="J115">
        <v>22.3</v>
      </c>
      <c r="K115">
        <v>11</v>
      </c>
      <c r="L115">
        <v>0</v>
      </c>
      <c r="M115">
        <v>12</v>
      </c>
      <c r="N115">
        <v>0</v>
      </c>
      <c r="O115" t="s">
        <v>70</v>
      </c>
      <c r="P115">
        <v>47100</v>
      </c>
      <c r="Q115">
        <v>6.8</v>
      </c>
      <c r="R115">
        <v>3.8</v>
      </c>
      <c r="S115">
        <v>2.2999999999999998</v>
      </c>
      <c r="T115">
        <v>0</v>
      </c>
      <c r="U115">
        <v>2.7</v>
      </c>
      <c r="V115">
        <v>2.7</v>
      </c>
      <c r="W115">
        <v>3.1</v>
      </c>
      <c r="X115" t="s">
        <v>45</v>
      </c>
      <c r="Y115">
        <v>0</v>
      </c>
      <c r="Z115">
        <v>2</v>
      </c>
      <c r="AA115">
        <v>1.4</v>
      </c>
      <c r="AB115">
        <v>0</v>
      </c>
      <c r="AC115" t="s">
        <v>46</v>
      </c>
      <c r="AE115">
        <v>0</v>
      </c>
      <c r="AF115">
        <v>0</v>
      </c>
      <c r="AG115" t="s">
        <v>47</v>
      </c>
      <c r="AH115" t="s">
        <v>76</v>
      </c>
      <c r="AI115" t="s">
        <v>57</v>
      </c>
      <c r="AJ115" s="1" t="s">
        <v>212</v>
      </c>
      <c r="AK115" s="1" t="s">
        <v>84</v>
      </c>
      <c r="AL115">
        <v>0</v>
      </c>
    </row>
    <row r="116" spans="1:38" x14ac:dyDescent="0.35">
      <c r="A116" t="s">
        <v>265</v>
      </c>
      <c r="B116" t="s">
        <v>73</v>
      </c>
      <c r="C116" t="s">
        <v>121</v>
      </c>
      <c r="D116">
        <v>2.5</v>
      </c>
      <c r="E116" t="s">
        <v>41</v>
      </c>
      <c r="F116">
        <v>29</v>
      </c>
      <c r="G116" t="s">
        <v>42</v>
      </c>
      <c r="H116" t="s">
        <v>69</v>
      </c>
      <c r="I116">
        <v>2</v>
      </c>
      <c r="J116">
        <v>5.4</v>
      </c>
      <c r="K116">
        <v>11</v>
      </c>
      <c r="L116">
        <v>3</v>
      </c>
      <c r="M116">
        <v>12</v>
      </c>
      <c r="N116">
        <v>0</v>
      </c>
      <c r="O116" t="s">
        <v>44</v>
      </c>
      <c r="P116">
        <v>53300</v>
      </c>
      <c r="Q116">
        <v>5.5</v>
      </c>
      <c r="R116">
        <v>2.1</v>
      </c>
      <c r="S116">
        <v>1</v>
      </c>
      <c r="T116">
        <v>0</v>
      </c>
      <c r="U116">
        <v>3.5</v>
      </c>
      <c r="V116">
        <v>4.2</v>
      </c>
      <c r="W116">
        <v>3.3</v>
      </c>
      <c r="X116" t="s">
        <v>45</v>
      </c>
      <c r="Y116">
        <v>0</v>
      </c>
      <c r="Z116">
        <v>1</v>
      </c>
      <c r="AA116">
        <v>1.7</v>
      </c>
      <c r="AB116">
        <v>0</v>
      </c>
      <c r="AC116" t="s">
        <v>46</v>
      </c>
      <c r="AE116">
        <v>0</v>
      </c>
      <c r="AF116">
        <v>0</v>
      </c>
      <c r="AG116" t="s">
        <v>47</v>
      </c>
      <c r="AH116" t="s">
        <v>48</v>
      </c>
      <c r="AI116" t="s">
        <v>64</v>
      </c>
      <c r="AJ116" s="1" t="s">
        <v>266</v>
      </c>
      <c r="AK116" s="1" t="s">
        <v>84</v>
      </c>
      <c r="AL116">
        <v>0</v>
      </c>
    </row>
    <row r="117" spans="1:38" x14ac:dyDescent="0.35">
      <c r="A117" t="s">
        <v>267</v>
      </c>
      <c r="B117" t="s">
        <v>60</v>
      </c>
      <c r="C117" t="s">
        <v>80</v>
      </c>
      <c r="D117">
        <v>3.8</v>
      </c>
      <c r="E117" t="s">
        <v>110</v>
      </c>
      <c r="F117">
        <v>26</v>
      </c>
      <c r="G117" t="s">
        <v>68</v>
      </c>
      <c r="H117" t="s">
        <v>94</v>
      </c>
      <c r="I117">
        <v>4</v>
      </c>
      <c r="J117">
        <v>41.3</v>
      </c>
      <c r="K117">
        <v>5</v>
      </c>
      <c r="L117">
        <v>0</v>
      </c>
      <c r="M117">
        <v>12</v>
      </c>
      <c r="N117">
        <v>0</v>
      </c>
      <c r="O117" t="s">
        <v>70</v>
      </c>
      <c r="P117">
        <v>46300</v>
      </c>
      <c r="Q117">
        <v>13.4</v>
      </c>
      <c r="R117">
        <v>3.8</v>
      </c>
      <c r="S117">
        <v>1.4</v>
      </c>
      <c r="T117">
        <v>0</v>
      </c>
      <c r="U117">
        <v>3.1</v>
      </c>
      <c r="V117">
        <v>2.9</v>
      </c>
      <c r="W117">
        <v>2.9</v>
      </c>
      <c r="X117" t="s">
        <v>45</v>
      </c>
      <c r="Y117">
        <v>0</v>
      </c>
      <c r="Z117">
        <v>0</v>
      </c>
      <c r="AB117">
        <v>0</v>
      </c>
      <c r="AC117" t="s">
        <v>124</v>
      </c>
      <c r="AD117" s="2">
        <v>46256</v>
      </c>
      <c r="AE117">
        <v>1</v>
      </c>
      <c r="AF117">
        <v>0</v>
      </c>
      <c r="AG117" t="s">
        <v>75</v>
      </c>
      <c r="AH117" t="s">
        <v>76</v>
      </c>
      <c r="AI117" t="s">
        <v>57</v>
      </c>
      <c r="AJ117" s="1" t="s">
        <v>268</v>
      </c>
      <c r="AK117" s="1" t="s">
        <v>115</v>
      </c>
      <c r="AL117">
        <v>1</v>
      </c>
    </row>
    <row r="118" spans="1:38" x14ac:dyDescent="0.35">
      <c r="A118" t="s">
        <v>269</v>
      </c>
      <c r="B118" t="s">
        <v>39</v>
      </c>
      <c r="C118" t="s">
        <v>40</v>
      </c>
      <c r="D118">
        <v>3.6</v>
      </c>
      <c r="E118" t="s">
        <v>62</v>
      </c>
      <c r="F118">
        <v>35</v>
      </c>
      <c r="G118" t="s">
        <v>42</v>
      </c>
      <c r="H118" t="s">
        <v>55</v>
      </c>
      <c r="I118">
        <v>1</v>
      </c>
      <c r="J118">
        <v>24.7</v>
      </c>
      <c r="K118">
        <v>8</v>
      </c>
      <c r="L118">
        <v>2</v>
      </c>
      <c r="M118">
        <v>12</v>
      </c>
      <c r="N118">
        <v>0</v>
      </c>
      <c r="O118" t="s">
        <v>56</v>
      </c>
      <c r="P118">
        <v>91400</v>
      </c>
      <c r="Q118">
        <v>9.5</v>
      </c>
      <c r="R118">
        <v>2.8</v>
      </c>
      <c r="S118">
        <v>1.7</v>
      </c>
      <c r="T118">
        <v>0</v>
      </c>
      <c r="U118">
        <v>3.9</v>
      </c>
      <c r="V118">
        <v>4.2</v>
      </c>
      <c r="W118">
        <v>5</v>
      </c>
      <c r="X118" t="s">
        <v>45</v>
      </c>
      <c r="Y118">
        <v>0</v>
      </c>
      <c r="Z118">
        <v>1</v>
      </c>
      <c r="AA118">
        <v>2.1</v>
      </c>
      <c r="AB118">
        <v>0</v>
      </c>
      <c r="AC118" t="s">
        <v>46</v>
      </c>
      <c r="AE118">
        <v>0</v>
      </c>
      <c r="AF118">
        <v>0</v>
      </c>
      <c r="AG118" t="s">
        <v>47</v>
      </c>
      <c r="AH118" t="s">
        <v>76</v>
      </c>
      <c r="AI118" t="s">
        <v>57</v>
      </c>
      <c r="AJ118" s="1" t="s">
        <v>270</v>
      </c>
      <c r="AK118">
        <v>8.3333333333333301E-2</v>
      </c>
      <c r="AL118">
        <v>0</v>
      </c>
    </row>
    <row r="119" spans="1:38" x14ac:dyDescent="0.35">
      <c r="A119" t="s">
        <v>271</v>
      </c>
      <c r="B119" t="s">
        <v>39</v>
      </c>
      <c r="C119" t="s">
        <v>66</v>
      </c>
      <c r="D119">
        <v>1</v>
      </c>
      <c r="E119" t="s">
        <v>110</v>
      </c>
      <c r="F119">
        <v>22</v>
      </c>
      <c r="G119" t="s">
        <v>68</v>
      </c>
      <c r="H119" t="s">
        <v>69</v>
      </c>
      <c r="I119">
        <v>0</v>
      </c>
      <c r="J119">
        <v>5.9</v>
      </c>
      <c r="K119">
        <v>7</v>
      </c>
      <c r="L119">
        <v>4</v>
      </c>
      <c r="M119">
        <v>12</v>
      </c>
      <c r="N119">
        <v>0</v>
      </c>
      <c r="O119" t="s">
        <v>44</v>
      </c>
      <c r="P119">
        <v>53000</v>
      </c>
      <c r="Q119">
        <v>4.8</v>
      </c>
      <c r="R119">
        <v>3.5</v>
      </c>
      <c r="S119">
        <v>0.8</v>
      </c>
      <c r="T119">
        <v>0</v>
      </c>
      <c r="U119">
        <v>3.5</v>
      </c>
      <c r="V119">
        <v>5</v>
      </c>
      <c r="W119">
        <v>2.4</v>
      </c>
      <c r="X119" t="s">
        <v>45</v>
      </c>
      <c r="Y119">
        <v>0</v>
      </c>
      <c r="Z119">
        <v>1</v>
      </c>
      <c r="AA119">
        <v>0.5</v>
      </c>
      <c r="AB119">
        <v>1</v>
      </c>
      <c r="AC119" t="s">
        <v>46</v>
      </c>
      <c r="AE119">
        <v>0</v>
      </c>
      <c r="AF119">
        <v>0</v>
      </c>
      <c r="AG119" t="s">
        <v>47</v>
      </c>
      <c r="AH119" t="s">
        <v>95</v>
      </c>
      <c r="AI119" t="s">
        <v>64</v>
      </c>
      <c r="AJ119" s="1" t="s">
        <v>190</v>
      </c>
      <c r="AK119">
        <v>0</v>
      </c>
      <c r="AL119">
        <v>0</v>
      </c>
    </row>
    <row r="120" spans="1:38" x14ac:dyDescent="0.35">
      <c r="A120" t="s">
        <v>272</v>
      </c>
      <c r="B120" t="s">
        <v>52</v>
      </c>
      <c r="C120" t="s">
        <v>93</v>
      </c>
      <c r="D120">
        <v>6.8</v>
      </c>
      <c r="E120" t="s">
        <v>41</v>
      </c>
      <c r="F120">
        <v>31</v>
      </c>
      <c r="G120" t="s">
        <v>42</v>
      </c>
      <c r="H120" t="s">
        <v>43</v>
      </c>
      <c r="I120">
        <v>2</v>
      </c>
      <c r="J120">
        <v>2.8</v>
      </c>
      <c r="K120">
        <v>10</v>
      </c>
      <c r="L120">
        <v>0</v>
      </c>
      <c r="M120">
        <v>12</v>
      </c>
      <c r="N120">
        <v>0</v>
      </c>
      <c r="O120" t="s">
        <v>56</v>
      </c>
      <c r="P120">
        <v>76300</v>
      </c>
      <c r="Q120">
        <v>6.4</v>
      </c>
      <c r="R120">
        <v>2.2999999999999998</v>
      </c>
      <c r="S120">
        <v>0.1</v>
      </c>
      <c r="T120">
        <v>0</v>
      </c>
      <c r="U120">
        <v>3.3</v>
      </c>
      <c r="V120">
        <v>3.3</v>
      </c>
      <c r="W120">
        <v>4.4000000000000004</v>
      </c>
      <c r="X120" t="s">
        <v>89</v>
      </c>
      <c r="Y120">
        <v>1</v>
      </c>
      <c r="Z120">
        <v>0</v>
      </c>
      <c r="AB120">
        <v>1</v>
      </c>
      <c r="AC120" t="s">
        <v>46</v>
      </c>
      <c r="AE120">
        <v>1</v>
      </c>
      <c r="AF120">
        <v>0</v>
      </c>
      <c r="AG120" t="s">
        <v>75</v>
      </c>
      <c r="AH120" t="s">
        <v>83</v>
      </c>
      <c r="AI120" t="s">
        <v>64</v>
      </c>
      <c r="AJ120" s="1" t="s">
        <v>266</v>
      </c>
      <c r="AK120" s="1" t="s">
        <v>84</v>
      </c>
      <c r="AL120">
        <v>0</v>
      </c>
    </row>
    <row r="121" spans="1:38" x14ac:dyDescent="0.35">
      <c r="A121" t="s">
        <v>273</v>
      </c>
      <c r="B121" t="s">
        <v>39</v>
      </c>
      <c r="C121" t="s">
        <v>40</v>
      </c>
      <c r="D121">
        <v>3.2</v>
      </c>
      <c r="E121" t="s">
        <v>41</v>
      </c>
      <c r="F121">
        <v>30</v>
      </c>
      <c r="G121" t="s">
        <v>68</v>
      </c>
      <c r="H121" t="s">
        <v>55</v>
      </c>
      <c r="I121">
        <v>2</v>
      </c>
      <c r="J121">
        <v>5.8</v>
      </c>
      <c r="K121">
        <v>8</v>
      </c>
      <c r="L121">
        <v>1</v>
      </c>
      <c r="M121">
        <v>12</v>
      </c>
      <c r="N121">
        <v>0</v>
      </c>
      <c r="O121" t="s">
        <v>44</v>
      </c>
      <c r="P121">
        <v>65400</v>
      </c>
      <c r="Q121">
        <v>12.3</v>
      </c>
      <c r="R121">
        <v>2.7</v>
      </c>
      <c r="S121">
        <v>1.4</v>
      </c>
      <c r="T121">
        <v>0</v>
      </c>
      <c r="U121">
        <v>4.2</v>
      </c>
      <c r="V121">
        <v>4.3</v>
      </c>
      <c r="W121">
        <v>3.3</v>
      </c>
      <c r="X121" t="s">
        <v>45</v>
      </c>
      <c r="Y121">
        <v>0</v>
      </c>
      <c r="Z121">
        <v>2</v>
      </c>
      <c r="AA121">
        <v>2.9</v>
      </c>
      <c r="AB121">
        <v>0</v>
      </c>
      <c r="AC121" t="s">
        <v>46</v>
      </c>
      <c r="AE121">
        <v>0</v>
      </c>
      <c r="AF121">
        <v>0</v>
      </c>
      <c r="AG121" t="s">
        <v>47</v>
      </c>
      <c r="AH121" t="s">
        <v>76</v>
      </c>
      <c r="AI121" t="s">
        <v>64</v>
      </c>
      <c r="AJ121" s="1" t="s">
        <v>219</v>
      </c>
      <c r="AK121" s="1" t="s">
        <v>84</v>
      </c>
      <c r="AL121">
        <v>0</v>
      </c>
    </row>
    <row r="122" spans="1:38" x14ac:dyDescent="0.35">
      <c r="A122" t="s">
        <v>274</v>
      </c>
      <c r="B122" t="s">
        <v>117</v>
      </c>
      <c r="C122" t="s">
        <v>189</v>
      </c>
      <c r="D122">
        <v>4</v>
      </c>
      <c r="E122" t="s">
        <v>110</v>
      </c>
      <c r="F122">
        <v>38</v>
      </c>
      <c r="G122" t="s">
        <v>68</v>
      </c>
      <c r="H122" t="s">
        <v>55</v>
      </c>
      <c r="I122">
        <v>1</v>
      </c>
      <c r="J122">
        <v>5.0999999999999996</v>
      </c>
      <c r="K122">
        <v>9</v>
      </c>
      <c r="L122">
        <v>5</v>
      </c>
      <c r="M122">
        <v>12</v>
      </c>
      <c r="N122">
        <v>0</v>
      </c>
      <c r="O122" t="s">
        <v>44</v>
      </c>
      <c r="P122">
        <v>57200</v>
      </c>
      <c r="Q122">
        <v>0</v>
      </c>
      <c r="R122">
        <v>3.5</v>
      </c>
      <c r="S122">
        <v>2.9</v>
      </c>
      <c r="T122">
        <v>0</v>
      </c>
      <c r="U122">
        <v>3.8</v>
      </c>
      <c r="V122">
        <v>5</v>
      </c>
      <c r="W122">
        <v>2.9</v>
      </c>
      <c r="X122" t="s">
        <v>45</v>
      </c>
      <c r="Y122">
        <v>0</v>
      </c>
      <c r="Z122">
        <v>2</v>
      </c>
      <c r="AA122">
        <v>1.7</v>
      </c>
      <c r="AB122">
        <v>0</v>
      </c>
      <c r="AC122" t="s">
        <v>46</v>
      </c>
      <c r="AE122">
        <v>0</v>
      </c>
      <c r="AF122">
        <v>0</v>
      </c>
      <c r="AG122" t="s">
        <v>47</v>
      </c>
      <c r="AH122" t="s">
        <v>76</v>
      </c>
      <c r="AI122" t="s">
        <v>64</v>
      </c>
      <c r="AJ122" s="1" t="s">
        <v>275</v>
      </c>
      <c r="AK122">
        <v>8.3333333333333301E-2</v>
      </c>
      <c r="AL122">
        <v>0</v>
      </c>
    </row>
    <row r="123" spans="1:38" x14ac:dyDescent="0.35">
      <c r="A123" t="s">
        <v>276</v>
      </c>
      <c r="B123" t="s">
        <v>39</v>
      </c>
      <c r="C123" t="s">
        <v>40</v>
      </c>
      <c r="D123">
        <v>9.4</v>
      </c>
      <c r="E123" t="s">
        <v>41</v>
      </c>
      <c r="F123">
        <v>34</v>
      </c>
      <c r="G123" t="s">
        <v>68</v>
      </c>
      <c r="H123" t="s">
        <v>55</v>
      </c>
      <c r="I123">
        <v>3</v>
      </c>
      <c r="J123">
        <v>15.5</v>
      </c>
      <c r="K123">
        <v>9</v>
      </c>
      <c r="L123">
        <v>1</v>
      </c>
      <c r="M123">
        <v>12</v>
      </c>
      <c r="N123">
        <v>0</v>
      </c>
      <c r="O123" t="s">
        <v>44</v>
      </c>
      <c r="P123">
        <v>71500</v>
      </c>
      <c r="Q123">
        <v>9.1999999999999993</v>
      </c>
      <c r="R123">
        <v>3.9</v>
      </c>
      <c r="S123">
        <v>0.5</v>
      </c>
      <c r="T123">
        <v>0</v>
      </c>
      <c r="U123">
        <v>3.3</v>
      </c>
      <c r="V123">
        <v>3.6</v>
      </c>
      <c r="W123">
        <v>3.9</v>
      </c>
      <c r="X123" t="s">
        <v>45</v>
      </c>
      <c r="Y123">
        <v>0</v>
      </c>
      <c r="Z123">
        <v>0</v>
      </c>
      <c r="AB123">
        <v>1</v>
      </c>
      <c r="AC123" t="s">
        <v>46</v>
      </c>
      <c r="AE123">
        <v>1</v>
      </c>
      <c r="AF123">
        <v>0</v>
      </c>
      <c r="AG123" t="s">
        <v>75</v>
      </c>
      <c r="AH123" t="s">
        <v>83</v>
      </c>
      <c r="AI123" t="s">
        <v>49</v>
      </c>
      <c r="AJ123">
        <v>3.6</v>
      </c>
      <c r="AK123">
        <v>0.25</v>
      </c>
      <c r="AL123">
        <v>0</v>
      </c>
    </row>
    <row r="124" spans="1:38" x14ac:dyDescent="0.35">
      <c r="A124" t="s">
        <v>277</v>
      </c>
      <c r="B124" t="s">
        <v>73</v>
      </c>
      <c r="C124" t="s">
        <v>121</v>
      </c>
      <c r="D124">
        <v>1.2</v>
      </c>
      <c r="E124" t="s">
        <v>62</v>
      </c>
      <c r="F124">
        <v>25</v>
      </c>
      <c r="G124" t="s">
        <v>54</v>
      </c>
      <c r="H124" t="s">
        <v>55</v>
      </c>
      <c r="I124">
        <v>2</v>
      </c>
      <c r="J124">
        <v>1.2</v>
      </c>
      <c r="K124">
        <v>6</v>
      </c>
      <c r="L124">
        <v>2</v>
      </c>
      <c r="M124">
        <v>12</v>
      </c>
      <c r="N124">
        <v>0</v>
      </c>
      <c r="O124" t="s">
        <v>56</v>
      </c>
      <c r="P124">
        <v>95100</v>
      </c>
      <c r="Q124">
        <v>10.199999999999999</v>
      </c>
      <c r="R124">
        <v>4.2</v>
      </c>
      <c r="S124">
        <v>2.5</v>
      </c>
      <c r="T124">
        <v>0</v>
      </c>
      <c r="U124">
        <v>1.4</v>
      </c>
      <c r="V124">
        <v>3.2</v>
      </c>
      <c r="W124">
        <v>3</v>
      </c>
      <c r="X124" t="s">
        <v>45</v>
      </c>
      <c r="Y124">
        <v>0</v>
      </c>
      <c r="Z124">
        <v>0</v>
      </c>
      <c r="AB124">
        <v>0</v>
      </c>
      <c r="AC124" t="s">
        <v>46</v>
      </c>
      <c r="AE124">
        <v>1</v>
      </c>
      <c r="AF124">
        <v>0</v>
      </c>
      <c r="AG124" t="s">
        <v>75</v>
      </c>
      <c r="AH124" t="s">
        <v>48</v>
      </c>
      <c r="AI124" t="s">
        <v>64</v>
      </c>
      <c r="AJ124" s="1" t="s">
        <v>111</v>
      </c>
      <c r="AK124" s="1" t="s">
        <v>84</v>
      </c>
      <c r="AL124">
        <v>0</v>
      </c>
    </row>
    <row r="125" spans="1:38" x14ac:dyDescent="0.35">
      <c r="A125" t="s">
        <v>278</v>
      </c>
      <c r="B125" t="s">
        <v>98</v>
      </c>
      <c r="C125" t="s">
        <v>99</v>
      </c>
      <c r="D125">
        <v>2</v>
      </c>
      <c r="E125" t="s">
        <v>67</v>
      </c>
      <c r="F125">
        <v>26</v>
      </c>
      <c r="G125" t="s">
        <v>42</v>
      </c>
      <c r="H125" t="s">
        <v>69</v>
      </c>
      <c r="I125">
        <v>4</v>
      </c>
      <c r="J125">
        <v>2</v>
      </c>
      <c r="K125">
        <v>16</v>
      </c>
      <c r="L125">
        <v>1</v>
      </c>
      <c r="M125">
        <v>12</v>
      </c>
      <c r="N125">
        <v>0</v>
      </c>
      <c r="O125" t="s">
        <v>82</v>
      </c>
      <c r="P125">
        <v>32900</v>
      </c>
      <c r="Q125">
        <v>5</v>
      </c>
      <c r="R125">
        <v>2.2000000000000002</v>
      </c>
      <c r="S125">
        <v>0.3</v>
      </c>
      <c r="T125">
        <v>0</v>
      </c>
      <c r="U125">
        <v>3.8</v>
      </c>
      <c r="V125">
        <v>4</v>
      </c>
      <c r="W125">
        <v>2.8</v>
      </c>
      <c r="X125" t="s">
        <v>45</v>
      </c>
      <c r="Y125">
        <v>0</v>
      </c>
      <c r="Z125">
        <v>1</v>
      </c>
      <c r="AB125">
        <v>0</v>
      </c>
      <c r="AC125" t="s">
        <v>46</v>
      </c>
      <c r="AE125">
        <v>1</v>
      </c>
      <c r="AF125">
        <v>0</v>
      </c>
      <c r="AG125" t="s">
        <v>47</v>
      </c>
      <c r="AH125" t="s">
        <v>48</v>
      </c>
      <c r="AI125" t="s">
        <v>64</v>
      </c>
      <c r="AJ125" s="1" t="s">
        <v>122</v>
      </c>
      <c r="AK125" s="1" t="s">
        <v>115</v>
      </c>
      <c r="AL125">
        <v>0</v>
      </c>
    </row>
    <row r="126" spans="1:38" x14ac:dyDescent="0.35">
      <c r="A126" t="s">
        <v>279</v>
      </c>
      <c r="B126" t="s">
        <v>73</v>
      </c>
      <c r="C126" t="s">
        <v>121</v>
      </c>
      <c r="D126">
        <v>4.7</v>
      </c>
      <c r="E126" t="s">
        <v>110</v>
      </c>
      <c r="F126">
        <v>37</v>
      </c>
      <c r="G126" t="s">
        <v>68</v>
      </c>
      <c r="H126" t="s">
        <v>43</v>
      </c>
      <c r="I126">
        <v>3</v>
      </c>
      <c r="J126">
        <v>15.2</v>
      </c>
      <c r="K126">
        <v>12</v>
      </c>
      <c r="L126">
        <v>1</v>
      </c>
      <c r="M126">
        <v>12</v>
      </c>
      <c r="N126">
        <v>0</v>
      </c>
      <c r="O126" t="s">
        <v>44</v>
      </c>
      <c r="P126">
        <v>61200</v>
      </c>
      <c r="Q126">
        <v>8.6</v>
      </c>
      <c r="R126">
        <v>1.8</v>
      </c>
      <c r="S126">
        <v>0.9</v>
      </c>
      <c r="T126">
        <v>0</v>
      </c>
      <c r="U126">
        <v>2.5</v>
      </c>
      <c r="V126">
        <v>4.3</v>
      </c>
      <c r="W126">
        <v>4.8</v>
      </c>
      <c r="X126" t="s">
        <v>45</v>
      </c>
      <c r="Y126">
        <v>0</v>
      </c>
      <c r="Z126">
        <v>0</v>
      </c>
      <c r="AB126">
        <v>1</v>
      </c>
      <c r="AC126" t="s">
        <v>46</v>
      </c>
      <c r="AE126">
        <v>1</v>
      </c>
      <c r="AF126">
        <v>0</v>
      </c>
      <c r="AG126" t="s">
        <v>75</v>
      </c>
      <c r="AH126" t="s">
        <v>76</v>
      </c>
      <c r="AI126" t="s">
        <v>49</v>
      </c>
      <c r="AJ126" s="1" t="s">
        <v>131</v>
      </c>
      <c r="AK126">
        <v>0.25</v>
      </c>
      <c r="AL126">
        <v>0</v>
      </c>
    </row>
    <row r="127" spans="1:38" x14ac:dyDescent="0.35">
      <c r="A127" t="s">
        <v>280</v>
      </c>
      <c r="B127" t="s">
        <v>52</v>
      </c>
      <c r="C127" t="s">
        <v>53</v>
      </c>
      <c r="D127">
        <v>6.7</v>
      </c>
      <c r="E127" t="s">
        <v>67</v>
      </c>
      <c r="F127">
        <v>21</v>
      </c>
      <c r="G127" t="s">
        <v>234</v>
      </c>
      <c r="H127" t="s">
        <v>43</v>
      </c>
      <c r="I127">
        <v>5</v>
      </c>
      <c r="J127">
        <v>4.9000000000000004</v>
      </c>
      <c r="K127">
        <v>9</v>
      </c>
      <c r="L127">
        <v>2</v>
      </c>
      <c r="M127">
        <v>12</v>
      </c>
      <c r="N127">
        <v>0</v>
      </c>
      <c r="O127" t="s">
        <v>70</v>
      </c>
      <c r="P127">
        <v>40800</v>
      </c>
      <c r="Q127">
        <v>10</v>
      </c>
      <c r="R127">
        <v>2.2999999999999998</v>
      </c>
      <c r="S127">
        <v>1.1000000000000001</v>
      </c>
      <c r="T127">
        <v>0</v>
      </c>
      <c r="U127">
        <v>3.2</v>
      </c>
      <c r="V127">
        <v>3.2</v>
      </c>
      <c r="W127">
        <v>1.6</v>
      </c>
      <c r="X127" t="s">
        <v>45</v>
      </c>
      <c r="Y127">
        <v>0</v>
      </c>
      <c r="Z127">
        <v>0</v>
      </c>
      <c r="AB127">
        <v>0</v>
      </c>
      <c r="AC127" t="s">
        <v>46</v>
      </c>
      <c r="AE127">
        <v>1</v>
      </c>
      <c r="AF127">
        <v>0</v>
      </c>
      <c r="AG127" t="s">
        <v>75</v>
      </c>
      <c r="AH127" t="s">
        <v>83</v>
      </c>
      <c r="AI127" t="s">
        <v>64</v>
      </c>
      <c r="AJ127" s="1" t="s">
        <v>230</v>
      </c>
      <c r="AK127" s="1" t="s">
        <v>127</v>
      </c>
      <c r="AL127">
        <v>0</v>
      </c>
    </row>
    <row r="128" spans="1:38" x14ac:dyDescent="0.35">
      <c r="A128" t="s">
        <v>281</v>
      </c>
      <c r="B128" t="s">
        <v>98</v>
      </c>
      <c r="C128" t="s">
        <v>148</v>
      </c>
      <c r="D128">
        <v>2.2999999999999998</v>
      </c>
      <c r="E128" t="s">
        <v>41</v>
      </c>
      <c r="F128">
        <v>24</v>
      </c>
      <c r="G128" t="s">
        <v>234</v>
      </c>
      <c r="H128" t="s">
        <v>69</v>
      </c>
      <c r="I128">
        <v>3</v>
      </c>
      <c r="J128">
        <v>6.8</v>
      </c>
      <c r="K128">
        <v>10</v>
      </c>
      <c r="L128">
        <v>0</v>
      </c>
      <c r="M128">
        <v>12</v>
      </c>
      <c r="N128">
        <v>0</v>
      </c>
      <c r="O128" t="s">
        <v>56</v>
      </c>
      <c r="P128">
        <v>76000</v>
      </c>
      <c r="Q128">
        <v>3.1</v>
      </c>
      <c r="R128">
        <v>2.2000000000000002</v>
      </c>
      <c r="S128">
        <v>1.2</v>
      </c>
      <c r="T128">
        <v>0</v>
      </c>
      <c r="U128">
        <v>3.6</v>
      </c>
      <c r="V128">
        <v>2.8</v>
      </c>
      <c r="W128">
        <v>3.2</v>
      </c>
      <c r="X128" t="s">
        <v>45</v>
      </c>
      <c r="Y128">
        <v>0</v>
      </c>
      <c r="Z128">
        <v>0</v>
      </c>
      <c r="AB128">
        <v>1</v>
      </c>
      <c r="AC128" t="s">
        <v>46</v>
      </c>
      <c r="AE128">
        <v>1</v>
      </c>
      <c r="AF128">
        <v>0</v>
      </c>
      <c r="AG128" t="s">
        <v>75</v>
      </c>
      <c r="AH128" t="s">
        <v>48</v>
      </c>
      <c r="AI128" t="s">
        <v>64</v>
      </c>
      <c r="AJ128" s="1" t="s">
        <v>249</v>
      </c>
      <c r="AK128">
        <v>0.25</v>
      </c>
      <c r="AL128">
        <v>0</v>
      </c>
    </row>
    <row r="129" spans="1:38" x14ac:dyDescent="0.35">
      <c r="A129" t="s">
        <v>282</v>
      </c>
      <c r="B129" t="s">
        <v>73</v>
      </c>
      <c r="C129" t="s">
        <v>121</v>
      </c>
      <c r="D129">
        <v>2.4</v>
      </c>
      <c r="E129" t="s">
        <v>67</v>
      </c>
      <c r="F129">
        <v>39</v>
      </c>
      <c r="G129" t="s">
        <v>54</v>
      </c>
      <c r="H129" t="s">
        <v>55</v>
      </c>
      <c r="I129">
        <v>2</v>
      </c>
      <c r="J129">
        <v>17.899999999999999</v>
      </c>
      <c r="K129">
        <v>12</v>
      </c>
      <c r="L129">
        <v>2</v>
      </c>
      <c r="M129">
        <v>12</v>
      </c>
      <c r="N129">
        <v>0</v>
      </c>
      <c r="O129" t="s">
        <v>82</v>
      </c>
      <c r="P129">
        <v>32600</v>
      </c>
      <c r="Q129">
        <v>11.4</v>
      </c>
      <c r="R129">
        <v>4.5999999999999996</v>
      </c>
      <c r="S129">
        <v>0.5</v>
      </c>
      <c r="T129">
        <v>0</v>
      </c>
      <c r="U129">
        <v>4.5</v>
      </c>
      <c r="V129">
        <v>4.7</v>
      </c>
      <c r="W129">
        <v>3.6</v>
      </c>
      <c r="X129" t="s">
        <v>45</v>
      </c>
      <c r="Y129">
        <v>0</v>
      </c>
      <c r="Z129">
        <v>0</v>
      </c>
      <c r="AB129">
        <v>1</v>
      </c>
      <c r="AC129" t="s">
        <v>46</v>
      </c>
      <c r="AE129">
        <v>1</v>
      </c>
      <c r="AF129">
        <v>0</v>
      </c>
      <c r="AG129" t="s">
        <v>75</v>
      </c>
      <c r="AH129" t="s">
        <v>48</v>
      </c>
      <c r="AI129" t="s">
        <v>49</v>
      </c>
      <c r="AJ129" s="1" t="s">
        <v>193</v>
      </c>
      <c r="AK129" s="1" t="s">
        <v>84</v>
      </c>
      <c r="AL129">
        <v>0</v>
      </c>
    </row>
    <row r="130" spans="1:38" x14ac:dyDescent="0.35">
      <c r="A130" t="s">
        <v>283</v>
      </c>
      <c r="B130" t="s">
        <v>73</v>
      </c>
      <c r="C130" t="s">
        <v>177</v>
      </c>
      <c r="D130">
        <v>5.7</v>
      </c>
      <c r="E130" t="s">
        <v>41</v>
      </c>
      <c r="F130">
        <v>34</v>
      </c>
      <c r="G130" t="s">
        <v>42</v>
      </c>
      <c r="H130" t="s">
        <v>55</v>
      </c>
      <c r="I130">
        <v>4</v>
      </c>
      <c r="J130">
        <v>20.6</v>
      </c>
      <c r="K130">
        <v>8</v>
      </c>
      <c r="L130">
        <v>1</v>
      </c>
      <c r="M130">
        <v>12</v>
      </c>
      <c r="N130">
        <v>0</v>
      </c>
      <c r="O130" t="s">
        <v>56</v>
      </c>
      <c r="P130">
        <v>75400</v>
      </c>
      <c r="Q130">
        <v>9.1999999999999993</v>
      </c>
      <c r="R130">
        <v>4.4000000000000004</v>
      </c>
      <c r="S130">
        <v>0.3</v>
      </c>
      <c r="T130">
        <v>0</v>
      </c>
      <c r="U130">
        <v>5</v>
      </c>
      <c r="V130">
        <v>3</v>
      </c>
      <c r="W130">
        <v>4.5</v>
      </c>
      <c r="X130" t="s">
        <v>45</v>
      </c>
      <c r="Y130">
        <v>0</v>
      </c>
      <c r="Z130">
        <v>0</v>
      </c>
      <c r="AB130">
        <v>1</v>
      </c>
      <c r="AC130" t="s">
        <v>46</v>
      </c>
      <c r="AE130">
        <v>1</v>
      </c>
      <c r="AF130">
        <v>0</v>
      </c>
      <c r="AG130" t="s">
        <v>75</v>
      </c>
      <c r="AH130" t="s">
        <v>83</v>
      </c>
      <c r="AI130" t="s">
        <v>57</v>
      </c>
      <c r="AJ130" s="1" t="s">
        <v>284</v>
      </c>
      <c r="AK130" s="1" t="s">
        <v>115</v>
      </c>
      <c r="AL130">
        <v>0</v>
      </c>
    </row>
    <row r="131" spans="1:38" x14ac:dyDescent="0.35">
      <c r="A131" t="s">
        <v>285</v>
      </c>
      <c r="B131" t="s">
        <v>117</v>
      </c>
      <c r="C131" t="s">
        <v>197</v>
      </c>
      <c r="D131">
        <v>14</v>
      </c>
      <c r="E131" t="s">
        <v>41</v>
      </c>
      <c r="F131">
        <v>36</v>
      </c>
      <c r="G131" t="s">
        <v>68</v>
      </c>
      <c r="H131" t="s">
        <v>94</v>
      </c>
      <c r="I131">
        <v>0</v>
      </c>
      <c r="J131">
        <v>23.9</v>
      </c>
      <c r="K131">
        <v>10</v>
      </c>
      <c r="L131">
        <v>2</v>
      </c>
      <c r="M131">
        <v>12</v>
      </c>
      <c r="N131">
        <v>0</v>
      </c>
      <c r="O131" t="s">
        <v>56</v>
      </c>
      <c r="P131">
        <v>88300</v>
      </c>
      <c r="Q131">
        <v>7.4</v>
      </c>
      <c r="R131">
        <v>2.2999999999999998</v>
      </c>
      <c r="S131">
        <v>1</v>
      </c>
      <c r="T131">
        <v>0</v>
      </c>
      <c r="U131">
        <v>2.5</v>
      </c>
      <c r="V131">
        <v>4.3</v>
      </c>
      <c r="W131">
        <v>3.1</v>
      </c>
      <c r="X131" t="s">
        <v>45</v>
      </c>
      <c r="Y131">
        <v>0</v>
      </c>
      <c r="Z131">
        <v>3</v>
      </c>
      <c r="AA131">
        <v>7.4</v>
      </c>
      <c r="AB131">
        <v>0</v>
      </c>
      <c r="AC131" t="s">
        <v>46</v>
      </c>
      <c r="AE131">
        <v>0</v>
      </c>
      <c r="AF131">
        <v>0</v>
      </c>
      <c r="AG131" t="s">
        <v>47</v>
      </c>
      <c r="AH131" t="s">
        <v>83</v>
      </c>
      <c r="AI131" t="s">
        <v>57</v>
      </c>
      <c r="AJ131" s="1" t="s">
        <v>71</v>
      </c>
      <c r="AK131">
        <v>0</v>
      </c>
      <c r="AL131">
        <v>0</v>
      </c>
    </row>
    <row r="132" spans="1:38" x14ac:dyDescent="0.35">
      <c r="A132" t="s">
        <v>286</v>
      </c>
      <c r="B132" t="s">
        <v>73</v>
      </c>
      <c r="C132" t="s">
        <v>121</v>
      </c>
      <c r="D132">
        <v>3.9</v>
      </c>
      <c r="E132" t="s">
        <v>62</v>
      </c>
      <c r="F132">
        <v>30</v>
      </c>
      <c r="G132" t="s">
        <v>68</v>
      </c>
      <c r="H132" t="s">
        <v>63</v>
      </c>
      <c r="I132">
        <v>0</v>
      </c>
      <c r="J132">
        <v>16.899999999999999</v>
      </c>
      <c r="K132">
        <v>16</v>
      </c>
      <c r="L132">
        <v>3</v>
      </c>
      <c r="M132">
        <v>12</v>
      </c>
      <c r="N132">
        <v>0</v>
      </c>
      <c r="O132" t="s">
        <v>44</v>
      </c>
      <c r="P132">
        <v>73700</v>
      </c>
      <c r="Q132">
        <v>8.4</v>
      </c>
      <c r="R132">
        <v>4.7</v>
      </c>
      <c r="S132">
        <v>1.9</v>
      </c>
      <c r="T132">
        <v>0</v>
      </c>
      <c r="U132">
        <v>2.1</v>
      </c>
      <c r="V132">
        <v>3.4</v>
      </c>
      <c r="W132">
        <v>5</v>
      </c>
      <c r="X132" t="s">
        <v>45</v>
      </c>
      <c r="Y132">
        <v>0</v>
      </c>
      <c r="Z132">
        <v>0</v>
      </c>
      <c r="AB132">
        <v>0</v>
      </c>
      <c r="AC132" t="s">
        <v>124</v>
      </c>
      <c r="AD132" s="2">
        <v>46187</v>
      </c>
      <c r="AE132">
        <v>1</v>
      </c>
      <c r="AF132">
        <v>0</v>
      </c>
      <c r="AG132" t="s">
        <v>75</v>
      </c>
      <c r="AH132" t="s">
        <v>76</v>
      </c>
      <c r="AI132" t="s">
        <v>49</v>
      </c>
      <c r="AJ132">
        <v>3.5</v>
      </c>
      <c r="AK132">
        <v>0</v>
      </c>
      <c r="AL132">
        <v>1</v>
      </c>
    </row>
    <row r="133" spans="1:38" x14ac:dyDescent="0.35">
      <c r="A133" t="s">
        <v>287</v>
      </c>
      <c r="B133" t="s">
        <v>60</v>
      </c>
      <c r="C133" t="s">
        <v>107</v>
      </c>
      <c r="D133">
        <v>2</v>
      </c>
      <c r="E133" t="s">
        <v>67</v>
      </c>
      <c r="F133">
        <v>28</v>
      </c>
      <c r="G133" t="s">
        <v>54</v>
      </c>
      <c r="H133" t="s">
        <v>43</v>
      </c>
      <c r="I133">
        <v>2</v>
      </c>
      <c r="J133">
        <v>8.5</v>
      </c>
      <c r="K133">
        <v>6</v>
      </c>
      <c r="L133">
        <v>2</v>
      </c>
      <c r="M133">
        <v>12</v>
      </c>
      <c r="N133">
        <v>0</v>
      </c>
      <c r="O133" t="s">
        <v>70</v>
      </c>
      <c r="P133">
        <v>43300</v>
      </c>
      <c r="Q133">
        <v>10.8</v>
      </c>
      <c r="R133">
        <v>4.4000000000000004</v>
      </c>
      <c r="S133">
        <v>0.5</v>
      </c>
      <c r="T133">
        <v>0</v>
      </c>
      <c r="U133">
        <v>3.3</v>
      </c>
      <c r="V133">
        <v>4.8</v>
      </c>
      <c r="W133">
        <v>4</v>
      </c>
      <c r="X133" t="s">
        <v>45</v>
      </c>
      <c r="Y133">
        <v>1</v>
      </c>
      <c r="Z133">
        <v>2</v>
      </c>
      <c r="AA133">
        <v>1.4</v>
      </c>
      <c r="AB133">
        <v>0</v>
      </c>
      <c r="AC133" t="s">
        <v>46</v>
      </c>
      <c r="AE133">
        <v>0</v>
      </c>
      <c r="AF133">
        <v>0</v>
      </c>
      <c r="AG133" t="s">
        <v>47</v>
      </c>
      <c r="AH133" t="s">
        <v>48</v>
      </c>
      <c r="AI133" t="s">
        <v>64</v>
      </c>
      <c r="AJ133" s="1" t="s">
        <v>288</v>
      </c>
      <c r="AK133" s="1" t="s">
        <v>84</v>
      </c>
      <c r="AL133">
        <v>0</v>
      </c>
    </row>
    <row r="134" spans="1:38" x14ac:dyDescent="0.35">
      <c r="A134" t="s">
        <v>289</v>
      </c>
      <c r="B134" t="s">
        <v>117</v>
      </c>
      <c r="C134" t="s">
        <v>118</v>
      </c>
      <c r="D134">
        <v>1.5</v>
      </c>
      <c r="E134" t="s">
        <v>110</v>
      </c>
      <c r="F134">
        <v>31</v>
      </c>
      <c r="G134" t="s">
        <v>42</v>
      </c>
      <c r="H134" t="s">
        <v>55</v>
      </c>
      <c r="I134">
        <v>3</v>
      </c>
      <c r="J134">
        <v>7.9</v>
      </c>
      <c r="K134">
        <v>11</v>
      </c>
      <c r="L134">
        <v>0</v>
      </c>
      <c r="M134">
        <v>12</v>
      </c>
      <c r="N134">
        <v>0</v>
      </c>
      <c r="O134" t="s">
        <v>70</v>
      </c>
      <c r="P134">
        <v>44200</v>
      </c>
      <c r="Q134">
        <v>17.3</v>
      </c>
      <c r="R134">
        <v>1.7</v>
      </c>
      <c r="S134">
        <v>1</v>
      </c>
      <c r="T134">
        <v>0</v>
      </c>
      <c r="U134">
        <v>3.5</v>
      </c>
      <c r="V134">
        <v>2.4</v>
      </c>
      <c r="W134">
        <v>1.5</v>
      </c>
      <c r="X134" t="s">
        <v>45</v>
      </c>
      <c r="Y134">
        <v>0</v>
      </c>
      <c r="Z134">
        <v>0</v>
      </c>
      <c r="AB134">
        <v>0</v>
      </c>
      <c r="AC134" t="s">
        <v>46</v>
      </c>
      <c r="AE134">
        <v>1</v>
      </c>
      <c r="AF134">
        <v>0</v>
      </c>
      <c r="AG134" t="s">
        <v>75</v>
      </c>
      <c r="AH134" t="s">
        <v>48</v>
      </c>
      <c r="AI134" t="s">
        <v>64</v>
      </c>
      <c r="AJ134" s="1" t="s">
        <v>133</v>
      </c>
      <c r="AK134">
        <v>0.25</v>
      </c>
      <c r="AL134">
        <v>0</v>
      </c>
    </row>
    <row r="135" spans="1:38" x14ac:dyDescent="0.35">
      <c r="A135" t="s">
        <v>290</v>
      </c>
      <c r="B135" t="s">
        <v>98</v>
      </c>
      <c r="C135" t="s">
        <v>99</v>
      </c>
      <c r="D135">
        <v>3.4</v>
      </c>
      <c r="E135" t="s">
        <v>110</v>
      </c>
      <c r="F135">
        <v>37</v>
      </c>
      <c r="G135" t="s">
        <v>42</v>
      </c>
      <c r="H135" t="s">
        <v>94</v>
      </c>
      <c r="I135">
        <v>2</v>
      </c>
      <c r="J135">
        <v>7.2</v>
      </c>
      <c r="K135">
        <v>9</v>
      </c>
      <c r="L135">
        <v>2</v>
      </c>
      <c r="M135">
        <v>12</v>
      </c>
      <c r="N135">
        <v>0</v>
      </c>
      <c r="O135" t="s">
        <v>44</v>
      </c>
      <c r="P135">
        <v>54400</v>
      </c>
      <c r="Q135">
        <v>10.4</v>
      </c>
      <c r="R135">
        <v>2.2999999999999998</v>
      </c>
      <c r="S135">
        <v>5.3</v>
      </c>
      <c r="T135">
        <v>0</v>
      </c>
      <c r="U135">
        <v>2.2000000000000002</v>
      </c>
      <c r="V135">
        <v>2.4</v>
      </c>
      <c r="W135">
        <v>2.2000000000000002</v>
      </c>
      <c r="X135" t="s">
        <v>45</v>
      </c>
      <c r="Y135">
        <v>0</v>
      </c>
      <c r="Z135">
        <v>1</v>
      </c>
      <c r="AA135">
        <v>1.2</v>
      </c>
      <c r="AB135">
        <v>0</v>
      </c>
      <c r="AC135" t="s">
        <v>46</v>
      </c>
      <c r="AE135">
        <v>0</v>
      </c>
      <c r="AF135">
        <v>0</v>
      </c>
      <c r="AG135" t="s">
        <v>47</v>
      </c>
      <c r="AH135" t="s">
        <v>76</v>
      </c>
      <c r="AI135" t="s">
        <v>64</v>
      </c>
      <c r="AJ135" s="1" t="s">
        <v>291</v>
      </c>
      <c r="AK135" s="1" t="s">
        <v>84</v>
      </c>
      <c r="AL135">
        <v>0</v>
      </c>
    </row>
    <row r="136" spans="1:38" x14ac:dyDescent="0.35">
      <c r="A136" t="s">
        <v>292</v>
      </c>
      <c r="B136" t="s">
        <v>117</v>
      </c>
      <c r="C136" t="s">
        <v>118</v>
      </c>
      <c r="D136">
        <v>6.5</v>
      </c>
      <c r="E136" t="s">
        <v>62</v>
      </c>
      <c r="F136">
        <v>34</v>
      </c>
      <c r="G136" t="s">
        <v>42</v>
      </c>
      <c r="H136" t="s">
        <v>94</v>
      </c>
      <c r="I136">
        <v>3</v>
      </c>
      <c r="J136">
        <v>3.2</v>
      </c>
      <c r="K136">
        <v>11</v>
      </c>
      <c r="L136">
        <v>2</v>
      </c>
      <c r="M136">
        <v>12</v>
      </c>
      <c r="N136">
        <v>0</v>
      </c>
      <c r="O136" t="s">
        <v>293</v>
      </c>
      <c r="P136">
        <v>123200</v>
      </c>
      <c r="Q136">
        <v>11.2</v>
      </c>
      <c r="R136">
        <v>1.7</v>
      </c>
      <c r="S136">
        <v>1.5</v>
      </c>
      <c r="T136">
        <v>0</v>
      </c>
      <c r="U136">
        <v>3.3</v>
      </c>
      <c r="V136">
        <v>4</v>
      </c>
      <c r="W136">
        <v>3.6</v>
      </c>
      <c r="X136" t="s">
        <v>89</v>
      </c>
      <c r="Y136">
        <v>0</v>
      </c>
      <c r="Z136">
        <v>0</v>
      </c>
      <c r="AB136">
        <v>1</v>
      </c>
      <c r="AC136" t="s">
        <v>46</v>
      </c>
      <c r="AE136">
        <v>1</v>
      </c>
      <c r="AF136">
        <v>0</v>
      </c>
      <c r="AG136" t="s">
        <v>75</v>
      </c>
      <c r="AH136" t="s">
        <v>83</v>
      </c>
      <c r="AI136" t="s">
        <v>64</v>
      </c>
      <c r="AJ136" s="1" t="s">
        <v>190</v>
      </c>
      <c r="AK136">
        <v>0.25</v>
      </c>
      <c r="AL136">
        <v>0</v>
      </c>
    </row>
    <row r="137" spans="1:38" x14ac:dyDescent="0.35">
      <c r="A137" t="s">
        <v>294</v>
      </c>
      <c r="B137" t="s">
        <v>73</v>
      </c>
      <c r="C137" t="s">
        <v>121</v>
      </c>
      <c r="D137">
        <v>17.899999999999999</v>
      </c>
      <c r="E137" t="s">
        <v>41</v>
      </c>
      <c r="F137">
        <v>42</v>
      </c>
      <c r="G137" t="s">
        <v>42</v>
      </c>
      <c r="H137" t="s">
        <v>43</v>
      </c>
      <c r="I137">
        <v>6</v>
      </c>
      <c r="J137">
        <v>4.3</v>
      </c>
      <c r="K137">
        <v>9</v>
      </c>
      <c r="L137">
        <v>1</v>
      </c>
      <c r="M137">
        <v>12</v>
      </c>
      <c r="N137">
        <v>0</v>
      </c>
      <c r="O137" t="s">
        <v>56</v>
      </c>
      <c r="P137">
        <v>96600</v>
      </c>
      <c r="Q137">
        <v>8.8000000000000007</v>
      </c>
      <c r="R137">
        <v>3.1</v>
      </c>
      <c r="S137">
        <v>1</v>
      </c>
      <c r="T137">
        <v>0</v>
      </c>
      <c r="U137">
        <v>3.3</v>
      </c>
      <c r="V137">
        <v>2.2000000000000002</v>
      </c>
      <c r="W137">
        <v>2.5</v>
      </c>
      <c r="X137" t="s">
        <v>45</v>
      </c>
      <c r="Y137">
        <v>1</v>
      </c>
      <c r="Z137">
        <v>0</v>
      </c>
      <c r="AB137">
        <v>0</v>
      </c>
      <c r="AC137" t="s">
        <v>46</v>
      </c>
      <c r="AE137">
        <v>1</v>
      </c>
      <c r="AF137">
        <v>0</v>
      </c>
      <c r="AG137" t="s">
        <v>75</v>
      </c>
      <c r="AH137" t="s">
        <v>83</v>
      </c>
      <c r="AI137" t="s">
        <v>64</v>
      </c>
      <c r="AJ137" s="1" t="s">
        <v>230</v>
      </c>
      <c r="AK137">
        <v>0.5</v>
      </c>
      <c r="AL137">
        <v>0</v>
      </c>
    </row>
    <row r="138" spans="1:38" x14ac:dyDescent="0.35">
      <c r="A138" t="s">
        <v>295</v>
      </c>
      <c r="B138" t="s">
        <v>60</v>
      </c>
      <c r="C138" t="s">
        <v>61</v>
      </c>
      <c r="D138">
        <v>2.9</v>
      </c>
      <c r="E138" t="s">
        <v>110</v>
      </c>
      <c r="F138">
        <v>32</v>
      </c>
      <c r="G138" t="s">
        <v>54</v>
      </c>
      <c r="H138" t="s">
        <v>55</v>
      </c>
      <c r="I138">
        <v>2</v>
      </c>
      <c r="J138">
        <v>21.7</v>
      </c>
      <c r="K138">
        <v>8</v>
      </c>
      <c r="L138">
        <v>2</v>
      </c>
      <c r="M138">
        <v>12</v>
      </c>
      <c r="N138">
        <v>0</v>
      </c>
      <c r="O138" t="s">
        <v>70</v>
      </c>
      <c r="P138">
        <v>43300</v>
      </c>
      <c r="Q138">
        <v>15.6</v>
      </c>
      <c r="R138">
        <v>3.2</v>
      </c>
      <c r="S138">
        <v>1.1000000000000001</v>
      </c>
      <c r="T138">
        <v>0</v>
      </c>
      <c r="U138">
        <v>2.2000000000000002</v>
      </c>
      <c r="V138">
        <v>3.3</v>
      </c>
      <c r="W138">
        <v>3.8</v>
      </c>
      <c r="X138" t="s">
        <v>45</v>
      </c>
      <c r="Y138">
        <v>0</v>
      </c>
      <c r="Z138">
        <v>0</v>
      </c>
      <c r="AB138">
        <v>1</v>
      </c>
      <c r="AC138" t="s">
        <v>46</v>
      </c>
      <c r="AE138">
        <v>1</v>
      </c>
      <c r="AF138">
        <v>0</v>
      </c>
      <c r="AG138" t="s">
        <v>75</v>
      </c>
      <c r="AH138" t="s">
        <v>48</v>
      </c>
      <c r="AI138" t="s">
        <v>57</v>
      </c>
      <c r="AJ138">
        <v>3.1</v>
      </c>
      <c r="AK138" s="1" t="s">
        <v>84</v>
      </c>
      <c r="AL138">
        <v>0</v>
      </c>
    </row>
    <row r="139" spans="1:38" x14ac:dyDescent="0.35">
      <c r="A139" t="s">
        <v>296</v>
      </c>
      <c r="B139" t="s">
        <v>52</v>
      </c>
      <c r="C139" t="s">
        <v>53</v>
      </c>
      <c r="D139">
        <v>3.9</v>
      </c>
      <c r="E139" t="s">
        <v>110</v>
      </c>
      <c r="F139">
        <v>27</v>
      </c>
      <c r="G139" t="s">
        <v>54</v>
      </c>
      <c r="H139" t="s">
        <v>55</v>
      </c>
      <c r="I139">
        <v>1</v>
      </c>
      <c r="J139">
        <v>5.4</v>
      </c>
      <c r="K139">
        <v>8</v>
      </c>
      <c r="L139">
        <v>3</v>
      </c>
      <c r="M139">
        <v>12</v>
      </c>
      <c r="N139">
        <v>0</v>
      </c>
      <c r="O139" t="s">
        <v>44</v>
      </c>
      <c r="P139">
        <v>52300</v>
      </c>
      <c r="Q139">
        <v>2.1</v>
      </c>
      <c r="R139">
        <v>3.2</v>
      </c>
      <c r="S139">
        <v>4.5</v>
      </c>
      <c r="T139">
        <v>0</v>
      </c>
      <c r="U139">
        <v>2.4</v>
      </c>
      <c r="V139">
        <v>4.5999999999999996</v>
      </c>
      <c r="W139">
        <v>3</v>
      </c>
      <c r="X139" t="s">
        <v>45</v>
      </c>
      <c r="Y139">
        <v>0</v>
      </c>
      <c r="Z139">
        <v>1</v>
      </c>
      <c r="AA139">
        <v>1.9</v>
      </c>
      <c r="AB139">
        <v>0</v>
      </c>
      <c r="AC139" t="s">
        <v>46</v>
      </c>
      <c r="AE139">
        <v>0</v>
      </c>
      <c r="AF139">
        <v>0</v>
      </c>
      <c r="AG139" t="s">
        <v>47</v>
      </c>
      <c r="AH139" t="s">
        <v>76</v>
      </c>
      <c r="AI139" t="s">
        <v>64</v>
      </c>
      <c r="AJ139" s="1" t="s">
        <v>90</v>
      </c>
      <c r="AK139">
        <v>8.3333333333333301E-2</v>
      </c>
      <c r="AL139">
        <v>0</v>
      </c>
    </row>
    <row r="140" spans="1:38" x14ac:dyDescent="0.35">
      <c r="A140" t="s">
        <v>297</v>
      </c>
      <c r="B140" t="s">
        <v>39</v>
      </c>
      <c r="C140" t="s">
        <v>66</v>
      </c>
      <c r="D140">
        <v>10.6</v>
      </c>
      <c r="E140" t="s">
        <v>81</v>
      </c>
      <c r="F140">
        <v>32</v>
      </c>
      <c r="G140" t="s">
        <v>68</v>
      </c>
      <c r="H140" t="s">
        <v>69</v>
      </c>
      <c r="I140">
        <v>1</v>
      </c>
      <c r="J140">
        <v>3.2</v>
      </c>
      <c r="K140">
        <v>9</v>
      </c>
      <c r="L140">
        <v>0</v>
      </c>
      <c r="M140">
        <v>12</v>
      </c>
      <c r="N140">
        <v>0</v>
      </c>
      <c r="O140" t="s">
        <v>70</v>
      </c>
      <c r="P140">
        <v>36300</v>
      </c>
      <c r="Q140">
        <v>1.1000000000000001</v>
      </c>
      <c r="R140">
        <v>1.4</v>
      </c>
      <c r="S140">
        <v>2</v>
      </c>
      <c r="T140">
        <v>0</v>
      </c>
      <c r="U140">
        <v>3.3</v>
      </c>
      <c r="V140">
        <v>1.6</v>
      </c>
      <c r="W140">
        <v>2.4</v>
      </c>
      <c r="X140" t="s">
        <v>45</v>
      </c>
      <c r="Y140">
        <v>1</v>
      </c>
      <c r="Z140">
        <v>0</v>
      </c>
      <c r="AB140">
        <v>1</v>
      </c>
      <c r="AC140" t="s">
        <v>46</v>
      </c>
      <c r="AE140">
        <v>1</v>
      </c>
      <c r="AF140">
        <v>0</v>
      </c>
      <c r="AG140" t="s">
        <v>75</v>
      </c>
      <c r="AH140" t="s">
        <v>83</v>
      </c>
      <c r="AI140" t="s">
        <v>64</v>
      </c>
      <c r="AJ140" s="1" t="s">
        <v>298</v>
      </c>
      <c r="AK140">
        <v>8.3333333333333301E-2</v>
      </c>
      <c r="AL140">
        <v>0</v>
      </c>
    </row>
    <row r="141" spans="1:38" x14ac:dyDescent="0.35">
      <c r="A141" t="s">
        <v>299</v>
      </c>
      <c r="B141" t="s">
        <v>73</v>
      </c>
      <c r="C141" t="s">
        <v>113</v>
      </c>
      <c r="D141">
        <v>4.5999999999999996</v>
      </c>
      <c r="E141" t="s">
        <v>62</v>
      </c>
      <c r="F141">
        <v>24</v>
      </c>
      <c r="G141" t="s">
        <v>68</v>
      </c>
      <c r="H141" t="s">
        <v>63</v>
      </c>
      <c r="I141">
        <v>4</v>
      </c>
      <c r="J141">
        <v>23</v>
      </c>
      <c r="K141">
        <v>10</v>
      </c>
      <c r="L141">
        <v>2</v>
      </c>
      <c r="M141">
        <v>12</v>
      </c>
      <c r="N141">
        <v>0</v>
      </c>
      <c r="O141" t="s">
        <v>56</v>
      </c>
      <c r="P141">
        <v>89000</v>
      </c>
      <c r="Q141">
        <v>8.6</v>
      </c>
      <c r="R141">
        <v>1.9</v>
      </c>
      <c r="S141">
        <v>0.6</v>
      </c>
      <c r="T141">
        <v>0</v>
      </c>
      <c r="U141">
        <v>3.1</v>
      </c>
      <c r="V141">
        <v>3.3</v>
      </c>
      <c r="W141">
        <v>2.6</v>
      </c>
      <c r="X141" t="s">
        <v>45</v>
      </c>
      <c r="Y141">
        <v>1</v>
      </c>
      <c r="Z141">
        <v>2</v>
      </c>
      <c r="AA141">
        <v>0.1</v>
      </c>
      <c r="AB141">
        <v>0</v>
      </c>
      <c r="AC141" t="s">
        <v>46</v>
      </c>
      <c r="AE141">
        <v>0</v>
      </c>
      <c r="AF141">
        <v>0</v>
      </c>
      <c r="AG141" t="s">
        <v>47</v>
      </c>
      <c r="AH141" t="s">
        <v>76</v>
      </c>
      <c r="AI141" t="s">
        <v>57</v>
      </c>
      <c r="AJ141">
        <v>3</v>
      </c>
      <c r="AK141" s="1" t="s">
        <v>115</v>
      </c>
      <c r="AL141">
        <v>0</v>
      </c>
    </row>
    <row r="142" spans="1:38" x14ac:dyDescent="0.35">
      <c r="A142" t="s">
        <v>300</v>
      </c>
      <c r="B142" t="s">
        <v>52</v>
      </c>
      <c r="C142" t="s">
        <v>153</v>
      </c>
      <c r="D142">
        <v>4.3</v>
      </c>
      <c r="E142" t="s">
        <v>67</v>
      </c>
      <c r="F142">
        <v>24</v>
      </c>
      <c r="G142" t="s">
        <v>68</v>
      </c>
      <c r="H142" t="s">
        <v>69</v>
      </c>
      <c r="I142">
        <v>1</v>
      </c>
      <c r="J142">
        <v>11.8</v>
      </c>
      <c r="K142">
        <v>8</v>
      </c>
      <c r="L142">
        <v>5</v>
      </c>
      <c r="M142">
        <v>12</v>
      </c>
      <c r="N142">
        <v>0</v>
      </c>
      <c r="O142" t="s">
        <v>70</v>
      </c>
      <c r="P142">
        <v>37600</v>
      </c>
      <c r="Q142">
        <v>10.6</v>
      </c>
      <c r="R142">
        <v>3.4</v>
      </c>
      <c r="S142">
        <v>2.2000000000000002</v>
      </c>
      <c r="T142">
        <v>0</v>
      </c>
      <c r="U142">
        <v>3.9</v>
      </c>
      <c r="V142">
        <v>4.3</v>
      </c>
      <c r="W142">
        <v>4.0999999999999996</v>
      </c>
      <c r="X142" t="s">
        <v>45</v>
      </c>
      <c r="Y142">
        <v>0</v>
      </c>
      <c r="Z142">
        <v>0</v>
      </c>
      <c r="AB142">
        <v>1</v>
      </c>
      <c r="AC142" t="s">
        <v>46</v>
      </c>
      <c r="AE142">
        <v>1</v>
      </c>
      <c r="AF142">
        <v>0</v>
      </c>
      <c r="AG142" t="s">
        <v>75</v>
      </c>
      <c r="AH142" t="s">
        <v>76</v>
      </c>
      <c r="AI142" t="s">
        <v>49</v>
      </c>
      <c r="AJ142">
        <v>4.0999999999999996</v>
      </c>
      <c r="AK142">
        <v>8.3333333333333301E-2</v>
      </c>
      <c r="AL142">
        <v>0</v>
      </c>
    </row>
    <row r="143" spans="1:38" x14ac:dyDescent="0.35">
      <c r="A143" t="s">
        <v>301</v>
      </c>
      <c r="B143" t="s">
        <v>52</v>
      </c>
      <c r="C143" t="s">
        <v>153</v>
      </c>
      <c r="D143">
        <v>9.3000000000000007</v>
      </c>
      <c r="E143" t="s">
        <v>110</v>
      </c>
      <c r="F143">
        <v>32</v>
      </c>
      <c r="G143" t="s">
        <v>42</v>
      </c>
      <c r="H143" t="s">
        <v>55</v>
      </c>
      <c r="I143">
        <v>7</v>
      </c>
      <c r="J143">
        <v>31</v>
      </c>
      <c r="K143">
        <v>8</v>
      </c>
      <c r="L143">
        <v>5</v>
      </c>
      <c r="M143">
        <v>12</v>
      </c>
      <c r="N143">
        <v>0</v>
      </c>
      <c r="O143" t="s">
        <v>44</v>
      </c>
      <c r="P143">
        <v>55000</v>
      </c>
      <c r="Q143">
        <v>0</v>
      </c>
      <c r="R143">
        <v>3.8</v>
      </c>
      <c r="S143">
        <v>0.4</v>
      </c>
      <c r="T143">
        <v>0</v>
      </c>
      <c r="U143">
        <v>3</v>
      </c>
      <c r="V143">
        <v>3.2</v>
      </c>
      <c r="W143">
        <v>1.8</v>
      </c>
      <c r="X143" t="s">
        <v>45</v>
      </c>
      <c r="Y143">
        <v>0</v>
      </c>
      <c r="Z143">
        <v>0</v>
      </c>
      <c r="AB143">
        <v>2</v>
      </c>
      <c r="AC143" t="s">
        <v>46</v>
      </c>
      <c r="AE143">
        <v>1</v>
      </c>
      <c r="AF143">
        <v>0</v>
      </c>
      <c r="AG143" t="s">
        <v>75</v>
      </c>
      <c r="AH143" t="s">
        <v>83</v>
      </c>
      <c r="AI143" t="s">
        <v>57</v>
      </c>
      <c r="AJ143" s="1" t="s">
        <v>230</v>
      </c>
      <c r="AK143" s="1" t="s">
        <v>105</v>
      </c>
      <c r="AL143">
        <v>0</v>
      </c>
    </row>
    <row r="144" spans="1:38" x14ac:dyDescent="0.35">
      <c r="A144" t="s">
        <v>302</v>
      </c>
      <c r="B144" t="s">
        <v>60</v>
      </c>
      <c r="C144" t="s">
        <v>107</v>
      </c>
      <c r="D144">
        <v>4</v>
      </c>
      <c r="E144" t="s">
        <v>41</v>
      </c>
      <c r="F144">
        <v>25</v>
      </c>
      <c r="G144" t="s">
        <v>42</v>
      </c>
      <c r="H144" t="s">
        <v>69</v>
      </c>
      <c r="I144">
        <v>1</v>
      </c>
      <c r="J144">
        <v>28.8</v>
      </c>
      <c r="K144">
        <v>6</v>
      </c>
      <c r="L144">
        <v>1</v>
      </c>
      <c r="M144">
        <v>12</v>
      </c>
      <c r="N144">
        <v>0</v>
      </c>
      <c r="O144" t="s">
        <v>56</v>
      </c>
      <c r="P144">
        <v>77000</v>
      </c>
      <c r="Q144">
        <v>8</v>
      </c>
      <c r="R144">
        <v>1.4</v>
      </c>
      <c r="S144">
        <v>1.3</v>
      </c>
      <c r="T144">
        <v>0</v>
      </c>
      <c r="U144">
        <v>3.3</v>
      </c>
      <c r="V144">
        <v>2.4</v>
      </c>
      <c r="W144">
        <v>4.2</v>
      </c>
      <c r="X144" t="s">
        <v>45</v>
      </c>
      <c r="Y144">
        <v>0</v>
      </c>
      <c r="Z144">
        <v>2</v>
      </c>
      <c r="AA144">
        <v>0.6</v>
      </c>
      <c r="AB144">
        <v>1</v>
      </c>
      <c r="AC144" t="s">
        <v>46</v>
      </c>
      <c r="AE144">
        <v>0</v>
      </c>
      <c r="AF144">
        <v>0</v>
      </c>
      <c r="AG144" t="s">
        <v>47</v>
      </c>
      <c r="AH144" t="s">
        <v>76</v>
      </c>
      <c r="AI144" t="s">
        <v>57</v>
      </c>
      <c r="AJ144" s="1" t="s">
        <v>108</v>
      </c>
      <c r="AK144">
        <v>8.3333333333333301E-2</v>
      </c>
      <c r="AL144">
        <v>0</v>
      </c>
    </row>
    <row r="145" spans="1:38" x14ac:dyDescent="0.35">
      <c r="A145" t="s">
        <v>303</v>
      </c>
      <c r="B145" t="s">
        <v>117</v>
      </c>
      <c r="C145" t="s">
        <v>118</v>
      </c>
      <c r="D145">
        <v>1.6</v>
      </c>
      <c r="E145" t="s">
        <v>67</v>
      </c>
      <c r="F145">
        <v>29</v>
      </c>
      <c r="G145" t="s">
        <v>42</v>
      </c>
      <c r="H145" t="s">
        <v>94</v>
      </c>
      <c r="I145">
        <v>3</v>
      </c>
      <c r="J145">
        <v>3.5</v>
      </c>
      <c r="K145">
        <v>10</v>
      </c>
      <c r="L145">
        <v>0</v>
      </c>
      <c r="M145">
        <v>12</v>
      </c>
      <c r="N145">
        <v>0</v>
      </c>
      <c r="O145" t="s">
        <v>82</v>
      </c>
      <c r="P145">
        <v>31000</v>
      </c>
      <c r="Q145">
        <v>7.3</v>
      </c>
      <c r="R145">
        <v>2</v>
      </c>
      <c r="S145">
        <v>3.3</v>
      </c>
      <c r="T145">
        <v>0</v>
      </c>
      <c r="U145">
        <v>5</v>
      </c>
      <c r="V145">
        <v>3</v>
      </c>
      <c r="W145">
        <v>4.3</v>
      </c>
      <c r="X145" t="s">
        <v>45</v>
      </c>
      <c r="Y145">
        <v>0</v>
      </c>
      <c r="Z145">
        <v>2</v>
      </c>
      <c r="AA145">
        <v>0.4</v>
      </c>
      <c r="AB145">
        <v>0</v>
      </c>
      <c r="AC145" t="s">
        <v>46</v>
      </c>
      <c r="AE145">
        <v>0</v>
      </c>
      <c r="AF145">
        <v>0</v>
      </c>
      <c r="AG145" t="s">
        <v>47</v>
      </c>
      <c r="AH145" t="s">
        <v>48</v>
      </c>
      <c r="AI145" t="s">
        <v>64</v>
      </c>
      <c r="AJ145" s="1" t="s">
        <v>304</v>
      </c>
      <c r="AK145">
        <v>0.25</v>
      </c>
      <c r="AL145">
        <v>0</v>
      </c>
    </row>
    <row r="146" spans="1:38" x14ac:dyDescent="0.35">
      <c r="A146" t="s">
        <v>305</v>
      </c>
      <c r="B146" t="s">
        <v>52</v>
      </c>
      <c r="C146" t="s">
        <v>93</v>
      </c>
      <c r="D146">
        <v>8.1</v>
      </c>
      <c r="E146" t="s">
        <v>81</v>
      </c>
      <c r="F146">
        <v>29</v>
      </c>
      <c r="G146" t="s">
        <v>42</v>
      </c>
      <c r="H146" t="s">
        <v>43</v>
      </c>
      <c r="I146">
        <v>3</v>
      </c>
      <c r="J146">
        <v>9.1999999999999993</v>
      </c>
      <c r="K146">
        <v>7</v>
      </c>
      <c r="L146">
        <v>1</v>
      </c>
      <c r="M146">
        <v>12</v>
      </c>
      <c r="N146">
        <v>0</v>
      </c>
      <c r="O146" t="s">
        <v>82</v>
      </c>
      <c r="P146">
        <v>32900</v>
      </c>
      <c r="Q146">
        <v>11</v>
      </c>
      <c r="R146">
        <v>4.0999999999999996</v>
      </c>
      <c r="S146">
        <v>1.3</v>
      </c>
      <c r="T146">
        <v>0</v>
      </c>
      <c r="U146">
        <v>2.4</v>
      </c>
      <c r="V146">
        <v>2.4</v>
      </c>
      <c r="W146">
        <v>3.1</v>
      </c>
      <c r="X146" t="s">
        <v>45</v>
      </c>
      <c r="Y146">
        <v>0</v>
      </c>
      <c r="Z146">
        <v>0</v>
      </c>
      <c r="AB146">
        <v>0</v>
      </c>
      <c r="AC146" t="s">
        <v>46</v>
      </c>
      <c r="AE146">
        <v>1</v>
      </c>
      <c r="AF146">
        <v>0</v>
      </c>
      <c r="AG146" t="s">
        <v>75</v>
      </c>
      <c r="AH146" t="s">
        <v>83</v>
      </c>
      <c r="AI146" t="s">
        <v>64</v>
      </c>
      <c r="AJ146" s="1" t="s">
        <v>259</v>
      </c>
      <c r="AK146">
        <v>0.25</v>
      </c>
      <c r="AL146">
        <v>0</v>
      </c>
    </row>
    <row r="147" spans="1:38" x14ac:dyDescent="0.35">
      <c r="A147" t="s">
        <v>306</v>
      </c>
      <c r="B147" t="s">
        <v>98</v>
      </c>
      <c r="C147" t="s">
        <v>99</v>
      </c>
      <c r="D147">
        <v>0.9</v>
      </c>
      <c r="E147" t="s">
        <v>81</v>
      </c>
      <c r="F147">
        <v>21</v>
      </c>
      <c r="G147" t="s">
        <v>42</v>
      </c>
      <c r="H147" t="s">
        <v>94</v>
      </c>
      <c r="I147">
        <v>2</v>
      </c>
      <c r="J147">
        <v>4</v>
      </c>
      <c r="K147">
        <v>10</v>
      </c>
      <c r="L147">
        <v>1</v>
      </c>
      <c r="M147">
        <v>12</v>
      </c>
      <c r="N147">
        <v>0</v>
      </c>
      <c r="O147" t="s">
        <v>82</v>
      </c>
      <c r="P147">
        <v>25900</v>
      </c>
      <c r="Q147">
        <v>9.6999999999999993</v>
      </c>
      <c r="R147">
        <v>2.1</v>
      </c>
      <c r="S147">
        <v>0.3</v>
      </c>
      <c r="T147">
        <v>0</v>
      </c>
      <c r="U147">
        <v>2.7</v>
      </c>
      <c r="V147">
        <v>3.3</v>
      </c>
      <c r="W147">
        <v>2.2999999999999998</v>
      </c>
      <c r="X147" t="s">
        <v>45</v>
      </c>
      <c r="Y147">
        <v>0</v>
      </c>
      <c r="Z147">
        <v>1</v>
      </c>
      <c r="AA147">
        <v>0.5</v>
      </c>
      <c r="AB147">
        <v>0</v>
      </c>
      <c r="AC147" t="s">
        <v>46</v>
      </c>
      <c r="AE147">
        <v>0</v>
      </c>
      <c r="AF147">
        <v>0</v>
      </c>
      <c r="AG147" t="s">
        <v>47</v>
      </c>
      <c r="AH147" t="s">
        <v>95</v>
      </c>
      <c r="AI147" t="s">
        <v>64</v>
      </c>
      <c r="AJ147" s="1" t="s">
        <v>170</v>
      </c>
      <c r="AK147" s="1" t="s">
        <v>84</v>
      </c>
      <c r="AL147">
        <v>0</v>
      </c>
    </row>
    <row r="148" spans="1:38" x14ac:dyDescent="0.35">
      <c r="A148" t="s">
        <v>307</v>
      </c>
      <c r="B148" t="s">
        <v>98</v>
      </c>
      <c r="C148" t="s">
        <v>148</v>
      </c>
      <c r="D148">
        <v>7.3</v>
      </c>
      <c r="E148" t="s">
        <v>41</v>
      </c>
      <c r="F148">
        <v>29</v>
      </c>
      <c r="G148" t="s">
        <v>68</v>
      </c>
      <c r="H148" t="s">
        <v>43</v>
      </c>
      <c r="I148">
        <v>0</v>
      </c>
      <c r="J148">
        <v>4</v>
      </c>
      <c r="K148">
        <v>9</v>
      </c>
      <c r="L148">
        <v>3</v>
      </c>
      <c r="M148">
        <v>12</v>
      </c>
      <c r="N148">
        <v>0</v>
      </c>
      <c r="O148" t="s">
        <v>56</v>
      </c>
      <c r="P148">
        <v>75500</v>
      </c>
      <c r="Q148">
        <v>0.8</v>
      </c>
      <c r="R148">
        <v>3.2</v>
      </c>
      <c r="S148">
        <v>1.2</v>
      </c>
      <c r="T148">
        <v>0</v>
      </c>
      <c r="U148">
        <v>3.3</v>
      </c>
      <c r="V148">
        <v>3</v>
      </c>
      <c r="W148">
        <v>3.8</v>
      </c>
      <c r="X148" t="s">
        <v>45</v>
      </c>
      <c r="Y148">
        <v>1</v>
      </c>
      <c r="Z148">
        <v>0</v>
      </c>
      <c r="AB148">
        <v>0</v>
      </c>
      <c r="AC148" t="s">
        <v>46</v>
      </c>
      <c r="AE148">
        <v>1</v>
      </c>
      <c r="AF148">
        <v>0</v>
      </c>
      <c r="AG148" t="s">
        <v>75</v>
      </c>
      <c r="AH148" t="s">
        <v>83</v>
      </c>
      <c r="AI148" t="s">
        <v>64</v>
      </c>
      <c r="AJ148" s="1" t="s">
        <v>86</v>
      </c>
      <c r="AK148">
        <v>0</v>
      </c>
      <c r="AL148">
        <v>0</v>
      </c>
    </row>
    <row r="149" spans="1:38" x14ac:dyDescent="0.35">
      <c r="A149" t="s">
        <v>308</v>
      </c>
      <c r="B149" t="s">
        <v>117</v>
      </c>
      <c r="C149" t="s">
        <v>189</v>
      </c>
      <c r="D149">
        <v>3.7</v>
      </c>
      <c r="E149" t="s">
        <v>67</v>
      </c>
      <c r="F149">
        <v>28</v>
      </c>
      <c r="G149" t="s">
        <v>68</v>
      </c>
      <c r="H149" t="s">
        <v>55</v>
      </c>
      <c r="I149">
        <v>2</v>
      </c>
      <c r="J149">
        <v>7</v>
      </c>
      <c r="K149">
        <v>9</v>
      </c>
      <c r="L149">
        <v>2</v>
      </c>
      <c r="M149">
        <v>12</v>
      </c>
      <c r="N149">
        <v>0</v>
      </c>
      <c r="O149" t="s">
        <v>70</v>
      </c>
      <c r="P149">
        <v>37900</v>
      </c>
      <c r="Q149">
        <v>3.7</v>
      </c>
      <c r="R149">
        <v>2</v>
      </c>
      <c r="S149">
        <v>3.3</v>
      </c>
      <c r="T149">
        <v>0</v>
      </c>
      <c r="U149">
        <v>4.2</v>
      </c>
      <c r="V149">
        <v>2.7</v>
      </c>
      <c r="W149">
        <v>3</v>
      </c>
      <c r="X149" t="s">
        <v>45</v>
      </c>
      <c r="Y149">
        <v>0</v>
      </c>
      <c r="Z149">
        <v>0</v>
      </c>
      <c r="AB149">
        <v>0</v>
      </c>
      <c r="AC149" t="s">
        <v>46</v>
      </c>
      <c r="AE149">
        <v>1</v>
      </c>
      <c r="AF149">
        <v>0</v>
      </c>
      <c r="AG149" t="s">
        <v>75</v>
      </c>
      <c r="AH149" t="s">
        <v>76</v>
      </c>
      <c r="AI149" t="s">
        <v>64</v>
      </c>
      <c r="AJ149" s="1" t="s">
        <v>71</v>
      </c>
      <c r="AK149" s="1" t="s">
        <v>84</v>
      </c>
      <c r="AL149">
        <v>0</v>
      </c>
    </row>
    <row r="150" spans="1:38" x14ac:dyDescent="0.35">
      <c r="A150" t="s">
        <v>309</v>
      </c>
      <c r="B150" t="s">
        <v>52</v>
      </c>
      <c r="C150" t="s">
        <v>153</v>
      </c>
      <c r="D150">
        <v>3</v>
      </c>
      <c r="E150" t="s">
        <v>81</v>
      </c>
      <c r="F150">
        <v>27</v>
      </c>
      <c r="G150" t="s">
        <v>68</v>
      </c>
      <c r="H150" t="s">
        <v>69</v>
      </c>
      <c r="I150">
        <v>1</v>
      </c>
      <c r="J150">
        <v>15.8</v>
      </c>
      <c r="K150">
        <v>11</v>
      </c>
      <c r="L150">
        <v>3</v>
      </c>
      <c r="M150">
        <v>12</v>
      </c>
      <c r="N150">
        <v>0</v>
      </c>
      <c r="O150" t="s">
        <v>82</v>
      </c>
      <c r="P150">
        <v>30500</v>
      </c>
      <c r="Q150">
        <v>4.8</v>
      </c>
      <c r="R150">
        <v>3.9</v>
      </c>
      <c r="S150">
        <v>0.5</v>
      </c>
      <c r="T150">
        <v>0</v>
      </c>
      <c r="U150">
        <v>3.7</v>
      </c>
      <c r="V150">
        <v>3.6</v>
      </c>
      <c r="W150">
        <v>2.2000000000000002</v>
      </c>
      <c r="X150" t="s">
        <v>45</v>
      </c>
      <c r="Y150">
        <v>0</v>
      </c>
      <c r="Z150">
        <v>0</v>
      </c>
      <c r="AB150">
        <v>0</v>
      </c>
      <c r="AC150" t="s">
        <v>46</v>
      </c>
      <c r="AE150">
        <v>1</v>
      </c>
      <c r="AF150">
        <v>0</v>
      </c>
      <c r="AG150" t="s">
        <v>75</v>
      </c>
      <c r="AH150" t="s">
        <v>48</v>
      </c>
      <c r="AI150" t="s">
        <v>49</v>
      </c>
      <c r="AJ150" s="1" t="s">
        <v>100</v>
      </c>
      <c r="AK150">
        <v>8.3333333333333301E-2</v>
      </c>
      <c r="AL150">
        <v>0</v>
      </c>
    </row>
    <row r="151" spans="1:38" x14ac:dyDescent="0.35">
      <c r="A151" t="s">
        <v>310</v>
      </c>
      <c r="B151" t="s">
        <v>73</v>
      </c>
      <c r="C151" t="s">
        <v>74</v>
      </c>
      <c r="D151">
        <v>2.9</v>
      </c>
      <c r="E151" t="s">
        <v>110</v>
      </c>
      <c r="F151">
        <v>35</v>
      </c>
      <c r="G151" t="s">
        <v>42</v>
      </c>
      <c r="H151" t="s">
        <v>43</v>
      </c>
      <c r="I151">
        <v>1</v>
      </c>
      <c r="J151">
        <v>15.9</v>
      </c>
      <c r="K151">
        <v>10</v>
      </c>
      <c r="L151">
        <v>4</v>
      </c>
      <c r="M151">
        <v>12</v>
      </c>
      <c r="N151">
        <v>0</v>
      </c>
      <c r="O151" t="s">
        <v>44</v>
      </c>
      <c r="P151">
        <v>52600</v>
      </c>
      <c r="Q151">
        <v>11</v>
      </c>
      <c r="R151">
        <v>1.4</v>
      </c>
      <c r="S151">
        <v>2.1</v>
      </c>
      <c r="T151">
        <v>0</v>
      </c>
      <c r="U151">
        <v>4.9000000000000004</v>
      </c>
      <c r="V151">
        <v>4.5999999999999996</v>
      </c>
      <c r="W151">
        <v>4.9000000000000004</v>
      </c>
      <c r="X151" t="s">
        <v>45</v>
      </c>
      <c r="Y151">
        <v>0</v>
      </c>
      <c r="Z151">
        <v>0</v>
      </c>
      <c r="AB151">
        <v>0</v>
      </c>
      <c r="AC151" t="s">
        <v>46</v>
      </c>
      <c r="AE151">
        <v>1</v>
      </c>
      <c r="AF151">
        <v>0</v>
      </c>
      <c r="AG151" t="s">
        <v>75</v>
      </c>
      <c r="AH151" t="s">
        <v>48</v>
      </c>
      <c r="AI151" t="s">
        <v>49</v>
      </c>
      <c r="AJ151">
        <v>4.8</v>
      </c>
      <c r="AK151">
        <v>8.3333333333333301E-2</v>
      </c>
      <c r="AL151">
        <v>0</v>
      </c>
    </row>
    <row r="152" spans="1:38" x14ac:dyDescent="0.35">
      <c r="A152" t="s">
        <v>311</v>
      </c>
      <c r="B152" t="s">
        <v>60</v>
      </c>
      <c r="C152" t="s">
        <v>80</v>
      </c>
      <c r="D152">
        <v>3.3</v>
      </c>
      <c r="E152" t="s">
        <v>67</v>
      </c>
      <c r="F152">
        <v>27</v>
      </c>
      <c r="G152" t="s">
        <v>42</v>
      </c>
      <c r="H152" t="s">
        <v>63</v>
      </c>
      <c r="I152">
        <v>6</v>
      </c>
      <c r="J152">
        <v>14.5</v>
      </c>
      <c r="K152">
        <v>6</v>
      </c>
      <c r="L152">
        <v>2</v>
      </c>
      <c r="M152">
        <v>12</v>
      </c>
      <c r="N152">
        <v>0</v>
      </c>
      <c r="O152" t="s">
        <v>70</v>
      </c>
      <c r="P152">
        <v>45400</v>
      </c>
      <c r="Q152">
        <v>9.5</v>
      </c>
      <c r="R152">
        <v>2.9</v>
      </c>
      <c r="S152">
        <v>3.4</v>
      </c>
      <c r="T152">
        <v>0</v>
      </c>
      <c r="U152">
        <v>3.6</v>
      </c>
      <c r="V152">
        <v>3.5</v>
      </c>
      <c r="W152">
        <v>2.7</v>
      </c>
      <c r="X152" t="s">
        <v>45</v>
      </c>
      <c r="Y152">
        <v>0</v>
      </c>
      <c r="Z152">
        <v>0</v>
      </c>
      <c r="AB152">
        <v>0</v>
      </c>
      <c r="AC152" t="s">
        <v>46</v>
      </c>
      <c r="AE152">
        <v>1</v>
      </c>
      <c r="AF152">
        <v>0</v>
      </c>
      <c r="AG152" t="s">
        <v>75</v>
      </c>
      <c r="AH152" t="s">
        <v>76</v>
      </c>
      <c r="AI152" t="s">
        <v>49</v>
      </c>
      <c r="AJ152" s="1" t="s">
        <v>235</v>
      </c>
      <c r="AK152">
        <v>0.5</v>
      </c>
      <c r="AL152">
        <v>0</v>
      </c>
    </row>
    <row r="153" spans="1:38" x14ac:dyDescent="0.35">
      <c r="A153" t="s">
        <v>312</v>
      </c>
      <c r="B153" t="s">
        <v>60</v>
      </c>
      <c r="C153" t="s">
        <v>80</v>
      </c>
      <c r="D153">
        <v>2.6</v>
      </c>
      <c r="E153" t="s">
        <v>41</v>
      </c>
      <c r="F153">
        <v>32</v>
      </c>
      <c r="G153" t="s">
        <v>42</v>
      </c>
      <c r="H153" t="s">
        <v>43</v>
      </c>
      <c r="I153">
        <v>6</v>
      </c>
      <c r="J153">
        <v>8.5</v>
      </c>
      <c r="K153">
        <v>6</v>
      </c>
      <c r="L153">
        <v>1</v>
      </c>
      <c r="M153">
        <v>12</v>
      </c>
      <c r="N153">
        <v>0</v>
      </c>
      <c r="O153" t="s">
        <v>56</v>
      </c>
      <c r="P153">
        <v>79000</v>
      </c>
      <c r="Q153">
        <v>5.5</v>
      </c>
      <c r="R153">
        <v>4</v>
      </c>
      <c r="S153">
        <v>1.7</v>
      </c>
      <c r="T153">
        <v>0</v>
      </c>
      <c r="U153">
        <v>1.5</v>
      </c>
      <c r="V153">
        <v>4.4000000000000004</v>
      </c>
      <c r="W153">
        <v>2.2000000000000002</v>
      </c>
      <c r="X153" t="s">
        <v>45</v>
      </c>
      <c r="Y153">
        <v>0</v>
      </c>
      <c r="Z153">
        <v>0</v>
      </c>
      <c r="AB153">
        <v>2</v>
      </c>
      <c r="AC153" t="s">
        <v>46</v>
      </c>
      <c r="AE153">
        <v>1</v>
      </c>
      <c r="AF153">
        <v>0</v>
      </c>
      <c r="AG153" t="s">
        <v>75</v>
      </c>
      <c r="AH153" t="s">
        <v>48</v>
      </c>
      <c r="AI153" t="s">
        <v>64</v>
      </c>
      <c r="AJ153" s="1" t="s">
        <v>313</v>
      </c>
      <c r="AK153">
        <v>0.5</v>
      </c>
      <c r="AL153">
        <v>0</v>
      </c>
    </row>
    <row r="154" spans="1:38" x14ac:dyDescent="0.35">
      <c r="A154" t="s">
        <v>314</v>
      </c>
      <c r="B154" t="s">
        <v>73</v>
      </c>
      <c r="C154" t="s">
        <v>74</v>
      </c>
      <c r="D154">
        <v>5.0999999999999996</v>
      </c>
      <c r="E154" t="s">
        <v>67</v>
      </c>
      <c r="F154">
        <v>31</v>
      </c>
      <c r="G154" t="s">
        <v>54</v>
      </c>
      <c r="H154" t="s">
        <v>43</v>
      </c>
      <c r="I154">
        <v>2</v>
      </c>
      <c r="J154">
        <v>16.5</v>
      </c>
      <c r="K154">
        <v>3</v>
      </c>
      <c r="L154">
        <v>2</v>
      </c>
      <c r="M154">
        <v>12</v>
      </c>
      <c r="N154">
        <v>0</v>
      </c>
      <c r="O154" t="s">
        <v>70</v>
      </c>
      <c r="P154">
        <v>36000</v>
      </c>
      <c r="Q154">
        <v>8.6</v>
      </c>
      <c r="R154">
        <v>3.7</v>
      </c>
      <c r="S154">
        <v>1.3</v>
      </c>
      <c r="T154">
        <v>0</v>
      </c>
      <c r="U154">
        <v>3.3</v>
      </c>
      <c r="V154">
        <v>4.5999999999999996</v>
      </c>
      <c r="W154">
        <v>3.6</v>
      </c>
      <c r="X154" t="s">
        <v>45</v>
      </c>
      <c r="Y154">
        <v>1</v>
      </c>
      <c r="Z154">
        <v>1</v>
      </c>
      <c r="AA154">
        <v>1.6</v>
      </c>
      <c r="AB154">
        <v>0</v>
      </c>
      <c r="AC154" t="s">
        <v>46</v>
      </c>
      <c r="AE154">
        <v>0</v>
      </c>
      <c r="AF154">
        <v>0</v>
      </c>
      <c r="AG154" t="s">
        <v>47</v>
      </c>
      <c r="AH154" t="s">
        <v>83</v>
      </c>
      <c r="AI154" t="s">
        <v>49</v>
      </c>
      <c r="AJ154" s="1" t="s">
        <v>180</v>
      </c>
      <c r="AK154" s="1" t="s">
        <v>84</v>
      </c>
      <c r="AL154">
        <v>0</v>
      </c>
    </row>
    <row r="155" spans="1:38" x14ac:dyDescent="0.35">
      <c r="A155" t="s">
        <v>315</v>
      </c>
      <c r="B155" t="s">
        <v>117</v>
      </c>
      <c r="C155" t="s">
        <v>118</v>
      </c>
      <c r="D155">
        <v>2.7</v>
      </c>
      <c r="E155" t="s">
        <v>81</v>
      </c>
      <c r="F155">
        <v>29</v>
      </c>
      <c r="G155" t="s">
        <v>68</v>
      </c>
      <c r="H155" t="s">
        <v>43</v>
      </c>
      <c r="I155">
        <v>3</v>
      </c>
      <c r="J155">
        <v>3.2</v>
      </c>
      <c r="K155">
        <v>11</v>
      </c>
      <c r="L155">
        <v>4</v>
      </c>
      <c r="M155">
        <v>12</v>
      </c>
      <c r="N155">
        <v>0</v>
      </c>
      <c r="O155" t="s">
        <v>82</v>
      </c>
      <c r="P155">
        <v>32900</v>
      </c>
      <c r="Q155">
        <v>3.8</v>
      </c>
      <c r="R155">
        <v>2.8</v>
      </c>
      <c r="S155">
        <v>0.6</v>
      </c>
      <c r="T155">
        <v>0</v>
      </c>
      <c r="U155">
        <v>2.8</v>
      </c>
      <c r="V155">
        <v>2.7</v>
      </c>
      <c r="W155">
        <v>3.3</v>
      </c>
      <c r="X155" t="s">
        <v>45</v>
      </c>
      <c r="Y155">
        <v>0</v>
      </c>
      <c r="Z155">
        <v>1</v>
      </c>
      <c r="AA155">
        <v>2.5</v>
      </c>
      <c r="AB155">
        <v>0</v>
      </c>
      <c r="AC155" t="s">
        <v>46</v>
      </c>
      <c r="AE155">
        <v>0</v>
      </c>
      <c r="AF155">
        <v>0</v>
      </c>
      <c r="AG155" t="s">
        <v>47</v>
      </c>
      <c r="AH155" t="s">
        <v>48</v>
      </c>
      <c r="AI155" t="s">
        <v>64</v>
      </c>
      <c r="AJ155" s="1" t="s">
        <v>141</v>
      </c>
      <c r="AK155">
        <v>0.25</v>
      </c>
      <c r="AL155">
        <v>0</v>
      </c>
    </row>
    <row r="156" spans="1:38" x14ac:dyDescent="0.35">
      <c r="A156" t="s">
        <v>316</v>
      </c>
      <c r="B156" t="s">
        <v>73</v>
      </c>
      <c r="C156" t="s">
        <v>121</v>
      </c>
      <c r="D156">
        <v>3.7</v>
      </c>
      <c r="E156" t="s">
        <v>81</v>
      </c>
      <c r="F156">
        <v>26</v>
      </c>
      <c r="G156" t="s">
        <v>42</v>
      </c>
      <c r="H156" t="s">
        <v>43</v>
      </c>
      <c r="I156">
        <v>4</v>
      </c>
      <c r="J156">
        <v>11.9</v>
      </c>
      <c r="K156">
        <v>9</v>
      </c>
      <c r="L156">
        <v>1</v>
      </c>
      <c r="M156">
        <v>12</v>
      </c>
      <c r="N156">
        <v>0</v>
      </c>
      <c r="O156" t="s">
        <v>82</v>
      </c>
      <c r="P156">
        <v>29800</v>
      </c>
      <c r="Q156">
        <v>16.2</v>
      </c>
      <c r="R156">
        <v>2.6</v>
      </c>
      <c r="S156">
        <v>0.7</v>
      </c>
      <c r="T156">
        <v>0</v>
      </c>
      <c r="U156">
        <v>4.5</v>
      </c>
      <c r="V156">
        <v>3.4</v>
      </c>
      <c r="W156">
        <v>4.5999999999999996</v>
      </c>
      <c r="X156" t="s">
        <v>45</v>
      </c>
      <c r="Y156">
        <v>0</v>
      </c>
      <c r="Z156">
        <v>0</v>
      </c>
      <c r="AB156">
        <v>0</v>
      </c>
      <c r="AC156" t="s">
        <v>46</v>
      </c>
      <c r="AE156">
        <v>1</v>
      </c>
      <c r="AF156">
        <v>0</v>
      </c>
      <c r="AG156" t="s">
        <v>75</v>
      </c>
      <c r="AH156" t="s">
        <v>76</v>
      </c>
      <c r="AI156" t="s">
        <v>49</v>
      </c>
      <c r="AJ156" s="1" t="s">
        <v>284</v>
      </c>
      <c r="AK156" s="1" t="s">
        <v>115</v>
      </c>
      <c r="AL156">
        <v>0</v>
      </c>
    </row>
    <row r="157" spans="1:38" x14ac:dyDescent="0.35">
      <c r="A157" t="s">
        <v>317</v>
      </c>
      <c r="B157" t="s">
        <v>39</v>
      </c>
      <c r="C157" t="s">
        <v>66</v>
      </c>
      <c r="D157">
        <v>0.5</v>
      </c>
      <c r="E157" t="s">
        <v>67</v>
      </c>
      <c r="F157">
        <v>26</v>
      </c>
      <c r="G157" t="s">
        <v>68</v>
      </c>
      <c r="H157" t="s">
        <v>55</v>
      </c>
      <c r="I157">
        <v>2</v>
      </c>
      <c r="J157">
        <v>10.199999999999999</v>
      </c>
      <c r="K157">
        <v>6</v>
      </c>
      <c r="L157">
        <v>1</v>
      </c>
      <c r="M157">
        <v>12</v>
      </c>
      <c r="N157">
        <v>0</v>
      </c>
      <c r="O157" t="s">
        <v>70</v>
      </c>
      <c r="P157">
        <v>38800</v>
      </c>
      <c r="Q157">
        <v>10.3</v>
      </c>
      <c r="R157">
        <v>3</v>
      </c>
      <c r="S157">
        <v>1</v>
      </c>
      <c r="T157">
        <v>0</v>
      </c>
      <c r="U157">
        <v>4.2</v>
      </c>
      <c r="V157">
        <v>2.8</v>
      </c>
      <c r="W157">
        <v>3.1</v>
      </c>
      <c r="X157" t="s">
        <v>45</v>
      </c>
      <c r="Y157">
        <v>0</v>
      </c>
      <c r="Z157">
        <v>0</v>
      </c>
      <c r="AB157">
        <v>0</v>
      </c>
      <c r="AC157" t="s">
        <v>46</v>
      </c>
      <c r="AE157">
        <v>1</v>
      </c>
      <c r="AF157">
        <v>0</v>
      </c>
      <c r="AG157" t="s">
        <v>75</v>
      </c>
      <c r="AH157" t="s">
        <v>95</v>
      </c>
      <c r="AI157" t="s">
        <v>49</v>
      </c>
      <c r="AJ157" s="1" t="s">
        <v>86</v>
      </c>
      <c r="AK157" s="1" t="s">
        <v>84</v>
      </c>
      <c r="AL157">
        <v>0</v>
      </c>
    </row>
    <row r="158" spans="1:38" x14ac:dyDescent="0.35">
      <c r="A158" t="s">
        <v>318</v>
      </c>
      <c r="B158" t="s">
        <v>98</v>
      </c>
      <c r="C158" t="s">
        <v>99</v>
      </c>
      <c r="D158">
        <v>3.7</v>
      </c>
      <c r="E158" t="s">
        <v>67</v>
      </c>
      <c r="F158">
        <v>27</v>
      </c>
      <c r="G158" t="s">
        <v>54</v>
      </c>
      <c r="H158" t="s">
        <v>69</v>
      </c>
      <c r="I158">
        <v>0</v>
      </c>
      <c r="J158">
        <v>8</v>
      </c>
      <c r="K158">
        <v>10</v>
      </c>
      <c r="L158">
        <v>5</v>
      </c>
      <c r="M158">
        <v>12</v>
      </c>
      <c r="N158">
        <v>0</v>
      </c>
      <c r="O158" t="s">
        <v>70</v>
      </c>
      <c r="P158">
        <v>42900</v>
      </c>
      <c r="Q158">
        <v>11.1</v>
      </c>
      <c r="R158">
        <v>2</v>
      </c>
      <c r="S158">
        <v>2.2000000000000002</v>
      </c>
      <c r="T158">
        <v>0</v>
      </c>
      <c r="U158">
        <v>1.9</v>
      </c>
      <c r="V158">
        <v>1.9</v>
      </c>
      <c r="W158">
        <v>3.1</v>
      </c>
      <c r="X158" t="s">
        <v>45</v>
      </c>
      <c r="Y158">
        <v>0</v>
      </c>
      <c r="Z158">
        <v>1</v>
      </c>
      <c r="AA158">
        <v>0.2</v>
      </c>
      <c r="AB158">
        <v>1</v>
      </c>
      <c r="AC158" t="s">
        <v>46</v>
      </c>
      <c r="AE158">
        <v>0</v>
      </c>
      <c r="AF158">
        <v>0</v>
      </c>
      <c r="AG158" t="s">
        <v>47</v>
      </c>
      <c r="AH158" t="s">
        <v>76</v>
      </c>
      <c r="AI158" t="s">
        <v>64</v>
      </c>
      <c r="AJ158" s="1" t="s">
        <v>319</v>
      </c>
      <c r="AK158">
        <v>0</v>
      </c>
      <c r="AL158">
        <v>0</v>
      </c>
    </row>
    <row r="159" spans="1:38" x14ac:dyDescent="0.35">
      <c r="A159" t="s">
        <v>320</v>
      </c>
      <c r="B159" t="s">
        <v>39</v>
      </c>
      <c r="C159" t="s">
        <v>66</v>
      </c>
      <c r="D159">
        <v>2.6</v>
      </c>
      <c r="E159" t="s">
        <v>110</v>
      </c>
      <c r="F159">
        <v>29</v>
      </c>
      <c r="G159" t="s">
        <v>234</v>
      </c>
      <c r="H159" t="s">
        <v>43</v>
      </c>
      <c r="I159">
        <v>5</v>
      </c>
      <c r="J159">
        <v>12.3</v>
      </c>
      <c r="K159">
        <v>9</v>
      </c>
      <c r="L159">
        <v>0</v>
      </c>
      <c r="M159">
        <v>12</v>
      </c>
      <c r="N159">
        <v>0</v>
      </c>
      <c r="O159" t="s">
        <v>70</v>
      </c>
      <c r="P159">
        <v>45900</v>
      </c>
      <c r="Q159">
        <v>13.5</v>
      </c>
      <c r="R159">
        <v>3.1</v>
      </c>
      <c r="S159">
        <v>6.3</v>
      </c>
      <c r="T159">
        <v>0</v>
      </c>
      <c r="U159">
        <v>4.5</v>
      </c>
      <c r="V159">
        <v>3.5</v>
      </c>
      <c r="W159">
        <v>3.7</v>
      </c>
      <c r="X159" t="s">
        <v>45</v>
      </c>
      <c r="Y159">
        <v>0</v>
      </c>
      <c r="Z159">
        <v>0</v>
      </c>
      <c r="AB159">
        <v>2</v>
      </c>
      <c r="AC159" t="s">
        <v>46</v>
      </c>
      <c r="AE159">
        <v>1</v>
      </c>
      <c r="AF159">
        <v>0</v>
      </c>
      <c r="AG159" t="s">
        <v>75</v>
      </c>
      <c r="AH159" t="s">
        <v>48</v>
      </c>
      <c r="AI159" t="s">
        <v>49</v>
      </c>
      <c r="AJ159">
        <v>3.9</v>
      </c>
      <c r="AK159" s="1" t="s">
        <v>127</v>
      </c>
      <c r="AL159">
        <v>0</v>
      </c>
    </row>
    <row r="160" spans="1:38" x14ac:dyDescent="0.35">
      <c r="A160" t="s">
        <v>321</v>
      </c>
      <c r="B160" t="s">
        <v>39</v>
      </c>
      <c r="C160" t="s">
        <v>40</v>
      </c>
      <c r="D160">
        <v>6.9</v>
      </c>
      <c r="E160" t="s">
        <v>67</v>
      </c>
      <c r="F160">
        <v>32</v>
      </c>
      <c r="G160" t="s">
        <v>234</v>
      </c>
      <c r="H160" t="s">
        <v>43</v>
      </c>
      <c r="I160">
        <v>4</v>
      </c>
      <c r="J160">
        <v>4.0999999999999996</v>
      </c>
      <c r="K160">
        <v>7</v>
      </c>
      <c r="L160">
        <v>2</v>
      </c>
      <c r="M160">
        <v>12</v>
      </c>
      <c r="N160">
        <v>0</v>
      </c>
      <c r="O160" t="s">
        <v>82</v>
      </c>
      <c r="P160">
        <v>34000</v>
      </c>
      <c r="Q160">
        <v>12.1</v>
      </c>
      <c r="R160">
        <v>3.1</v>
      </c>
      <c r="S160">
        <v>0.5</v>
      </c>
      <c r="T160">
        <v>0</v>
      </c>
      <c r="U160">
        <v>4.0999999999999996</v>
      </c>
      <c r="V160">
        <v>2.2999999999999998</v>
      </c>
      <c r="W160">
        <v>3.6</v>
      </c>
      <c r="X160" t="s">
        <v>45</v>
      </c>
      <c r="Y160">
        <v>0</v>
      </c>
      <c r="Z160">
        <v>3</v>
      </c>
      <c r="AA160">
        <v>1.2</v>
      </c>
      <c r="AB160">
        <v>1</v>
      </c>
      <c r="AC160" t="s">
        <v>46</v>
      </c>
      <c r="AE160">
        <v>0</v>
      </c>
      <c r="AF160">
        <v>0</v>
      </c>
      <c r="AG160" t="s">
        <v>47</v>
      </c>
      <c r="AH160" t="s">
        <v>83</v>
      </c>
      <c r="AI160" t="s">
        <v>64</v>
      </c>
      <c r="AJ160" s="1" t="s">
        <v>90</v>
      </c>
      <c r="AK160" s="1" t="s">
        <v>115</v>
      </c>
      <c r="AL160">
        <v>0</v>
      </c>
    </row>
    <row r="161" spans="1:38" x14ac:dyDescent="0.35">
      <c r="A161" t="s">
        <v>322</v>
      </c>
      <c r="B161" t="s">
        <v>39</v>
      </c>
      <c r="C161" t="s">
        <v>66</v>
      </c>
      <c r="D161">
        <v>3.1</v>
      </c>
      <c r="E161" t="s">
        <v>67</v>
      </c>
      <c r="F161">
        <v>25</v>
      </c>
      <c r="G161" t="s">
        <v>42</v>
      </c>
      <c r="H161" t="s">
        <v>69</v>
      </c>
      <c r="I161">
        <v>4</v>
      </c>
      <c r="J161">
        <v>14.9</v>
      </c>
      <c r="K161">
        <v>6</v>
      </c>
      <c r="L161">
        <v>3</v>
      </c>
      <c r="M161">
        <v>12</v>
      </c>
      <c r="N161">
        <v>0</v>
      </c>
      <c r="O161" t="s">
        <v>70</v>
      </c>
      <c r="P161">
        <v>38700</v>
      </c>
      <c r="Q161">
        <v>8.1</v>
      </c>
      <c r="R161">
        <v>2.8</v>
      </c>
      <c r="S161">
        <v>1.9</v>
      </c>
      <c r="T161">
        <v>0</v>
      </c>
      <c r="U161">
        <v>3</v>
      </c>
      <c r="V161">
        <v>3.6</v>
      </c>
      <c r="W161">
        <v>3.6</v>
      </c>
      <c r="X161" t="s">
        <v>45</v>
      </c>
      <c r="Y161">
        <v>0</v>
      </c>
      <c r="Z161">
        <v>0</v>
      </c>
      <c r="AB161">
        <v>1</v>
      </c>
      <c r="AC161" t="s">
        <v>46</v>
      </c>
      <c r="AE161">
        <v>1</v>
      </c>
      <c r="AF161">
        <v>0</v>
      </c>
      <c r="AG161" t="s">
        <v>75</v>
      </c>
      <c r="AH161" t="s">
        <v>76</v>
      </c>
      <c r="AI161" t="s">
        <v>49</v>
      </c>
      <c r="AJ161">
        <v>3.4</v>
      </c>
      <c r="AK161" s="1" t="s">
        <v>115</v>
      </c>
      <c r="AL161">
        <v>0</v>
      </c>
    </row>
    <row r="162" spans="1:38" x14ac:dyDescent="0.35">
      <c r="A162" t="s">
        <v>323</v>
      </c>
      <c r="B162" t="s">
        <v>73</v>
      </c>
      <c r="C162" t="s">
        <v>74</v>
      </c>
      <c r="D162">
        <v>6.3</v>
      </c>
      <c r="E162" t="s">
        <v>67</v>
      </c>
      <c r="F162">
        <v>36</v>
      </c>
      <c r="G162" t="s">
        <v>68</v>
      </c>
      <c r="H162" t="s">
        <v>55</v>
      </c>
      <c r="I162">
        <v>5</v>
      </c>
      <c r="J162">
        <v>9.9</v>
      </c>
      <c r="K162">
        <v>7</v>
      </c>
      <c r="L162">
        <v>1</v>
      </c>
      <c r="M162">
        <v>12</v>
      </c>
      <c r="N162">
        <v>0</v>
      </c>
      <c r="O162" t="s">
        <v>70</v>
      </c>
      <c r="P162">
        <v>37500</v>
      </c>
      <c r="Q162">
        <v>7.3</v>
      </c>
      <c r="R162">
        <v>4.0999999999999996</v>
      </c>
      <c r="S162">
        <v>2.8</v>
      </c>
      <c r="T162">
        <v>0</v>
      </c>
      <c r="U162">
        <v>3.2</v>
      </c>
      <c r="V162">
        <v>1.8</v>
      </c>
      <c r="W162">
        <v>3.6</v>
      </c>
      <c r="X162" t="s">
        <v>45</v>
      </c>
      <c r="Y162">
        <v>0</v>
      </c>
      <c r="Z162">
        <v>5</v>
      </c>
      <c r="AA162">
        <v>1.7</v>
      </c>
      <c r="AB162">
        <v>0</v>
      </c>
      <c r="AC162" t="s">
        <v>46</v>
      </c>
      <c r="AE162">
        <v>0</v>
      </c>
      <c r="AF162">
        <v>0</v>
      </c>
      <c r="AG162" t="s">
        <v>47</v>
      </c>
      <c r="AH162" t="s">
        <v>83</v>
      </c>
      <c r="AI162" t="s">
        <v>64</v>
      </c>
      <c r="AJ162" s="1" t="s">
        <v>182</v>
      </c>
      <c r="AK162" s="1" t="s">
        <v>127</v>
      </c>
      <c r="AL162">
        <v>0</v>
      </c>
    </row>
    <row r="163" spans="1:38" x14ac:dyDescent="0.35">
      <c r="A163" t="s">
        <v>324</v>
      </c>
      <c r="B163" t="s">
        <v>60</v>
      </c>
      <c r="C163" t="s">
        <v>80</v>
      </c>
      <c r="D163">
        <v>5.8</v>
      </c>
      <c r="E163" t="s">
        <v>67</v>
      </c>
      <c r="F163">
        <v>34</v>
      </c>
      <c r="G163" t="s">
        <v>42</v>
      </c>
      <c r="H163" t="s">
        <v>69</v>
      </c>
      <c r="I163">
        <v>6</v>
      </c>
      <c r="J163">
        <v>2.2000000000000002</v>
      </c>
      <c r="K163">
        <v>10</v>
      </c>
      <c r="L163">
        <v>1</v>
      </c>
      <c r="M163">
        <v>12</v>
      </c>
      <c r="N163">
        <v>0</v>
      </c>
      <c r="O163" t="s">
        <v>44</v>
      </c>
      <c r="P163">
        <v>50200</v>
      </c>
      <c r="Q163">
        <v>13.2</v>
      </c>
      <c r="R163">
        <v>2.2000000000000002</v>
      </c>
      <c r="S163">
        <v>1.2</v>
      </c>
      <c r="T163">
        <v>0</v>
      </c>
      <c r="U163">
        <v>4.5999999999999996</v>
      </c>
      <c r="V163">
        <v>3.4</v>
      </c>
      <c r="W163">
        <v>3.5</v>
      </c>
      <c r="X163" t="s">
        <v>45</v>
      </c>
      <c r="Y163">
        <v>0</v>
      </c>
      <c r="Z163">
        <v>0</v>
      </c>
      <c r="AB163">
        <v>0</v>
      </c>
      <c r="AC163" t="s">
        <v>46</v>
      </c>
      <c r="AE163">
        <v>1</v>
      </c>
      <c r="AF163">
        <v>0</v>
      </c>
      <c r="AG163" t="s">
        <v>75</v>
      </c>
      <c r="AH163" t="s">
        <v>83</v>
      </c>
      <c r="AI163" t="s">
        <v>64</v>
      </c>
      <c r="AJ163" s="1" t="s">
        <v>180</v>
      </c>
      <c r="AK163">
        <v>0.5</v>
      </c>
      <c r="AL163">
        <v>0</v>
      </c>
    </row>
    <row r="164" spans="1:38" x14ac:dyDescent="0.35">
      <c r="A164" t="s">
        <v>325</v>
      </c>
      <c r="B164" t="s">
        <v>73</v>
      </c>
      <c r="C164" t="s">
        <v>113</v>
      </c>
      <c r="D164">
        <v>5.9</v>
      </c>
      <c r="E164" t="s">
        <v>62</v>
      </c>
      <c r="F164">
        <v>30</v>
      </c>
      <c r="G164" t="s">
        <v>68</v>
      </c>
      <c r="H164" t="s">
        <v>43</v>
      </c>
      <c r="I164">
        <v>2</v>
      </c>
      <c r="J164">
        <v>9.8000000000000007</v>
      </c>
      <c r="K164">
        <v>3</v>
      </c>
      <c r="L164">
        <v>2</v>
      </c>
      <c r="M164">
        <v>12</v>
      </c>
      <c r="N164">
        <v>0</v>
      </c>
      <c r="O164" t="s">
        <v>56</v>
      </c>
      <c r="P164">
        <v>91300</v>
      </c>
      <c r="Q164">
        <v>8.1</v>
      </c>
      <c r="R164">
        <v>1.7</v>
      </c>
      <c r="S164">
        <v>1.2</v>
      </c>
      <c r="T164">
        <v>0</v>
      </c>
      <c r="U164">
        <v>1.5</v>
      </c>
      <c r="V164">
        <v>1.8</v>
      </c>
      <c r="W164">
        <v>3.1</v>
      </c>
      <c r="X164" t="s">
        <v>45</v>
      </c>
      <c r="Y164">
        <v>0</v>
      </c>
      <c r="Z164">
        <v>1</v>
      </c>
      <c r="AA164">
        <v>0.3</v>
      </c>
      <c r="AB164">
        <v>0</v>
      </c>
      <c r="AC164" t="s">
        <v>46</v>
      </c>
      <c r="AE164">
        <v>0</v>
      </c>
      <c r="AF164">
        <v>0</v>
      </c>
      <c r="AG164" t="s">
        <v>47</v>
      </c>
      <c r="AH164" t="s">
        <v>83</v>
      </c>
      <c r="AI164" t="s">
        <v>64</v>
      </c>
      <c r="AJ164" s="1" t="s">
        <v>326</v>
      </c>
      <c r="AK164" s="1" t="s">
        <v>84</v>
      </c>
      <c r="AL164">
        <v>0</v>
      </c>
    </row>
    <row r="165" spans="1:38" x14ac:dyDescent="0.35">
      <c r="A165" t="s">
        <v>327</v>
      </c>
      <c r="B165" t="s">
        <v>73</v>
      </c>
      <c r="C165" t="s">
        <v>74</v>
      </c>
      <c r="D165">
        <v>3.1</v>
      </c>
      <c r="E165" t="s">
        <v>81</v>
      </c>
      <c r="F165">
        <v>30</v>
      </c>
      <c r="G165" t="s">
        <v>68</v>
      </c>
      <c r="H165" t="s">
        <v>43</v>
      </c>
      <c r="I165">
        <v>6</v>
      </c>
      <c r="J165">
        <v>6.3</v>
      </c>
      <c r="K165">
        <v>13</v>
      </c>
      <c r="L165">
        <v>2</v>
      </c>
      <c r="M165">
        <v>12</v>
      </c>
      <c r="N165">
        <v>0</v>
      </c>
      <c r="O165" t="s">
        <v>82</v>
      </c>
      <c r="P165">
        <v>28600</v>
      </c>
      <c r="Q165">
        <v>5</v>
      </c>
      <c r="R165">
        <v>2.7</v>
      </c>
      <c r="S165">
        <v>0.2</v>
      </c>
      <c r="T165">
        <v>0</v>
      </c>
      <c r="U165">
        <v>3.7</v>
      </c>
      <c r="V165">
        <v>3.8</v>
      </c>
      <c r="W165">
        <v>4.0999999999999996</v>
      </c>
      <c r="X165" t="s">
        <v>89</v>
      </c>
      <c r="Y165">
        <v>0</v>
      </c>
      <c r="Z165">
        <v>1</v>
      </c>
      <c r="AA165">
        <v>1.7</v>
      </c>
      <c r="AB165">
        <v>2</v>
      </c>
      <c r="AC165" t="s">
        <v>46</v>
      </c>
      <c r="AE165">
        <v>0</v>
      </c>
      <c r="AF165">
        <v>0</v>
      </c>
      <c r="AG165" t="s">
        <v>47</v>
      </c>
      <c r="AH165" t="s">
        <v>76</v>
      </c>
      <c r="AI165" t="s">
        <v>64</v>
      </c>
      <c r="AJ165" s="1" t="s">
        <v>131</v>
      </c>
      <c r="AK165">
        <v>0.5</v>
      </c>
      <c r="AL165">
        <v>0</v>
      </c>
    </row>
    <row r="166" spans="1:38" x14ac:dyDescent="0.35">
      <c r="A166" t="s">
        <v>328</v>
      </c>
      <c r="B166" t="s">
        <v>117</v>
      </c>
      <c r="C166" t="s">
        <v>189</v>
      </c>
      <c r="D166">
        <v>3.9</v>
      </c>
      <c r="E166" t="s">
        <v>62</v>
      </c>
      <c r="F166">
        <v>30</v>
      </c>
      <c r="G166" t="s">
        <v>68</v>
      </c>
      <c r="H166" t="s">
        <v>69</v>
      </c>
      <c r="I166">
        <v>4</v>
      </c>
      <c r="J166">
        <v>22.1</v>
      </c>
      <c r="K166">
        <v>9</v>
      </c>
      <c r="L166">
        <v>2</v>
      </c>
      <c r="M166">
        <v>12</v>
      </c>
      <c r="N166">
        <v>0</v>
      </c>
      <c r="O166" t="s">
        <v>56</v>
      </c>
      <c r="P166">
        <v>100000</v>
      </c>
      <c r="Q166">
        <v>15.9</v>
      </c>
      <c r="R166">
        <v>3.3</v>
      </c>
      <c r="S166">
        <v>1.4</v>
      </c>
      <c r="T166">
        <v>0</v>
      </c>
      <c r="U166">
        <v>3.3</v>
      </c>
      <c r="V166">
        <v>2.8</v>
      </c>
      <c r="W166">
        <v>3.1</v>
      </c>
      <c r="X166" t="s">
        <v>89</v>
      </c>
      <c r="Y166">
        <v>1</v>
      </c>
      <c r="Z166">
        <v>2</v>
      </c>
      <c r="AB166">
        <v>1</v>
      </c>
      <c r="AC166" t="s">
        <v>46</v>
      </c>
      <c r="AE166">
        <v>1</v>
      </c>
      <c r="AF166">
        <v>0</v>
      </c>
      <c r="AG166" t="s">
        <v>47</v>
      </c>
      <c r="AH166" t="s">
        <v>76</v>
      </c>
      <c r="AI166" t="s">
        <v>57</v>
      </c>
      <c r="AJ166" s="1" t="s">
        <v>159</v>
      </c>
      <c r="AK166" s="1" t="s">
        <v>115</v>
      </c>
      <c r="AL166">
        <v>0</v>
      </c>
    </row>
    <row r="167" spans="1:38" x14ac:dyDescent="0.35">
      <c r="A167" t="s">
        <v>329</v>
      </c>
      <c r="B167" t="s">
        <v>98</v>
      </c>
      <c r="C167" t="s">
        <v>151</v>
      </c>
      <c r="D167">
        <v>5</v>
      </c>
      <c r="E167" t="s">
        <v>67</v>
      </c>
      <c r="F167">
        <v>28</v>
      </c>
      <c r="G167" t="s">
        <v>68</v>
      </c>
      <c r="H167" t="s">
        <v>69</v>
      </c>
      <c r="I167">
        <v>2</v>
      </c>
      <c r="J167">
        <v>3.4</v>
      </c>
      <c r="K167">
        <v>8</v>
      </c>
      <c r="L167">
        <v>2</v>
      </c>
      <c r="M167">
        <v>12</v>
      </c>
      <c r="N167">
        <v>0</v>
      </c>
      <c r="O167" t="s">
        <v>70</v>
      </c>
      <c r="P167">
        <v>45600</v>
      </c>
      <c r="Q167">
        <v>4.3</v>
      </c>
      <c r="R167">
        <v>3.1</v>
      </c>
      <c r="S167">
        <v>1.1000000000000001</v>
      </c>
      <c r="T167">
        <v>0</v>
      </c>
      <c r="U167">
        <v>3.2</v>
      </c>
      <c r="V167">
        <v>2.8</v>
      </c>
      <c r="W167">
        <v>4</v>
      </c>
      <c r="X167" t="s">
        <v>45</v>
      </c>
      <c r="Y167">
        <v>0</v>
      </c>
      <c r="Z167">
        <v>0</v>
      </c>
      <c r="AB167">
        <v>0</v>
      </c>
      <c r="AC167" t="s">
        <v>46</v>
      </c>
      <c r="AE167">
        <v>1</v>
      </c>
      <c r="AF167">
        <v>0</v>
      </c>
      <c r="AG167" t="s">
        <v>75</v>
      </c>
      <c r="AH167" t="s">
        <v>76</v>
      </c>
      <c r="AI167" t="s">
        <v>64</v>
      </c>
      <c r="AJ167" s="1" t="s">
        <v>90</v>
      </c>
      <c r="AK167" s="1" t="s">
        <v>84</v>
      </c>
      <c r="AL167">
        <v>0</v>
      </c>
    </row>
    <row r="168" spans="1:38" x14ac:dyDescent="0.35">
      <c r="A168" t="s">
        <v>330</v>
      </c>
      <c r="B168" t="s">
        <v>60</v>
      </c>
      <c r="C168" t="s">
        <v>80</v>
      </c>
      <c r="D168">
        <v>4</v>
      </c>
      <c r="E168" t="s">
        <v>81</v>
      </c>
      <c r="F168">
        <v>30</v>
      </c>
      <c r="G168" t="s">
        <v>42</v>
      </c>
      <c r="H168" t="s">
        <v>94</v>
      </c>
      <c r="I168">
        <v>1</v>
      </c>
      <c r="J168">
        <v>3.6</v>
      </c>
      <c r="K168">
        <v>11</v>
      </c>
      <c r="L168">
        <v>2</v>
      </c>
      <c r="M168">
        <v>12</v>
      </c>
      <c r="N168">
        <v>0</v>
      </c>
      <c r="O168" t="s">
        <v>82</v>
      </c>
      <c r="P168">
        <v>25400</v>
      </c>
      <c r="Q168">
        <v>1.1000000000000001</v>
      </c>
      <c r="R168">
        <v>3.1</v>
      </c>
      <c r="S168">
        <v>0.9</v>
      </c>
      <c r="T168">
        <v>0</v>
      </c>
      <c r="U168">
        <v>3.9</v>
      </c>
      <c r="V168">
        <v>4.2</v>
      </c>
      <c r="W168">
        <v>4.5</v>
      </c>
      <c r="X168" t="s">
        <v>45</v>
      </c>
      <c r="Y168">
        <v>0</v>
      </c>
      <c r="Z168">
        <v>1</v>
      </c>
      <c r="AA168">
        <v>3.7</v>
      </c>
      <c r="AB168">
        <v>0</v>
      </c>
      <c r="AC168" t="s">
        <v>46</v>
      </c>
      <c r="AE168">
        <v>0</v>
      </c>
      <c r="AF168">
        <v>0</v>
      </c>
      <c r="AG168" t="s">
        <v>47</v>
      </c>
      <c r="AH168" t="s">
        <v>76</v>
      </c>
      <c r="AI168" t="s">
        <v>64</v>
      </c>
      <c r="AJ168">
        <v>4.2</v>
      </c>
      <c r="AK168">
        <v>8.3333333333333301E-2</v>
      </c>
      <c r="AL168">
        <v>0</v>
      </c>
    </row>
    <row r="169" spans="1:38" x14ac:dyDescent="0.35">
      <c r="A169" t="s">
        <v>331</v>
      </c>
      <c r="B169" t="s">
        <v>39</v>
      </c>
      <c r="C169" t="s">
        <v>40</v>
      </c>
      <c r="D169">
        <v>3.1</v>
      </c>
      <c r="E169" t="s">
        <v>67</v>
      </c>
      <c r="F169">
        <v>27</v>
      </c>
      <c r="G169" t="s">
        <v>68</v>
      </c>
      <c r="H169" t="s">
        <v>43</v>
      </c>
      <c r="I169">
        <v>5</v>
      </c>
      <c r="J169">
        <v>13.5</v>
      </c>
      <c r="K169">
        <v>11</v>
      </c>
      <c r="L169">
        <v>3</v>
      </c>
      <c r="M169">
        <v>12</v>
      </c>
      <c r="N169">
        <v>0</v>
      </c>
      <c r="O169" t="s">
        <v>82</v>
      </c>
      <c r="P169">
        <v>31200</v>
      </c>
      <c r="Q169">
        <v>12</v>
      </c>
      <c r="R169">
        <v>2.2000000000000002</v>
      </c>
      <c r="S169">
        <v>1.6</v>
      </c>
      <c r="T169">
        <v>0</v>
      </c>
      <c r="U169">
        <v>3.4</v>
      </c>
      <c r="V169">
        <v>2.9</v>
      </c>
      <c r="W169">
        <v>2.9</v>
      </c>
      <c r="X169" t="s">
        <v>45</v>
      </c>
      <c r="Y169">
        <v>0</v>
      </c>
      <c r="Z169">
        <v>0</v>
      </c>
      <c r="AB169">
        <v>1</v>
      </c>
      <c r="AC169" t="s">
        <v>46</v>
      </c>
      <c r="AE169">
        <v>1</v>
      </c>
      <c r="AF169">
        <v>0</v>
      </c>
      <c r="AG169" t="s">
        <v>75</v>
      </c>
      <c r="AH169" t="s">
        <v>76</v>
      </c>
      <c r="AI169" t="s">
        <v>49</v>
      </c>
      <c r="AJ169" s="1" t="s">
        <v>159</v>
      </c>
      <c r="AK169" s="1" t="s">
        <v>127</v>
      </c>
      <c r="AL169">
        <v>0</v>
      </c>
    </row>
    <row r="170" spans="1:38" x14ac:dyDescent="0.35">
      <c r="A170" t="s">
        <v>332</v>
      </c>
      <c r="B170" t="s">
        <v>98</v>
      </c>
      <c r="C170" t="s">
        <v>151</v>
      </c>
      <c r="D170">
        <v>1.8</v>
      </c>
      <c r="E170" t="s">
        <v>81</v>
      </c>
      <c r="F170">
        <v>24</v>
      </c>
      <c r="G170" t="s">
        <v>68</v>
      </c>
      <c r="H170" t="s">
        <v>55</v>
      </c>
      <c r="I170">
        <v>4</v>
      </c>
      <c r="J170">
        <v>8.6999999999999993</v>
      </c>
      <c r="K170">
        <v>5</v>
      </c>
      <c r="L170">
        <v>0</v>
      </c>
      <c r="M170">
        <v>12</v>
      </c>
      <c r="N170">
        <v>0</v>
      </c>
      <c r="O170" t="s">
        <v>82</v>
      </c>
      <c r="P170">
        <v>32700</v>
      </c>
      <c r="Q170">
        <v>5.0999999999999996</v>
      </c>
      <c r="R170">
        <v>2.2999999999999998</v>
      </c>
      <c r="S170">
        <v>0.4</v>
      </c>
      <c r="T170">
        <v>0</v>
      </c>
      <c r="U170">
        <v>2.6</v>
      </c>
      <c r="V170">
        <v>3.3</v>
      </c>
      <c r="W170">
        <v>5</v>
      </c>
      <c r="X170" t="s">
        <v>45</v>
      </c>
      <c r="Y170">
        <v>0</v>
      </c>
      <c r="Z170">
        <v>2</v>
      </c>
      <c r="AA170">
        <v>1.1000000000000001</v>
      </c>
      <c r="AB170">
        <v>0</v>
      </c>
      <c r="AC170" t="s">
        <v>124</v>
      </c>
      <c r="AD170" s="2">
        <v>45994</v>
      </c>
      <c r="AE170">
        <v>0</v>
      </c>
      <c r="AF170">
        <v>0</v>
      </c>
      <c r="AG170" t="s">
        <v>47</v>
      </c>
      <c r="AH170" t="s">
        <v>48</v>
      </c>
      <c r="AI170" t="s">
        <v>64</v>
      </c>
      <c r="AJ170" s="1" t="s">
        <v>190</v>
      </c>
      <c r="AK170" s="1" t="s">
        <v>115</v>
      </c>
      <c r="AL170">
        <v>1</v>
      </c>
    </row>
    <row r="171" spans="1:38" x14ac:dyDescent="0.35">
      <c r="A171" t="s">
        <v>333</v>
      </c>
      <c r="B171" t="s">
        <v>60</v>
      </c>
      <c r="C171" t="s">
        <v>107</v>
      </c>
      <c r="D171">
        <v>3.8</v>
      </c>
      <c r="E171" t="s">
        <v>41</v>
      </c>
      <c r="F171">
        <v>23</v>
      </c>
      <c r="G171" t="s">
        <v>42</v>
      </c>
      <c r="H171" t="s">
        <v>69</v>
      </c>
      <c r="I171">
        <v>3</v>
      </c>
      <c r="J171">
        <v>8.4</v>
      </c>
      <c r="K171">
        <v>7</v>
      </c>
      <c r="L171">
        <v>1</v>
      </c>
      <c r="M171">
        <v>12</v>
      </c>
      <c r="N171">
        <v>0</v>
      </c>
      <c r="O171" t="s">
        <v>44</v>
      </c>
      <c r="P171">
        <v>72600</v>
      </c>
      <c r="Q171">
        <v>9.6999999999999993</v>
      </c>
      <c r="R171">
        <v>2.8</v>
      </c>
      <c r="S171">
        <v>0.5</v>
      </c>
      <c r="T171">
        <v>0</v>
      </c>
      <c r="U171">
        <v>2.6</v>
      </c>
      <c r="V171">
        <v>3</v>
      </c>
      <c r="W171">
        <v>2.8</v>
      </c>
      <c r="X171" t="s">
        <v>45</v>
      </c>
      <c r="Y171">
        <v>0</v>
      </c>
      <c r="Z171">
        <v>0</v>
      </c>
      <c r="AB171">
        <v>0</v>
      </c>
      <c r="AC171" t="s">
        <v>46</v>
      </c>
      <c r="AE171">
        <v>1</v>
      </c>
      <c r="AF171">
        <v>0</v>
      </c>
      <c r="AG171" t="s">
        <v>75</v>
      </c>
      <c r="AH171" t="s">
        <v>76</v>
      </c>
      <c r="AI171" t="s">
        <v>64</v>
      </c>
      <c r="AJ171" s="1" t="s">
        <v>102</v>
      </c>
      <c r="AK171">
        <v>0.25</v>
      </c>
      <c r="AL171">
        <v>0</v>
      </c>
    </row>
    <row r="172" spans="1:38" x14ac:dyDescent="0.35">
      <c r="A172" t="s">
        <v>334</v>
      </c>
      <c r="B172" t="s">
        <v>98</v>
      </c>
      <c r="C172" t="s">
        <v>148</v>
      </c>
      <c r="D172">
        <v>1</v>
      </c>
      <c r="E172" t="s">
        <v>67</v>
      </c>
      <c r="F172">
        <v>26</v>
      </c>
      <c r="G172" t="s">
        <v>54</v>
      </c>
      <c r="H172" t="s">
        <v>69</v>
      </c>
      <c r="I172">
        <v>5</v>
      </c>
      <c r="J172">
        <v>41.4</v>
      </c>
      <c r="K172">
        <v>16</v>
      </c>
      <c r="L172">
        <v>4</v>
      </c>
      <c r="M172">
        <v>12</v>
      </c>
      <c r="N172">
        <v>0</v>
      </c>
      <c r="O172" t="s">
        <v>70</v>
      </c>
      <c r="P172">
        <v>41700</v>
      </c>
      <c r="Q172">
        <v>15.3</v>
      </c>
      <c r="R172">
        <v>2.7</v>
      </c>
      <c r="S172">
        <v>1.5</v>
      </c>
      <c r="T172">
        <v>0</v>
      </c>
      <c r="U172">
        <v>3.9</v>
      </c>
      <c r="V172">
        <v>3.7</v>
      </c>
      <c r="W172">
        <v>2.8</v>
      </c>
      <c r="X172" t="s">
        <v>45</v>
      </c>
      <c r="Y172">
        <v>0</v>
      </c>
      <c r="Z172">
        <v>0</v>
      </c>
      <c r="AB172">
        <v>1</v>
      </c>
      <c r="AC172" t="s">
        <v>46</v>
      </c>
      <c r="AE172">
        <v>1</v>
      </c>
      <c r="AF172">
        <v>0</v>
      </c>
      <c r="AG172" t="s">
        <v>75</v>
      </c>
      <c r="AH172" t="s">
        <v>95</v>
      </c>
      <c r="AI172" t="s">
        <v>57</v>
      </c>
      <c r="AJ172" s="1" t="s">
        <v>137</v>
      </c>
      <c r="AK172" s="1" t="s">
        <v>127</v>
      </c>
      <c r="AL172">
        <v>0</v>
      </c>
    </row>
    <row r="173" spans="1:38" x14ac:dyDescent="0.35">
      <c r="A173" t="s">
        <v>335</v>
      </c>
      <c r="B173" t="s">
        <v>117</v>
      </c>
      <c r="C173" t="s">
        <v>189</v>
      </c>
      <c r="D173">
        <v>0.5</v>
      </c>
      <c r="E173" t="s">
        <v>67</v>
      </c>
      <c r="F173">
        <v>29</v>
      </c>
      <c r="G173" t="s">
        <v>68</v>
      </c>
      <c r="H173" t="s">
        <v>69</v>
      </c>
      <c r="I173">
        <v>4</v>
      </c>
      <c r="J173">
        <v>16.2</v>
      </c>
      <c r="K173">
        <v>11</v>
      </c>
      <c r="L173">
        <v>1</v>
      </c>
      <c r="M173">
        <v>12</v>
      </c>
      <c r="N173">
        <v>0</v>
      </c>
      <c r="O173" t="s">
        <v>70</v>
      </c>
      <c r="P173">
        <v>41900</v>
      </c>
      <c r="Q173">
        <v>2.5</v>
      </c>
      <c r="R173">
        <v>4.2</v>
      </c>
      <c r="S173">
        <v>3.9</v>
      </c>
      <c r="T173">
        <v>0</v>
      </c>
      <c r="U173">
        <v>3.3</v>
      </c>
      <c r="V173">
        <v>4.0999999999999996</v>
      </c>
      <c r="W173">
        <v>3.8</v>
      </c>
      <c r="X173" t="s">
        <v>89</v>
      </c>
      <c r="Y173">
        <v>1</v>
      </c>
      <c r="Z173">
        <v>1</v>
      </c>
      <c r="AA173">
        <v>0.1</v>
      </c>
      <c r="AB173">
        <v>0</v>
      </c>
      <c r="AC173" t="s">
        <v>46</v>
      </c>
      <c r="AE173">
        <v>0</v>
      </c>
      <c r="AF173">
        <v>0</v>
      </c>
      <c r="AG173" t="s">
        <v>47</v>
      </c>
      <c r="AH173" t="s">
        <v>95</v>
      </c>
      <c r="AI173" t="s">
        <v>49</v>
      </c>
      <c r="AJ173" s="1" t="s">
        <v>114</v>
      </c>
      <c r="AK173" s="1" t="s">
        <v>115</v>
      </c>
      <c r="AL173">
        <v>0</v>
      </c>
    </row>
    <row r="174" spans="1:38" x14ac:dyDescent="0.35">
      <c r="A174" t="s">
        <v>336</v>
      </c>
      <c r="B174" t="s">
        <v>98</v>
      </c>
      <c r="C174" t="s">
        <v>151</v>
      </c>
      <c r="D174">
        <v>1.4</v>
      </c>
      <c r="E174" t="s">
        <v>110</v>
      </c>
      <c r="F174">
        <v>25</v>
      </c>
      <c r="G174" t="s">
        <v>42</v>
      </c>
      <c r="H174" t="s">
        <v>43</v>
      </c>
      <c r="I174">
        <v>5</v>
      </c>
      <c r="J174">
        <v>7.5</v>
      </c>
      <c r="K174">
        <v>8</v>
      </c>
      <c r="L174">
        <v>1</v>
      </c>
      <c r="M174">
        <v>12</v>
      </c>
      <c r="N174">
        <v>0</v>
      </c>
      <c r="O174" t="s">
        <v>44</v>
      </c>
      <c r="P174">
        <v>58400</v>
      </c>
      <c r="Q174">
        <v>7.8</v>
      </c>
      <c r="R174">
        <v>3.4</v>
      </c>
      <c r="S174">
        <v>1</v>
      </c>
      <c r="T174">
        <v>0</v>
      </c>
      <c r="U174">
        <v>1.9</v>
      </c>
      <c r="V174">
        <v>4</v>
      </c>
      <c r="W174">
        <v>3.8</v>
      </c>
      <c r="X174" t="s">
        <v>45</v>
      </c>
      <c r="Y174">
        <v>0</v>
      </c>
      <c r="Z174">
        <v>0</v>
      </c>
      <c r="AB174">
        <v>0</v>
      </c>
      <c r="AC174" t="s">
        <v>46</v>
      </c>
      <c r="AE174">
        <v>1</v>
      </c>
      <c r="AF174">
        <v>0</v>
      </c>
      <c r="AG174" t="s">
        <v>75</v>
      </c>
      <c r="AH174" t="s">
        <v>48</v>
      </c>
      <c r="AI174" t="s">
        <v>64</v>
      </c>
      <c r="AJ174" s="1" t="s">
        <v>198</v>
      </c>
      <c r="AK174" s="1" t="s">
        <v>127</v>
      </c>
      <c r="AL174">
        <v>0</v>
      </c>
    </row>
    <row r="175" spans="1:38" x14ac:dyDescent="0.35">
      <c r="A175" t="s">
        <v>337</v>
      </c>
      <c r="B175" t="s">
        <v>60</v>
      </c>
      <c r="C175" t="s">
        <v>107</v>
      </c>
      <c r="D175">
        <v>5.8</v>
      </c>
      <c r="E175" t="s">
        <v>110</v>
      </c>
      <c r="F175">
        <v>42</v>
      </c>
      <c r="G175" t="s">
        <v>42</v>
      </c>
      <c r="H175" t="s">
        <v>94</v>
      </c>
      <c r="I175">
        <v>4</v>
      </c>
      <c r="J175">
        <v>1.9</v>
      </c>
      <c r="K175">
        <v>4</v>
      </c>
      <c r="L175">
        <v>0</v>
      </c>
      <c r="M175">
        <v>12</v>
      </c>
      <c r="N175">
        <v>0</v>
      </c>
      <c r="O175" t="s">
        <v>44</v>
      </c>
      <c r="P175">
        <v>52500</v>
      </c>
      <c r="Q175">
        <v>13.9</v>
      </c>
      <c r="R175">
        <v>2.7</v>
      </c>
      <c r="S175">
        <v>1.2</v>
      </c>
      <c r="T175">
        <v>0</v>
      </c>
      <c r="U175">
        <v>3.4</v>
      </c>
      <c r="V175">
        <v>2.8</v>
      </c>
      <c r="W175">
        <v>3.5</v>
      </c>
      <c r="X175" t="s">
        <v>45</v>
      </c>
      <c r="Y175">
        <v>0</v>
      </c>
      <c r="Z175">
        <v>2</v>
      </c>
      <c r="AA175">
        <v>4.5</v>
      </c>
      <c r="AB175">
        <v>0</v>
      </c>
      <c r="AC175" t="s">
        <v>46</v>
      </c>
      <c r="AE175">
        <v>0</v>
      </c>
      <c r="AF175">
        <v>0</v>
      </c>
      <c r="AG175" t="s">
        <v>47</v>
      </c>
      <c r="AH175" t="s">
        <v>83</v>
      </c>
      <c r="AI175" t="s">
        <v>64</v>
      </c>
      <c r="AJ175" s="1" t="s">
        <v>198</v>
      </c>
      <c r="AK175" s="1" t="s">
        <v>115</v>
      </c>
      <c r="AL175">
        <v>0</v>
      </c>
    </row>
    <row r="176" spans="1:38" x14ac:dyDescent="0.35">
      <c r="A176" t="s">
        <v>338</v>
      </c>
      <c r="B176" t="s">
        <v>73</v>
      </c>
      <c r="C176" t="s">
        <v>177</v>
      </c>
      <c r="D176">
        <v>4.4000000000000004</v>
      </c>
      <c r="E176" t="s">
        <v>62</v>
      </c>
      <c r="F176">
        <v>34</v>
      </c>
      <c r="G176" t="s">
        <v>68</v>
      </c>
      <c r="H176" t="s">
        <v>55</v>
      </c>
      <c r="I176">
        <v>3</v>
      </c>
      <c r="J176">
        <v>7.2</v>
      </c>
      <c r="K176">
        <v>9</v>
      </c>
      <c r="L176">
        <v>5</v>
      </c>
      <c r="M176">
        <v>12</v>
      </c>
      <c r="N176">
        <v>0</v>
      </c>
      <c r="O176" t="s">
        <v>56</v>
      </c>
      <c r="P176">
        <v>90800</v>
      </c>
      <c r="Q176">
        <v>10.7</v>
      </c>
      <c r="R176">
        <v>4.2</v>
      </c>
      <c r="S176">
        <v>1.2</v>
      </c>
      <c r="T176">
        <v>0</v>
      </c>
      <c r="U176">
        <v>2.8</v>
      </c>
      <c r="V176">
        <v>4.3</v>
      </c>
      <c r="W176">
        <v>4.0999999999999996</v>
      </c>
      <c r="X176" t="s">
        <v>45</v>
      </c>
      <c r="Y176">
        <v>0</v>
      </c>
      <c r="Z176">
        <v>1</v>
      </c>
      <c r="AA176">
        <v>3.9</v>
      </c>
      <c r="AB176">
        <v>0</v>
      </c>
      <c r="AC176" t="s">
        <v>46</v>
      </c>
      <c r="AE176">
        <v>0</v>
      </c>
      <c r="AF176">
        <v>0</v>
      </c>
      <c r="AG176" t="s">
        <v>47</v>
      </c>
      <c r="AH176" t="s">
        <v>76</v>
      </c>
      <c r="AI176" t="s">
        <v>64</v>
      </c>
      <c r="AJ176" s="1" t="s">
        <v>114</v>
      </c>
      <c r="AK176">
        <v>0.25</v>
      </c>
      <c r="AL176">
        <v>0</v>
      </c>
    </row>
    <row r="177" spans="1:38" x14ac:dyDescent="0.35">
      <c r="A177" t="s">
        <v>339</v>
      </c>
      <c r="B177" t="s">
        <v>73</v>
      </c>
      <c r="C177" t="s">
        <v>74</v>
      </c>
      <c r="D177">
        <v>5.9</v>
      </c>
      <c r="E177" t="s">
        <v>62</v>
      </c>
      <c r="F177">
        <v>37</v>
      </c>
      <c r="G177" t="s">
        <v>42</v>
      </c>
      <c r="H177" t="s">
        <v>43</v>
      </c>
      <c r="I177">
        <v>2</v>
      </c>
      <c r="J177">
        <v>3.1</v>
      </c>
      <c r="K177">
        <v>8</v>
      </c>
      <c r="L177">
        <v>0</v>
      </c>
      <c r="M177">
        <v>12</v>
      </c>
      <c r="N177">
        <v>0</v>
      </c>
      <c r="O177" t="s">
        <v>56</v>
      </c>
      <c r="P177">
        <v>76500</v>
      </c>
      <c r="Q177">
        <v>7.3</v>
      </c>
      <c r="R177">
        <v>3.6</v>
      </c>
      <c r="S177">
        <v>0.4</v>
      </c>
      <c r="T177">
        <v>0</v>
      </c>
      <c r="U177">
        <v>2.2000000000000002</v>
      </c>
      <c r="V177">
        <v>2.4</v>
      </c>
      <c r="W177">
        <v>3.6</v>
      </c>
      <c r="X177" t="s">
        <v>45</v>
      </c>
      <c r="Y177">
        <v>0</v>
      </c>
      <c r="Z177">
        <v>0</v>
      </c>
      <c r="AB177">
        <v>1</v>
      </c>
      <c r="AC177" t="s">
        <v>46</v>
      </c>
      <c r="AE177">
        <v>1</v>
      </c>
      <c r="AF177">
        <v>0</v>
      </c>
      <c r="AG177" t="s">
        <v>75</v>
      </c>
      <c r="AH177" t="s">
        <v>83</v>
      </c>
      <c r="AI177" t="s">
        <v>64</v>
      </c>
      <c r="AJ177" s="1" t="s">
        <v>168</v>
      </c>
      <c r="AK177" s="1" t="s">
        <v>84</v>
      </c>
      <c r="AL177">
        <v>0</v>
      </c>
    </row>
    <row r="178" spans="1:38" x14ac:dyDescent="0.35">
      <c r="A178" t="s">
        <v>340</v>
      </c>
      <c r="B178" t="s">
        <v>52</v>
      </c>
      <c r="C178" t="s">
        <v>53</v>
      </c>
      <c r="D178">
        <v>2.1</v>
      </c>
      <c r="E178" t="s">
        <v>110</v>
      </c>
      <c r="F178">
        <v>31</v>
      </c>
      <c r="G178" t="s">
        <v>42</v>
      </c>
      <c r="H178" t="s">
        <v>55</v>
      </c>
      <c r="I178">
        <v>1</v>
      </c>
      <c r="J178">
        <v>4.4000000000000004</v>
      </c>
      <c r="K178">
        <v>8</v>
      </c>
      <c r="L178">
        <v>2</v>
      </c>
      <c r="M178">
        <v>12</v>
      </c>
      <c r="N178">
        <v>0</v>
      </c>
      <c r="O178" t="s">
        <v>70</v>
      </c>
      <c r="P178">
        <v>45900</v>
      </c>
      <c r="Q178">
        <v>17.600000000000001</v>
      </c>
      <c r="R178">
        <v>2</v>
      </c>
      <c r="S178">
        <v>0.9</v>
      </c>
      <c r="T178">
        <v>0</v>
      </c>
      <c r="U178">
        <v>3.4</v>
      </c>
      <c r="V178">
        <v>2.5</v>
      </c>
      <c r="W178">
        <v>5</v>
      </c>
      <c r="X178" t="s">
        <v>45</v>
      </c>
      <c r="Y178">
        <v>0</v>
      </c>
      <c r="Z178">
        <v>1</v>
      </c>
      <c r="AB178">
        <v>2</v>
      </c>
      <c r="AC178" t="s">
        <v>46</v>
      </c>
      <c r="AE178">
        <v>1</v>
      </c>
      <c r="AF178">
        <v>0</v>
      </c>
      <c r="AG178" t="s">
        <v>47</v>
      </c>
      <c r="AH178" t="s">
        <v>48</v>
      </c>
      <c r="AI178" t="s">
        <v>64</v>
      </c>
      <c r="AJ178" s="1" t="s">
        <v>190</v>
      </c>
      <c r="AK178">
        <v>8.3333333333333301E-2</v>
      </c>
      <c r="AL178">
        <v>0</v>
      </c>
    </row>
    <row r="179" spans="1:38" x14ac:dyDescent="0.35">
      <c r="A179" t="s">
        <v>341</v>
      </c>
      <c r="B179" t="s">
        <v>60</v>
      </c>
      <c r="C179" t="s">
        <v>61</v>
      </c>
      <c r="D179">
        <v>7.4</v>
      </c>
      <c r="E179" t="s">
        <v>41</v>
      </c>
      <c r="F179">
        <v>41</v>
      </c>
      <c r="G179" t="s">
        <v>42</v>
      </c>
      <c r="H179" t="s">
        <v>43</v>
      </c>
      <c r="I179">
        <v>4</v>
      </c>
      <c r="J179">
        <v>4.5</v>
      </c>
      <c r="K179">
        <v>10</v>
      </c>
      <c r="L179">
        <v>3</v>
      </c>
      <c r="M179">
        <v>12</v>
      </c>
      <c r="N179">
        <v>0</v>
      </c>
      <c r="O179" t="s">
        <v>56</v>
      </c>
      <c r="P179">
        <v>76200</v>
      </c>
      <c r="Q179">
        <v>7.6</v>
      </c>
      <c r="R179">
        <v>1</v>
      </c>
      <c r="S179">
        <v>1.4</v>
      </c>
      <c r="T179">
        <v>0</v>
      </c>
      <c r="U179">
        <v>4</v>
      </c>
      <c r="V179">
        <v>3.1</v>
      </c>
      <c r="W179">
        <v>3.4</v>
      </c>
      <c r="X179" t="s">
        <v>45</v>
      </c>
      <c r="Y179">
        <v>0</v>
      </c>
      <c r="Z179">
        <v>0</v>
      </c>
      <c r="AB179">
        <v>0</v>
      </c>
      <c r="AC179" t="s">
        <v>46</v>
      </c>
      <c r="AE179">
        <v>1</v>
      </c>
      <c r="AF179">
        <v>0</v>
      </c>
      <c r="AG179" t="s">
        <v>75</v>
      </c>
      <c r="AH179" t="s">
        <v>83</v>
      </c>
      <c r="AI179" t="s">
        <v>64</v>
      </c>
      <c r="AJ179">
        <v>3.5</v>
      </c>
      <c r="AK179" s="1" t="s">
        <v>115</v>
      </c>
      <c r="AL179">
        <v>0</v>
      </c>
    </row>
    <row r="180" spans="1:38" x14ac:dyDescent="0.35">
      <c r="A180" t="s">
        <v>342</v>
      </c>
      <c r="B180" t="s">
        <v>60</v>
      </c>
      <c r="C180" t="s">
        <v>61</v>
      </c>
      <c r="D180">
        <v>1.1000000000000001</v>
      </c>
      <c r="E180" t="s">
        <v>41</v>
      </c>
      <c r="F180">
        <v>24</v>
      </c>
      <c r="G180" t="s">
        <v>42</v>
      </c>
      <c r="H180" t="s">
        <v>69</v>
      </c>
      <c r="I180">
        <v>0</v>
      </c>
      <c r="J180">
        <v>20.9</v>
      </c>
      <c r="K180">
        <v>9</v>
      </c>
      <c r="L180">
        <v>5</v>
      </c>
      <c r="M180">
        <v>12</v>
      </c>
      <c r="N180">
        <v>0</v>
      </c>
      <c r="O180" t="s">
        <v>44</v>
      </c>
      <c r="P180">
        <v>64100</v>
      </c>
      <c r="Q180">
        <v>9.6</v>
      </c>
      <c r="R180">
        <v>2</v>
      </c>
      <c r="S180">
        <v>1.4</v>
      </c>
      <c r="T180">
        <v>0</v>
      </c>
      <c r="U180">
        <v>3.3</v>
      </c>
      <c r="V180">
        <v>4.0999999999999996</v>
      </c>
      <c r="W180">
        <v>2.7</v>
      </c>
      <c r="X180" t="s">
        <v>45</v>
      </c>
      <c r="Y180">
        <v>0</v>
      </c>
      <c r="Z180">
        <v>0</v>
      </c>
      <c r="AB180">
        <v>0</v>
      </c>
      <c r="AC180" t="s">
        <v>46</v>
      </c>
      <c r="AE180">
        <v>1</v>
      </c>
      <c r="AF180">
        <v>0</v>
      </c>
      <c r="AG180" t="s">
        <v>75</v>
      </c>
      <c r="AH180" t="s">
        <v>48</v>
      </c>
      <c r="AI180" t="s">
        <v>57</v>
      </c>
      <c r="AJ180" s="1" t="s">
        <v>86</v>
      </c>
      <c r="AK180">
        <v>0</v>
      </c>
      <c r="AL180">
        <v>0</v>
      </c>
    </row>
    <row r="181" spans="1:38" x14ac:dyDescent="0.35">
      <c r="A181" t="s">
        <v>343</v>
      </c>
      <c r="B181" t="s">
        <v>39</v>
      </c>
      <c r="C181" t="s">
        <v>66</v>
      </c>
      <c r="D181">
        <v>1.5</v>
      </c>
      <c r="E181" t="s">
        <v>67</v>
      </c>
      <c r="F181">
        <v>21</v>
      </c>
      <c r="G181" t="s">
        <v>68</v>
      </c>
      <c r="H181" t="s">
        <v>43</v>
      </c>
      <c r="I181">
        <v>2</v>
      </c>
      <c r="J181">
        <v>2.5</v>
      </c>
      <c r="K181">
        <v>11</v>
      </c>
      <c r="L181">
        <v>2</v>
      </c>
      <c r="M181">
        <v>12</v>
      </c>
      <c r="N181">
        <v>0</v>
      </c>
      <c r="O181" t="s">
        <v>82</v>
      </c>
      <c r="P181">
        <v>32800</v>
      </c>
      <c r="Q181">
        <v>14.6</v>
      </c>
      <c r="R181">
        <v>3.7</v>
      </c>
      <c r="S181">
        <v>1.8</v>
      </c>
      <c r="T181">
        <v>0</v>
      </c>
      <c r="U181">
        <v>2.2999999999999998</v>
      </c>
      <c r="V181">
        <v>2.1</v>
      </c>
      <c r="W181">
        <v>3</v>
      </c>
      <c r="X181" t="s">
        <v>45</v>
      </c>
      <c r="Y181">
        <v>0</v>
      </c>
      <c r="Z181">
        <v>0</v>
      </c>
      <c r="AB181">
        <v>0</v>
      </c>
      <c r="AC181" t="s">
        <v>46</v>
      </c>
      <c r="AE181">
        <v>1</v>
      </c>
      <c r="AF181">
        <v>0</v>
      </c>
      <c r="AG181" t="s">
        <v>75</v>
      </c>
      <c r="AH181" t="s">
        <v>48</v>
      </c>
      <c r="AI181" t="s">
        <v>64</v>
      </c>
      <c r="AJ181" s="1" t="s">
        <v>133</v>
      </c>
      <c r="AK181" s="1" t="s">
        <v>84</v>
      </c>
      <c r="AL181">
        <v>0</v>
      </c>
    </row>
    <row r="182" spans="1:38" x14ac:dyDescent="0.35">
      <c r="A182" t="s">
        <v>344</v>
      </c>
      <c r="B182" t="s">
        <v>60</v>
      </c>
      <c r="C182" t="s">
        <v>107</v>
      </c>
      <c r="D182">
        <v>7.3</v>
      </c>
      <c r="E182" t="s">
        <v>110</v>
      </c>
      <c r="F182">
        <v>32</v>
      </c>
      <c r="G182" t="s">
        <v>42</v>
      </c>
      <c r="H182" t="s">
        <v>43</v>
      </c>
      <c r="I182">
        <v>5</v>
      </c>
      <c r="J182">
        <v>19.399999999999999</v>
      </c>
      <c r="K182">
        <v>9</v>
      </c>
      <c r="L182">
        <v>1</v>
      </c>
      <c r="M182">
        <v>12</v>
      </c>
      <c r="N182">
        <v>0</v>
      </c>
      <c r="O182" t="s">
        <v>44</v>
      </c>
      <c r="P182">
        <v>56500</v>
      </c>
      <c r="Q182">
        <v>11.9</v>
      </c>
      <c r="R182">
        <v>4</v>
      </c>
      <c r="S182">
        <v>0.4</v>
      </c>
      <c r="T182">
        <v>0</v>
      </c>
      <c r="U182">
        <v>3.7</v>
      </c>
      <c r="V182">
        <v>4</v>
      </c>
      <c r="W182">
        <v>3.4</v>
      </c>
      <c r="X182" t="s">
        <v>45</v>
      </c>
      <c r="Y182">
        <v>1</v>
      </c>
      <c r="Z182">
        <v>2</v>
      </c>
      <c r="AA182">
        <v>1.4</v>
      </c>
      <c r="AB182">
        <v>0</v>
      </c>
      <c r="AC182" t="s">
        <v>46</v>
      </c>
      <c r="AE182">
        <v>0</v>
      </c>
      <c r="AF182">
        <v>0</v>
      </c>
      <c r="AG182" t="s">
        <v>47</v>
      </c>
      <c r="AH182" t="s">
        <v>83</v>
      </c>
      <c r="AI182" t="s">
        <v>49</v>
      </c>
      <c r="AJ182" s="1" t="s">
        <v>58</v>
      </c>
      <c r="AK182" s="1" t="s">
        <v>127</v>
      </c>
      <c r="AL182">
        <v>0</v>
      </c>
    </row>
    <row r="183" spans="1:38" x14ac:dyDescent="0.35">
      <c r="A183" t="s">
        <v>345</v>
      </c>
      <c r="B183" t="s">
        <v>60</v>
      </c>
      <c r="C183" t="s">
        <v>80</v>
      </c>
      <c r="D183">
        <v>4.2</v>
      </c>
      <c r="E183" t="s">
        <v>81</v>
      </c>
      <c r="F183">
        <v>32</v>
      </c>
      <c r="G183" t="s">
        <v>42</v>
      </c>
      <c r="H183" t="s">
        <v>94</v>
      </c>
      <c r="I183">
        <v>4</v>
      </c>
      <c r="J183">
        <v>14</v>
      </c>
      <c r="K183">
        <v>14</v>
      </c>
      <c r="L183">
        <v>4</v>
      </c>
      <c r="M183">
        <v>12</v>
      </c>
      <c r="N183">
        <v>0</v>
      </c>
      <c r="O183" t="s">
        <v>82</v>
      </c>
      <c r="P183">
        <v>33600</v>
      </c>
      <c r="Q183">
        <v>13.3</v>
      </c>
      <c r="R183">
        <v>1.7</v>
      </c>
      <c r="S183">
        <v>0.6</v>
      </c>
      <c r="T183">
        <v>0</v>
      </c>
      <c r="U183">
        <v>4.2</v>
      </c>
      <c r="V183">
        <v>3.2</v>
      </c>
      <c r="W183">
        <v>3.8</v>
      </c>
      <c r="X183" t="s">
        <v>45</v>
      </c>
      <c r="Y183">
        <v>0</v>
      </c>
      <c r="Z183">
        <v>1</v>
      </c>
      <c r="AA183">
        <v>3.4</v>
      </c>
      <c r="AB183">
        <v>0</v>
      </c>
      <c r="AC183" t="s">
        <v>46</v>
      </c>
      <c r="AE183">
        <v>0</v>
      </c>
      <c r="AF183">
        <v>0</v>
      </c>
      <c r="AG183" t="s">
        <v>47</v>
      </c>
      <c r="AH183" t="s">
        <v>76</v>
      </c>
      <c r="AI183" t="s">
        <v>49</v>
      </c>
      <c r="AJ183" s="1" t="s">
        <v>114</v>
      </c>
      <c r="AK183" s="1" t="s">
        <v>115</v>
      </c>
      <c r="AL183">
        <v>0</v>
      </c>
    </row>
    <row r="184" spans="1:38" x14ac:dyDescent="0.35">
      <c r="A184" t="s">
        <v>346</v>
      </c>
      <c r="B184" t="s">
        <v>117</v>
      </c>
      <c r="C184" t="s">
        <v>118</v>
      </c>
      <c r="D184">
        <v>5.9</v>
      </c>
      <c r="E184" t="s">
        <v>110</v>
      </c>
      <c r="F184">
        <v>33</v>
      </c>
      <c r="G184" t="s">
        <v>68</v>
      </c>
      <c r="H184" t="s">
        <v>94</v>
      </c>
      <c r="I184">
        <v>2</v>
      </c>
      <c r="J184">
        <v>13.8</v>
      </c>
      <c r="K184">
        <v>10</v>
      </c>
      <c r="L184">
        <v>1</v>
      </c>
      <c r="M184">
        <v>12</v>
      </c>
      <c r="N184">
        <v>0</v>
      </c>
      <c r="O184" t="s">
        <v>44</v>
      </c>
      <c r="P184">
        <v>54700</v>
      </c>
      <c r="Q184">
        <v>4.4000000000000004</v>
      </c>
      <c r="R184">
        <v>3.8</v>
      </c>
      <c r="S184">
        <v>0.1</v>
      </c>
      <c r="T184">
        <v>0</v>
      </c>
      <c r="U184">
        <v>5</v>
      </c>
      <c r="V184">
        <v>2.8</v>
      </c>
      <c r="W184">
        <v>3.6</v>
      </c>
      <c r="X184" t="s">
        <v>45</v>
      </c>
      <c r="Y184">
        <v>0</v>
      </c>
      <c r="Z184">
        <v>2</v>
      </c>
      <c r="AA184">
        <v>5.7</v>
      </c>
      <c r="AB184">
        <v>1</v>
      </c>
      <c r="AC184" t="s">
        <v>46</v>
      </c>
      <c r="AE184">
        <v>0</v>
      </c>
      <c r="AF184">
        <v>0</v>
      </c>
      <c r="AG184" t="s">
        <v>47</v>
      </c>
      <c r="AH184" t="s">
        <v>83</v>
      </c>
      <c r="AI184" t="s">
        <v>49</v>
      </c>
      <c r="AJ184" s="1" t="s">
        <v>347</v>
      </c>
      <c r="AK184" s="1" t="s">
        <v>84</v>
      </c>
      <c r="AL184">
        <v>0</v>
      </c>
    </row>
    <row r="185" spans="1:38" x14ac:dyDescent="0.35">
      <c r="A185" t="s">
        <v>348</v>
      </c>
      <c r="B185" t="s">
        <v>98</v>
      </c>
      <c r="C185" t="s">
        <v>99</v>
      </c>
      <c r="D185">
        <v>4.4000000000000004</v>
      </c>
      <c r="E185" t="s">
        <v>62</v>
      </c>
      <c r="F185">
        <v>32</v>
      </c>
      <c r="G185" t="s">
        <v>68</v>
      </c>
      <c r="H185" t="s">
        <v>43</v>
      </c>
      <c r="I185">
        <v>4</v>
      </c>
      <c r="J185">
        <v>4.2</v>
      </c>
      <c r="K185">
        <v>5</v>
      </c>
      <c r="L185">
        <v>3</v>
      </c>
      <c r="M185">
        <v>12</v>
      </c>
      <c r="N185">
        <v>0</v>
      </c>
      <c r="O185" t="s">
        <v>56</v>
      </c>
      <c r="P185">
        <v>85000</v>
      </c>
      <c r="Q185">
        <v>12.9</v>
      </c>
      <c r="R185">
        <v>3.8</v>
      </c>
      <c r="S185">
        <v>3.5</v>
      </c>
      <c r="T185">
        <v>0</v>
      </c>
      <c r="U185">
        <v>3.3</v>
      </c>
      <c r="V185">
        <v>4.2</v>
      </c>
      <c r="W185">
        <v>2.7</v>
      </c>
      <c r="X185" t="s">
        <v>45</v>
      </c>
      <c r="Y185">
        <v>1</v>
      </c>
      <c r="Z185">
        <v>2</v>
      </c>
      <c r="AA185">
        <v>0.7</v>
      </c>
      <c r="AB185">
        <v>0</v>
      </c>
      <c r="AC185" t="s">
        <v>46</v>
      </c>
      <c r="AE185">
        <v>0</v>
      </c>
      <c r="AF185">
        <v>0</v>
      </c>
      <c r="AG185" t="s">
        <v>47</v>
      </c>
      <c r="AH185" t="s">
        <v>76</v>
      </c>
      <c r="AI185" t="s">
        <v>64</v>
      </c>
      <c r="AJ185">
        <v>3.4</v>
      </c>
      <c r="AK185" s="1" t="s">
        <v>115</v>
      </c>
      <c r="AL185">
        <v>0</v>
      </c>
    </row>
    <row r="186" spans="1:38" x14ac:dyDescent="0.35">
      <c r="A186" t="s">
        <v>349</v>
      </c>
      <c r="B186" t="s">
        <v>39</v>
      </c>
      <c r="C186" t="s">
        <v>66</v>
      </c>
      <c r="D186">
        <v>2.4</v>
      </c>
      <c r="E186" t="s">
        <v>81</v>
      </c>
      <c r="F186">
        <v>34</v>
      </c>
      <c r="G186" t="s">
        <v>68</v>
      </c>
      <c r="H186" t="s">
        <v>63</v>
      </c>
      <c r="I186">
        <v>3</v>
      </c>
      <c r="J186">
        <v>17.600000000000001</v>
      </c>
      <c r="K186">
        <v>6</v>
      </c>
      <c r="L186">
        <v>0</v>
      </c>
      <c r="M186">
        <v>12</v>
      </c>
      <c r="N186">
        <v>0</v>
      </c>
      <c r="O186" t="s">
        <v>82</v>
      </c>
      <c r="P186">
        <v>32500</v>
      </c>
      <c r="Q186">
        <v>8.6999999999999993</v>
      </c>
      <c r="R186">
        <v>4.5</v>
      </c>
      <c r="S186">
        <v>0.8</v>
      </c>
      <c r="T186">
        <v>0</v>
      </c>
      <c r="U186">
        <v>2.4</v>
      </c>
      <c r="V186">
        <v>2.5</v>
      </c>
      <c r="W186">
        <v>4.3</v>
      </c>
      <c r="X186" t="s">
        <v>45</v>
      </c>
      <c r="Y186">
        <v>0</v>
      </c>
      <c r="Z186">
        <v>0</v>
      </c>
      <c r="AB186">
        <v>2</v>
      </c>
      <c r="AC186" t="s">
        <v>46</v>
      </c>
      <c r="AE186">
        <v>1</v>
      </c>
      <c r="AF186">
        <v>0</v>
      </c>
      <c r="AG186" t="s">
        <v>75</v>
      </c>
      <c r="AH186" t="s">
        <v>48</v>
      </c>
      <c r="AI186" t="s">
        <v>49</v>
      </c>
      <c r="AJ186" s="1" t="s">
        <v>159</v>
      </c>
      <c r="AK186">
        <v>0.25</v>
      </c>
      <c r="AL186">
        <v>0</v>
      </c>
    </row>
    <row r="187" spans="1:38" x14ac:dyDescent="0.35">
      <c r="A187" t="s">
        <v>350</v>
      </c>
      <c r="B187" t="s">
        <v>39</v>
      </c>
      <c r="C187" t="s">
        <v>88</v>
      </c>
      <c r="D187">
        <v>1.3</v>
      </c>
      <c r="E187" t="s">
        <v>41</v>
      </c>
      <c r="F187">
        <v>29</v>
      </c>
      <c r="G187" t="s">
        <v>54</v>
      </c>
      <c r="H187" t="s">
        <v>43</v>
      </c>
      <c r="I187">
        <v>4</v>
      </c>
      <c r="J187">
        <v>3.7</v>
      </c>
      <c r="K187">
        <v>7</v>
      </c>
      <c r="L187">
        <v>2</v>
      </c>
      <c r="M187">
        <v>12</v>
      </c>
      <c r="N187">
        <v>0</v>
      </c>
      <c r="O187" t="s">
        <v>44</v>
      </c>
      <c r="P187">
        <v>63500</v>
      </c>
      <c r="Q187">
        <v>5</v>
      </c>
      <c r="R187">
        <v>4.0999999999999996</v>
      </c>
      <c r="S187">
        <v>1.5</v>
      </c>
      <c r="T187">
        <v>0</v>
      </c>
      <c r="U187">
        <v>4.0999999999999996</v>
      </c>
      <c r="V187">
        <v>5</v>
      </c>
      <c r="W187">
        <v>4.9000000000000004</v>
      </c>
      <c r="X187" t="s">
        <v>89</v>
      </c>
      <c r="Y187">
        <v>0</v>
      </c>
      <c r="Z187">
        <v>0</v>
      </c>
      <c r="AB187">
        <v>0</v>
      </c>
      <c r="AC187" t="s">
        <v>46</v>
      </c>
      <c r="AE187">
        <v>1</v>
      </c>
      <c r="AF187">
        <v>0</v>
      </c>
      <c r="AG187" t="s">
        <v>75</v>
      </c>
      <c r="AH187" t="s">
        <v>48</v>
      </c>
      <c r="AI187" t="s">
        <v>64</v>
      </c>
      <c r="AJ187" s="1" t="s">
        <v>351</v>
      </c>
      <c r="AK187" s="1" t="s">
        <v>115</v>
      </c>
      <c r="AL187">
        <v>0</v>
      </c>
    </row>
    <row r="188" spans="1:38" x14ac:dyDescent="0.35">
      <c r="A188" t="s">
        <v>352</v>
      </c>
      <c r="B188" t="s">
        <v>98</v>
      </c>
      <c r="C188" t="s">
        <v>148</v>
      </c>
      <c r="D188">
        <v>0.6</v>
      </c>
      <c r="E188" t="s">
        <v>62</v>
      </c>
      <c r="F188">
        <v>30</v>
      </c>
      <c r="G188" t="s">
        <v>68</v>
      </c>
      <c r="H188" t="s">
        <v>94</v>
      </c>
      <c r="I188">
        <v>0</v>
      </c>
      <c r="J188">
        <v>27.2</v>
      </c>
      <c r="K188">
        <v>5</v>
      </c>
      <c r="L188">
        <v>1</v>
      </c>
      <c r="M188">
        <v>12</v>
      </c>
      <c r="N188">
        <v>0</v>
      </c>
      <c r="O188" t="s">
        <v>293</v>
      </c>
      <c r="P188">
        <v>111900</v>
      </c>
      <c r="Q188">
        <v>8.9</v>
      </c>
      <c r="R188">
        <v>4.4000000000000004</v>
      </c>
      <c r="S188">
        <v>1.2</v>
      </c>
      <c r="T188">
        <v>0</v>
      </c>
      <c r="U188">
        <v>3.5</v>
      </c>
      <c r="V188">
        <v>3</v>
      </c>
      <c r="W188">
        <v>3.4</v>
      </c>
      <c r="X188" t="s">
        <v>45</v>
      </c>
      <c r="Y188">
        <v>0</v>
      </c>
      <c r="Z188">
        <v>4</v>
      </c>
      <c r="AA188">
        <v>0.3</v>
      </c>
      <c r="AB188">
        <v>1</v>
      </c>
      <c r="AC188" t="s">
        <v>46</v>
      </c>
      <c r="AE188">
        <v>0</v>
      </c>
      <c r="AF188">
        <v>0</v>
      </c>
      <c r="AG188" t="s">
        <v>47</v>
      </c>
      <c r="AH188" t="s">
        <v>95</v>
      </c>
      <c r="AI188" t="s">
        <v>57</v>
      </c>
      <c r="AJ188" s="1" t="s">
        <v>71</v>
      </c>
      <c r="AK188">
        <v>0</v>
      </c>
      <c r="AL188">
        <v>0</v>
      </c>
    </row>
    <row r="189" spans="1:38" x14ac:dyDescent="0.35">
      <c r="A189" t="s">
        <v>353</v>
      </c>
      <c r="B189" t="s">
        <v>73</v>
      </c>
      <c r="C189" t="s">
        <v>113</v>
      </c>
      <c r="D189">
        <v>11.2</v>
      </c>
      <c r="E189" t="s">
        <v>67</v>
      </c>
      <c r="F189">
        <v>33</v>
      </c>
      <c r="G189" t="s">
        <v>42</v>
      </c>
      <c r="H189" t="s">
        <v>55</v>
      </c>
      <c r="I189">
        <v>2</v>
      </c>
      <c r="J189">
        <v>21.2</v>
      </c>
      <c r="K189">
        <v>7</v>
      </c>
      <c r="L189">
        <v>3</v>
      </c>
      <c r="M189">
        <v>12</v>
      </c>
      <c r="N189">
        <v>0</v>
      </c>
      <c r="O189" t="s">
        <v>70</v>
      </c>
      <c r="P189">
        <v>41900</v>
      </c>
      <c r="Q189">
        <v>8.8000000000000007</v>
      </c>
      <c r="R189">
        <v>3.6</v>
      </c>
      <c r="S189">
        <v>0</v>
      </c>
      <c r="T189">
        <v>0</v>
      </c>
      <c r="U189">
        <v>2.2999999999999998</v>
      </c>
      <c r="V189">
        <v>3.3</v>
      </c>
      <c r="W189">
        <v>4.8</v>
      </c>
      <c r="X189" t="s">
        <v>45</v>
      </c>
      <c r="Y189">
        <v>0</v>
      </c>
      <c r="Z189">
        <v>2</v>
      </c>
      <c r="AA189">
        <v>4.8</v>
      </c>
      <c r="AB189">
        <v>0</v>
      </c>
      <c r="AC189" t="s">
        <v>46</v>
      </c>
      <c r="AE189">
        <v>0</v>
      </c>
      <c r="AF189">
        <v>0</v>
      </c>
      <c r="AG189" t="s">
        <v>47</v>
      </c>
      <c r="AH189" t="s">
        <v>83</v>
      </c>
      <c r="AI189" t="s">
        <v>57</v>
      </c>
      <c r="AJ189" s="1" t="s">
        <v>137</v>
      </c>
      <c r="AK189" s="1" t="s">
        <v>84</v>
      </c>
      <c r="AL189">
        <v>0</v>
      </c>
    </row>
    <row r="190" spans="1:38" x14ac:dyDescent="0.35">
      <c r="A190" t="s">
        <v>354</v>
      </c>
      <c r="B190" t="s">
        <v>39</v>
      </c>
      <c r="C190" t="s">
        <v>66</v>
      </c>
      <c r="D190">
        <v>0.8</v>
      </c>
      <c r="E190" t="s">
        <v>110</v>
      </c>
      <c r="F190">
        <v>22</v>
      </c>
      <c r="G190" t="s">
        <v>54</v>
      </c>
      <c r="H190" t="s">
        <v>55</v>
      </c>
      <c r="I190">
        <v>2</v>
      </c>
      <c r="J190">
        <v>30.5</v>
      </c>
      <c r="K190">
        <v>8</v>
      </c>
      <c r="L190">
        <v>3</v>
      </c>
      <c r="M190">
        <v>12</v>
      </c>
      <c r="N190">
        <v>0</v>
      </c>
      <c r="O190" t="s">
        <v>44</v>
      </c>
      <c r="P190">
        <v>52600</v>
      </c>
      <c r="Q190">
        <v>15.5</v>
      </c>
      <c r="R190">
        <v>3.6</v>
      </c>
      <c r="S190">
        <v>0.3</v>
      </c>
      <c r="T190">
        <v>0</v>
      </c>
      <c r="U190">
        <v>3.6</v>
      </c>
      <c r="V190">
        <v>4.5999999999999996</v>
      </c>
      <c r="W190">
        <v>4.0999999999999996</v>
      </c>
      <c r="X190" t="s">
        <v>45</v>
      </c>
      <c r="Y190">
        <v>0</v>
      </c>
      <c r="Z190">
        <v>0</v>
      </c>
      <c r="AB190">
        <v>0</v>
      </c>
      <c r="AC190" t="s">
        <v>46</v>
      </c>
      <c r="AE190">
        <v>1</v>
      </c>
      <c r="AF190">
        <v>0</v>
      </c>
      <c r="AG190" t="s">
        <v>75</v>
      </c>
      <c r="AH190" t="s">
        <v>95</v>
      </c>
      <c r="AI190" t="s">
        <v>57</v>
      </c>
      <c r="AJ190">
        <v>4.0999999999999996</v>
      </c>
      <c r="AK190" s="1" t="s">
        <v>84</v>
      </c>
      <c r="AL190">
        <v>0</v>
      </c>
    </row>
    <row r="191" spans="1:38" x14ac:dyDescent="0.35">
      <c r="A191" t="s">
        <v>355</v>
      </c>
      <c r="B191" t="s">
        <v>98</v>
      </c>
      <c r="C191" t="s">
        <v>99</v>
      </c>
      <c r="D191">
        <v>9.1</v>
      </c>
      <c r="E191" t="s">
        <v>62</v>
      </c>
      <c r="F191">
        <v>42</v>
      </c>
      <c r="G191" t="s">
        <v>68</v>
      </c>
      <c r="H191" t="s">
        <v>55</v>
      </c>
      <c r="I191">
        <v>0</v>
      </c>
      <c r="J191">
        <v>10.199999999999999</v>
      </c>
      <c r="K191">
        <v>8</v>
      </c>
      <c r="L191">
        <v>3</v>
      </c>
      <c r="M191">
        <v>12</v>
      </c>
      <c r="N191">
        <v>0</v>
      </c>
      <c r="O191" t="s">
        <v>293</v>
      </c>
      <c r="P191">
        <v>124800</v>
      </c>
      <c r="Q191">
        <v>9.5</v>
      </c>
      <c r="R191">
        <v>2.9</v>
      </c>
      <c r="S191">
        <v>1.1000000000000001</v>
      </c>
      <c r="T191">
        <v>0</v>
      </c>
      <c r="U191">
        <v>5</v>
      </c>
      <c r="V191">
        <v>3.4</v>
      </c>
      <c r="W191">
        <v>5</v>
      </c>
      <c r="X191" t="s">
        <v>89</v>
      </c>
      <c r="Y191">
        <v>0</v>
      </c>
      <c r="Z191">
        <v>0</v>
      </c>
      <c r="AB191">
        <v>0</v>
      </c>
      <c r="AC191" t="s">
        <v>46</v>
      </c>
      <c r="AE191">
        <v>1</v>
      </c>
      <c r="AF191">
        <v>0</v>
      </c>
      <c r="AG191" t="s">
        <v>75</v>
      </c>
      <c r="AH191" t="s">
        <v>83</v>
      </c>
      <c r="AI191" t="s">
        <v>49</v>
      </c>
      <c r="AJ191" s="1" t="s">
        <v>356</v>
      </c>
      <c r="AK191">
        <v>0</v>
      </c>
      <c r="AL191">
        <v>0</v>
      </c>
    </row>
    <row r="192" spans="1:38" x14ac:dyDescent="0.35">
      <c r="A192" t="s">
        <v>357</v>
      </c>
      <c r="B192" t="s">
        <v>60</v>
      </c>
      <c r="C192" t="s">
        <v>61</v>
      </c>
      <c r="D192">
        <v>4</v>
      </c>
      <c r="E192" t="s">
        <v>62</v>
      </c>
      <c r="F192">
        <v>30</v>
      </c>
      <c r="G192" t="s">
        <v>68</v>
      </c>
      <c r="H192" t="s">
        <v>55</v>
      </c>
      <c r="I192">
        <v>2</v>
      </c>
      <c r="J192">
        <v>8.6999999999999993</v>
      </c>
      <c r="K192">
        <v>9</v>
      </c>
      <c r="L192">
        <v>2</v>
      </c>
      <c r="M192">
        <v>12</v>
      </c>
      <c r="N192">
        <v>0</v>
      </c>
      <c r="O192" t="s">
        <v>56</v>
      </c>
      <c r="P192">
        <v>82000</v>
      </c>
      <c r="Q192">
        <v>4.9000000000000004</v>
      </c>
      <c r="R192">
        <v>3.9</v>
      </c>
      <c r="S192">
        <v>1.9</v>
      </c>
      <c r="T192">
        <v>0</v>
      </c>
      <c r="U192">
        <v>4.4000000000000004</v>
      </c>
      <c r="V192">
        <v>4.3</v>
      </c>
      <c r="W192">
        <v>3.8</v>
      </c>
      <c r="X192" t="s">
        <v>45</v>
      </c>
      <c r="Y192">
        <v>0</v>
      </c>
      <c r="Z192">
        <v>0</v>
      </c>
      <c r="AB192">
        <v>0</v>
      </c>
      <c r="AC192" t="s">
        <v>46</v>
      </c>
      <c r="AE192">
        <v>1</v>
      </c>
      <c r="AF192">
        <v>0</v>
      </c>
      <c r="AG192" t="s">
        <v>75</v>
      </c>
      <c r="AH192" t="s">
        <v>76</v>
      </c>
      <c r="AI192" t="s">
        <v>64</v>
      </c>
      <c r="AJ192" s="1" t="s">
        <v>284</v>
      </c>
      <c r="AK192" s="1" t="s">
        <v>84</v>
      </c>
      <c r="AL192">
        <v>0</v>
      </c>
    </row>
    <row r="193" spans="1:38" x14ac:dyDescent="0.35">
      <c r="A193" t="s">
        <v>358</v>
      </c>
      <c r="B193" t="s">
        <v>98</v>
      </c>
      <c r="C193" t="s">
        <v>99</v>
      </c>
      <c r="D193">
        <v>4.5</v>
      </c>
      <c r="E193" t="s">
        <v>81</v>
      </c>
      <c r="F193">
        <v>28</v>
      </c>
      <c r="G193" t="s">
        <v>42</v>
      </c>
      <c r="H193" t="s">
        <v>43</v>
      </c>
      <c r="I193">
        <v>3</v>
      </c>
      <c r="J193">
        <v>7</v>
      </c>
      <c r="K193">
        <v>8</v>
      </c>
      <c r="L193">
        <v>4</v>
      </c>
      <c r="M193">
        <v>12</v>
      </c>
      <c r="N193">
        <v>0</v>
      </c>
      <c r="O193" t="s">
        <v>82</v>
      </c>
      <c r="P193">
        <v>25400</v>
      </c>
      <c r="Q193">
        <v>4</v>
      </c>
      <c r="R193">
        <v>2</v>
      </c>
      <c r="S193">
        <v>1.8</v>
      </c>
      <c r="T193">
        <v>0</v>
      </c>
      <c r="U193">
        <v>2.4</v>
      </c>
      <c r="V193">
        <v>1.4</v>
      </c>
      <c r="W193">
        <v>3.5</v>
      </c>
      <c r="X193" t="s">
        <v>45</v>
      </c>
      <c r="Y193">
        <v>0</v>
      </c>
      <c r="Z193">
        <v>0</v>
      </c>
      <c r="AB193">
        <v>1</v>
      </c>
      <c r="AC193" t="s">
        <v>46</v>
      </c>
      <c r="AE193">
        <v>1</v>
      </c>
      <c r="AF193">
        <v>0</v>
      </c>
      <c r="AG193" t="s">
        <v>75</v>
      </c>
      <c r="AH193" t="s">
        <v>76</v>
      </c>
      <c r="AI193" t="s">
        <v>64</v>
      </c>
      <c r="AJ193" s="1" t="s">
        <v>359</v>
      </c>
      <c r="AK193">
        <v>0.25</v>
      </c>
      <c r="AL193">
        <v>0</v>
      </c>
    </row>
    <row r="194" spans="1:38" x14ac:dyDescent="0.35">
      <c r="A194" t="s">
        <v>360</v>
      </c>
      <c r="B194" t="s">
        <v>73</v>
      </c>
      <c r="C194" t="s">
        <v>113</v>
      </c>
      <c r="D194">
        <v>4.3</v>
      </c>
      <c r="E194" t="s">
        <v>67</v>
      </c>
      <c r="F194">
        <v>28</v>
      </c>
      <c r="G194" t="s">
        <v>68</v>
      </c>
      <c r="H194" t="s">
        <v>55</v>
      </c>
      <c r="I194">
        <v>2</v>
      </c>
      <c r="J194">
        <v>40.799999999999997</v>
      </c>
      <c r="K194">
        <v>4</v>
      </c>
      <c r="L194">
        <v>2</v>
      </c>
      <c r="M194">
        <v>12</v>
      </c>
      <c r="N194">
        <v>0</v>
      </c>
      <c r="O194" t="s">
        <v>70</v>
      </c>
      <c r="P194">
        <v>37800</v>
      </c>
      <c r="Q194">
        <v>7.8</v>
      </c>
      <c r="R194">
        <v>3.1</v>
      </c>
      <c r="S194">
        <v>0.2</v>
      </c>
      <c r="T194">
        <v>0</v>
      </c>
      <c r="U194">
        <v>3.3</v>
      </c>
      <c r="V194">
        <v>2.8</v>
      </c>
      <c r="W194">
        <v>4.0999999999999996</v>
      </c>
      <c r="X194" t="s">
        <v>45</v>
      </c>
      <c r="Y194">
        <v>0</v>
      </c>
      <c r="Z194">
        <v>0</v>
      </c>
      <c r="AB194">
        <v>0</v>
      </c>
      <c r="AC194" t="s">
        <v>46</v>
      </c>
      <c r="AE194">
        <v>1</v>
      </c>
      <c r="AF194">
        <v>0</v>
      </c>
      <c r="AG194" t="s">
        <v>75</v>
      </c>
      <c r="AH194" t="s">
        <v>76</v>
      </c>
      <c r="AI194" t="s">
        <v>57</v>
      </c>
      <c r="AJ194">
        <v>3.4</v>
      </c>
      <c r="AK194" s="1" t="s">
        <v>84</v>
      </c>
      <c r="AL194">
        <v>0</v>
      </c>
    </row>
    <row r="195" spans="1:38" x14ac:dyDescent="0.35">
      <c r="A195" t="s">
        <v>361</v>
      </c>
      <c r="B195" t="s">
        <v>60</v>
      </c>
      <c r="C195" t="s">
        <v>80</v>
      </c>
      <c r="D195">
        <v>5.4</v>
      </c>
      <c r="E195" t="s">
        <v>110</v>
      </c>
      <c r="F195">
        <v>29</v>
      </c>
      <c r="G195" t="s">
        <v>42</v>
      </c>
      <c r="H195" t="s">
        <v>69</v>
      </c>
      <c r="I195">
        <v>1</v>
      </c>
      <c r="J195">
        <v>15.7</v>
      </c>
      <c r="K195">
        <v>9</v>
      </c>
      <c r="L195">
        <v>1</v>
      </c>
      <c r="M195">
        <v>12</v>
      </c>
      <c r="N195">
        <v>0</v>
      </c>
      <c r="O195" t="s">
        <v>44</v>
      </c>
      <c r="P195">
        <v>53700</v>
      </c>
      <c r="Q195">
        <v>2.6</v>
      </c>
      <c r="R195">
        <v>3.7</v>
      </c>
      <c r="S195">
        <v>0.4</v>
      </c>
      <c r="T195">
        <v>0</v>
      </c>
      <c r="U195">
        <v>3.7</v>
      </c>
      <c r="V195">
        <v>3.6</v>
      </c>
      <c r="W195">
        <v>3.1</v>
      </c>
      <c r="X195" t="s">
        <v>45</v>
      </c>
      <c r="Y195">
        <v>0</v>
      </c>
      <c r="Z195">
        <v>0</v>
      </c>
      <c r="AB195">
        <v>0</v>
      </c>
      <c r="AC195" t="s">
        <v>124</v>
      </c>
      <c r="AD195" s="2">
        <v>45973</v>
      </c>
      <c r="AE195">
        <v>1</v>
      </c>
      <c r="AF195">
        <v>0</v>
      </c>
      <c r="AG195" t="s">
        <v>75</v>
      </c>
      <c r="AH195" t="s">
        <v>83</v>
      </c>
      <c r="AI195" t="s">
        <v>49</v>
      </c>
      <c r="AJ195" s="1" t="s">
        <v>77</v>
      </c>
      <c r="AK195">
        <v>8.3333333333333301E-2</v>
      </c>
      <c r="AL195">
        <v>1</v>
      </c>
    </row>
    <row r="196" spans="1:38" x14ac:dyDescent="0.35">
      <c r="A196" t="s">
        <v>362</v>
      </c>
      <c r="B196" t="s">
        <v>73</v>
      </c>
      <c r="C196" t="s">
        <v>121</v>
      </c>
      <c r="D196">
        <v>2</v>
      </c>
      <c r="E196" t="s">
        <v>67</v>
      </c>
      <c r="F196">
        <v>25</v>
      </c>
      <c r="G196" t="s">
        <v>42</v>
      </c>
      <c r="H196" t="s">
        <v>55</v>
      </c>
      <c r="I196">
        <v>3</v>
      </c>
      <c r="J196">
        <v>3.1</v>
      </c>
      <c r="K196">
        <v>15</v>
      </c>
      <c r="L196">
        <v>2</v>
      </c>
      <c r="M196">
        <v>12</v>
      </c>
      <c r="N196">
        <v>0</v>
      </c>
      <c r="O196" t="s">
        <v>70</v>
      </c>
      <c r="P196">
        <v>50000</v>
      </c>
      <c r="Q196">
        <v>5.0999999999999996</v>
      </c>
      <c r="R196">
        <v>4.5</v>
      </c>
      <c r="S196">
        <v>1.7</v>
      </c>
      <c r="T196">
        <v>0</v>
      </c>
      <c r="U196">
        <v>1.7</v>
      </c>
      <c r="V196">
        <v>4.2</v>
      </c>
      <c r="W196">
        <v>3.7</v>
      </c>
      <c r="X196" t="s">
        <v>45</v>
      </c>
      <c r="Y196">
        <v>0</v>
      </c>
      <c r="Z196">
        <v>2</v>
      </c>
      <c r="AA196">
        <v>0</v>
      </c>
      <c r="AB196">
        <v>0</v>
      </c>
      <c r="AC196" t="s">
        <v>46</v>
      </c>
      <c r="AE196">
        <v>0</v>
      </c>
      <c r="AF196">
        <v>0</v>
      </c>
      <c r="AG196" t="s">
        <v>47</v>
      </c>
      <c r="AH196" t="s">
        <v>48</v>
      </c>
      <c r="AI196" t="s">
        <v>64</v>
      </c>
      <c r="AJ196" s="1" t="s">
        <v>249</v>
      </c>
      <c r="AK196">
        <v>0.25</v>
      </c>
      <c r="AL196">
        <v>0</v>
      </c>
    </row>
    <row r="197" spans="1:38" x14ac:dyDescent="0.35">
      <c r="A197" t="s">
        <v>363</v>
      </c>
      <c r="B197" t="s">
        <v>73</v>
      </c>
      <c r="C197" t="s">
        <v>74</v>
      </c>
      <c r="D197">
        <v>0.4</v>
      </c>
      <c r="E197" t="s">
        <v>67</v>
      </c>
      <c r="F197">
        <v>21</v>
      </c>
      <c r="G197" t="s">
        <v>42</v>
      </c>
      <c r="H197" t="s">
        <v>55</v>
      </c>
      <c r="I197">
        <v>5</v>
      </c>
      <c r="J197">
        <v>25</v>
      </c>
      <c r="K197">
        <v>5</v>
      </c>
      <c r="L197">
        <v>0</v>
      </c>
      <c r="M197">
        <v>12</v>
      </c>
      <c r="N197">
        <v>0</v>
      </c>
      <c r="O197" t="s">
        <v>82</v>
      </c>
      <c r="P197">
        <v>34000</v>
      </c>
      <c r="Q197">
        <v>7</v>
      </c>
      <c r="R197">
        <v>2.8</v>
      </c>
      <c r="S197">
        <v>1.8</v>
      </c>
      <c r="T197">
        <v>0</v>
      </c>
      <c r="U197">
        <v>1.8</v>
      </c>
      <c r="V197">
        <v>3.9</v>
      </c>
      <c r="W197">
        <v>4.5</v>
      </c>
      <c r="X197" t="s">
        <v>45</v>
      </c>
      <c r="Y197">
        <v>0</v>
      </c>
      <c r="Z197">
        <v>0</v>
      </c>
      <c r="AB197">
        <v>0</v>
      </c>
      <c r="AC197" t="s">
        <v>124</v>
      </c>
      <c r="AD197" s="2">
        <v>45599</v>
      </c>
      <c r="AE197">
        <v>1</v>
      </c>
      <c r="AF197">
        <v>0</v>
      </c>
      <c r="AG197" t="s">
        <v>75</v>
      </c>
      <c r="AH197" t="s">
        <v>95</v>
      </c>
      <c r="AI197" t="s">
        <v>57</v>
      </c>
      <c r="AJ197">
        <v>3.4</v>
      </c>
      <c r="AK197" s="1" t="s">
        <v>127</v>
      </c>
      <c r="AL197">
        <v>1</v>
      </c>
    </row>
    <row r="198" spans="1:38" x14ac:dyDescent="0.35">
      <c r="A198" t="s">
        <v>364</v>
      </c>
      <c r="B198" t="s">
        <v>117</v>
      </c>
      <c r="C198" t="s">
        <v>197</v>
      </c>
      <c r="D198">
        <v>2.4</v>
      </c>
      <c r="E198" t="s">
        <v>81</v>
      </c>
      <c r="F198">
        <v>22</v>
      </c>
      <c r="G198" t="s">
        <v>42</v>
      </c>
      <c r="H198" t="s">
        <v>63</v>
      </c>
      <c r="I198">
        <v>4</v>
      </c>
      <c r="J198">
        <v>8.5</v>
      </c>
      <c r="K198">
        <v>7</v>
      </c>
      <c r="L198">
        <v>2</v>
      </c>
      <c r="M198">
        <v>12</v>
      </c>
      <c r="N198">
        <v>0</v>
      </c>
      <c r="O198" t="s">
        <v>82</v>
      </c>
      <c r="P198">
        <v>23800</v>
      </c>
      <c r="Q198">
        <v>6.3</v>
      </c>
      <c r="R198">
        <v>4.0999999999999996</v>
      </c>
      <c r="S198">
        <v>0.2</v>
      </c>
      <c r="T198">
        <v>0</v>
      </c>
      <c r="U198">
        <v>3.4</v>
      </c>
      <c r="V198">
        <v>3.8</v>
      </c>
      <c r="W198">
        <v>4.0999999999999996</v>
      </c>
      <c r="X198" t="s">
        <v>45</v>
      </c>
      <c r="Y198">
        <v>0</v>
      </c>
      <c r="Z198">
        <v>1</v>
      </c>
      <c r="AA198">
        <v>1.3</v>
      </c>
      <c r="AB198">
        <v>1</v>
      </c>
      <c r="AC198" t="s">
        <v>46</v>
      </c>
      <c r="AE198">
        <v>0</v>
      </c>
      <c r="AF198">
        <v>0</v>
      </c>
      <c r="AG198" t="s">
        <v>47</v>
      </c>
      <c r="AH198" t="s">
        <v>48</v>
      </c>
      <c r="AI198" t="s">
        <v>64</v>
      </c>
      <c r="AJ198" s="1" t="s">
        <v>365</v>
      </c>
      <c r="AK198" s="1" t="s">
        <v>115</v>
      </c>
      <c r="AL198">
        <v>0</v>
      </c>
    </row>
    <row r="199" spans="1:38" x14ac:dyDescent="0.35">
      <c r="A199" t="s">
        <v>366</v>
      </c>
      <c r="B199" t="s">
        <v>60</v>
      </c>
      <c r="C199" t="s">
        <v>107</v>
      </c>
      <c r="D199">
        <v>5.0999999999999996</v>
      </c>
      <c r="E199" t="s">
        <v>81</v>
      </c>
      <c r="F199">
        <v>30</v>
      </c>
      <c r="G199" t="s">
        <v>68</v>
      </c>
      <c r="H199" t="s">
        <v>69</v>
      </c>
      <c r="I199">
        <v>2</v>
      </c>
      <c r="J199">
        <v>0.4</v>
      </c>
      <c r="K199">
        <v>11</v>
      </c>
      <c r="L199">
        <v>2</v>
      </c>
      <c r="M199">
        <v>12</v>
      </c>
      <c r="N199">
        <v>0</v>
      </c>
      <c r="O199" t="s">
        <v>82</v>
      </c>
      <c r="P199">
        <v>26000</v>
      </c>
      <c r="Q199">
        <v>10.9</v>
      </c>
      <c r="R199">
        <v>3</v>
      </c>
      <c r="S199">
        <v>1.7</v>
      </c>
      <c r="T199">
        <v>0</v>
      </c>
      <c r="U199">
        <v>3.5</v>
      </c>
      <c r="V199">
        <v>4.2</v>
      </c>
      <c r="W199">
        <v>3.4</v>
      </c>
      <c r="X199" t="s">
        <v>45</v>
      </c>
      <c r="Y199">
        <v>0</v>
      </c>
      <c r="Z199">
        <v>2</v>
      </c>
      <c r="AA199">
        <v>4.7</v>
      </c>
      <c r="AB199">
        <v>1</v>
      </c>
      <c r="AC199" t="s">
        <v>46</v>
      </c>
      <c r="AE199">
        <v>0</v>
      </c>
      <c r="AF199">
        <v>0</v>
      </c>
      <c r="AG199" t="s">
        <v>47</v>
      </c>
      <c r="AH199" t="s">
        <v>83</v>
      </c>
      <c r="AI199" t="s">
        <v>64</v>
      </c>
      <c r="AJ199" s="1" t="s">
        <v>58</v>
      </c>
      <c r="AK199" s="1" t="s">
        <v>84</v>
      </c>
      <c r="AL199">
        <v>0</v>
      </c>
    </row>
    <row r="200" spans="1:38" x14ac:dyDescent="0.35">
      <c r="A200" t="s">
        <v>367</v>
      </c>
      <c r="B200" t="s">
        <v>73</v>
      </c>
      <c r="C200" t="s">
        <v>121</v>
      </c>
      <c r="D200">
        <v>1.5</v>
      </c>
      <c r="E200" t="s">
        <v>110</v>
      </c>
      <c r="F200">
        <v>25</v>
      </c>
      <c r="G200" t="s">
        <v>68</v>
      </c>
      <c r="H200" t="s">
        <v>63</v>
      </c>
      <c r="I200">
        <v>4</v>
      </c>
      <c r="J200">
        <v>5.0999999999999996</v>
      </c>
      <c r="K200">
        <v>11</v>
      </c>
      <c r="L200">
        <v>3</v>
      </c>
      <c r="M200">
        <v>12</v>
      </c>
      <c r="N200">
        <v>0</v>
      </c>
      <c r="O200" t="s">
        <v>44</v>
      </c>
      <c r="P200">
        <v>53400</v>
      </c>
      <c r="Q200">
        <v>5</v>
      </c>
      <c r="R200">
        <v>4.0999999999999996</v>
      </c>
      <c r="S200">
        <v>1.1000000000000001</v>
      </c>
      <c r="T200">
        <v>0</v>
      </c>
      <c r="U200">
        <v>1.6</v>
      </c>
      <c r="V200">
        <v>3.6</v>
      </c>
      <c r="W200">
        <v>3.6</v>
      </c>
      <c r="X200" t="s">
        <v>45</v>
      </c>
      <c r="Y200">
        <v>0</v>
      </c>
      <c r="Z200">
        <v>0</v>
      </c>
      <c r="AB200">
        <v>0</v>
      </c>
      <c r="AC200" t="s">
        <v>46</v>
      </c>
      <c r="AE200">
        <v>1</v>
      </c>
      <c r="AF200">
        <v>0</v>
      </c>
      <c r="AG200" t="s">
        <v>75</v>
      </c>
      <c r="AH200" t="s">
        <v>48</v>
      </c>
      <c r="AI200" t="s">
        <v>64</v>
      </c>
      <c r="AJ200" s="1" t="s">
        <v>141</v>
      </c>
      <c r="AK200" s="1" t="s">
        <v>115</v>
      </c>
      <c r="AL200">
        <v>0</v>
      </c>
    </row>
    <row r="201" spans="1:38" x14ac:dyDescent="0.35">
      <c r="A201" t="s">
        <v>368</v>
      </c>
      <c r="B201" t="s">
        <v>98</v>
      </c>
      <c r="C201" t="s">
        <v>148</v>
      </c>
      <c r="D201">
        <v>7.5</v>
      </c>
      <c r="E201" t="s">
        <v>110</v>
      </c>
      <c r="F201">
        <v>38</v>
      </c>
      <c r="G201" t="s">
        <v>68</v>
      </c>
      <c r="H201" t="s">
        <v>43</v>
      </c>
      <c r="I201">
        <v>3</v>
      </c>
      <c r="J201">
        <v>21.2</v>
      </c>
      <c r="K201">
        <v>11</v>
      </c>
      <c r="L201">
        <v>2</v>
      </c>
      <c r="M201">
        <v>12</v>
      </c>
      <c r="N201">
        <v>0</v>
      </c>
      <c r="O201" t="s">
        <v>44</v>
      </c>
      <c r="P201">
        <v>59600</v>
      </c>
      <c r="Q201">
        <v>0</v>
      </c>
      <c r="R201">
        <v>2.5</v>
      </c>
      <c r="S201">
        <v>0.9</v>
      </c>
      <c r="T201">
        <v>0</v>
      </c>
      <c r="U201">
        <v>3.6</v>
      </c>
      <c r="V201">
        <v>1.3</v>
      </c>
      <c r="W201">
        <v>4</v>
      </c>
      <c r="X201" t="s">
        <v>45</v>
      </c>
      <c r="Y201">
        <v>0</v>
      </c>
      <c r="Z201">
        <v>2</v>
      </c>
      <c r="AA201">
        <v>6.7</v>
      </c>
      <c r="AB201">
        <v>0</v>
      </c>
      <c r="AC201" t="s">
        <v>46</v>
      </c>
      <c r="AE201">
        <v>0</v>
      </c>
      <c r="AF201">
        <v>0</v>
      </c>
      <c r="AG201" t="s">
        <v>47</v>
      </c>
      <c r="AH201" t="s">
        <v>83</v>
      </c>
      <c r="AI201" t="s">
        <v>57</v>
      </c>
      <c r="AJ201" s="1" t="s">
        <v>268</v>
      </c>
      <c r="AK201">
        <v>0.25</v>
      </c>
      <c r="AL201">
        <v>0</v>
      </c>
    </row>
    <row r="202" spans="1:38" x14ac:dyDescent="0.35">
      <c r="A202" t="s">
        <v>369</v>
      </c>
      <c r="B202" t="s">
        <v>39</v>
      </c>
      <c r="C202" t="s">
        <v>66</v>
      </c>
      <c r="D202">
        <v>3.4</v>
      </c>
      <c r="E202" t="s">
        <v>110</v>
      </c>
      <c r="F202">
        <v>31</v>
      </c>
      <c r="G202" t="s">
        <v>42</v>
      </c>
      <c r="H202" t="s">
        <v>55</v>
      </c>
      <c r="I202">
        <v>4</v>
      </c>
      <c r="J202">
        <v>14</v>
      </c>
      <c r="K202">
        <v>16</v>
      </c>
      <c r="L202">
        <v>0</v>
      </c>
      <c r="M202">
        <v>12</v>
      </c>
      <c r="N202">
        <v>0</v>
      </c>
      <c r="O202" t="s">
        <v>70</v>
      </c>
      <c r="P202">
        <v>48600</v>
      </c>
      <c r="Q202">
        <v>1.3</v>
      </c>
      <c r="R202">
        <v>3.9</v>
      </c>
      <c r="S202">
        <v>4</v>
      </c>
      <c r="T202">
        <v>0</v>
      </c>
      <c r="U202">
        <v>4.3</v>
      </c>
      <c r="V202">
        <v>4.5</v>
      </c>
      <c r="W202">
        <v>4</v>
      </c>
      <c r="X202" t="s">
        <v>45</v>
      </c>
      <c r="Y202">
        <v>0</v>
      </c>
      <c r="Z202">
        <v>1</v>
      </c>
      <c r="AA202">
        <v>2.5</v>
      </c>
      <c r="AB202">
        <v>1</v>
      </c>
      <c r="AC202" t="s">
        <v>46</v>
      </c>
      <c r="AE202">
        <v>0</v>
      </c>
      <c r="AF202">
        <v>0</v>
      </c>
      <c r="AG202" t="s">
        <v>47</v>
      </c>
      <c r="AH202" t="s">
        <v>76</v>
      </c>
      <c r="AI202" t="s">
        <v>49</v>
      </c>
      <c r="AJ202" s="1" t="s">
        <v>193</v>
      </c>
      <c r="AK202" s="1" t="s">
        <v>115</v>
      </c>
      <c r="AL202">
        <v>0</v>
      </c>
    </row>
    <row r="203" spans="1:38" x14ac:dyDescent="0.35">
      <c r="A203" t="s">
        <v>370</v>
      </c>
      <c r="B203" t="s">
        <v>60</v>
      </c>
      <c r="C203" t="s">
        <v>80</v>
      </c>
      <c r="D203">
        <v>1.4</v>
      </c>
      <c r="E203" t="s">
        <v>41</v>
      </c>
      <c r="F203">
        <v>28</v>
      </c>
      <c r="G203" t="s">
        <v>42</v>
      </c>
      <c r="H203" t="s">
        <v>69</v>
      </c>
      <c r="I203">
        <v>4</v>
      </c>
      <c r="J203">
        <v>16.100000000000001</v>
      </c>
      <c r="K203">
        <v>10</v>
      </c>
      <c r="L203">
        <v>2</v>
      </c>
      <c r="M203">
        <v>12</v>
      </c>
      <c r="N203">
        <v>0</v>
      </c>
      <c r="O203" t="s">
        <v>44</v>
      </c>
      <c r="P203">
        <v>70200</v>
      </c>
      <c r="Q203">
        <v>7.9</v>
      </c>
      <c r="R203">
        <v>3.1</v>
      </c>
      <c r="S203">
        <v>1</v>
      </c>
      <c r="T203">
        <v>0</v>
      </c>
      <c r="U203">
        <v>3.1</v>
      </c>
      <c r="V203">
        <v>2.4</v>
      </c>
      <c r="W203">
        <v>4</v>
      </c>
      <c r="X203" t="s">
        <v>45</v>
      </c>
      <c r="Y203">
        <v>0</v>
      </c>
      <c r="Z203">
        <v>0</v>
      </c>
      <c r="AB203">
        <v>0</v>
      </c>
      <c r="AC203" t="s">
        <v>46</v>
      </c>
      <c r="AE203">
        <v>1</v>
      </c>
      <c r="AF203">
        <v>0</v>
      </c>
      <c r="AG203" t="s">
        <v>75</v>
      </c>
      <c r="AH203" t="s">
        <v>48</v>
      </c>
      <c r="AI203" t="s">
        <v>49</v>
      </c>
      <c r="AJ203" s="1" t="s">
        <v>100</v>
      </c>
      <c r="AK203" s="1" t="s">
        <v>115</v>
      </c>
      <c r="AL203">
        <v>0</v>
      </c>
    </row>
    <row r="204" spans="1:38" x14ac:dyDescent="0.35">
      <c r="A204" t="s">
        <v>371</v>
      </c>
      <c r="B204" t="s">
        <v>117</v>
      </c>
      <c r="C204" t="s">
        <v>197</v>
      </c>
      <c r="D204">
        <v>4.2</v>
      </c>
      <c r="E204" t="s">
        <v>67</v>
      </c>
      <c r="F204">
        <v>27</v>
      </c>
      <c r="G204" t="s">
        <v>42</v>
      </c>
      <c r="H204" t="s">
        <v>43</v>
      </c>
      <c r="I204">
        <v>2</v>
      </c>
      <c r="J204">
        <v>24.9</v>
      </c>
      <c r="K204">
        <v>7</v>
      </c>
      <c r="L204">
        <v>5</v>
      </c>
      <c r="M204">
        <v>12</v>
      </c>
      <c r="N204">
        <v>0</v>
      </c>
      <c r="O204" t="s">
        <v>70</v>
      </c>
      <c r="P204">
        <v>48400</v>
      </c>
      <c r="Q204">
        <v>5.7</v>
      </c>
      <c r="R204">
        <v>2.1</v>
      </c>
      <c r="S204">
        <v>0.7</v>
      </c>
      <c r="T204">
        <v>0</v>
      </c>
      <c r="U204">
        <v>3.4</v>
      </c>
      <c r="V204">
        <v>3.5</v>
      </c>
      <c r="W204">
        <v>3.7</v>
      </c>
      <c r="X204" t="s">
        <v>45</v>
      </c>
      <c r="Y204">
        <v>0</v>
      </c>
      <c r="Z204">
        <v>0</v>
      </c>
      <c r="AB204">
        <v>0</v>
      </c>
      <c r="AC204" t="s">
        <v>46</v>
      </c>
      <c r="AE204">
        <v>1</v>
      </c>
      <c r="AF204">
        <v>0</v>
      </c>
      <c r="AG204" t="s">
        <v>75</v>
      </c>
      <c r="AH204" t="s">
        <v>76</v>
      </c>
      <c r="AI204" t="s">
        <v>57</v>
      </c>
      <c r="AJ204" s="1" t="s">
        <v>149</v>
      </c>
      <c r="AK204" s="1" t="s">
        <v>84</v>
      </c>
      <c r="AL204">
        <v>0</v>
      </c>
    </row>
    <row r="205" spans="1:38" x14ac:dyDescent="0.35">
      <c r="A205" t="s">
        <v>372</v>
      </c>
      <c r="B205" t="s">
        <v>73</v>
      </c>
      <c r="C205" t="s">
        <v>113</v>
      </c>
      <c r="D205">
        <v>5.0999999999999996</v>
      </c>
      <c r="E205" t="s">
        <v>67</v>
      </c>
      <c r="F205">
        <v>31</v>
      </c>
      <c r="G205" t="s">
        <v>68</v>
      </c>
      <c r="H205" t="s">
        <v>55</v>
      </c>
      <c r="I205">
        <v>4</v>
      </c>
      <c r="J205">
        <v>1.6</v>
      </c>
      <c r="K205">
        <v>8</v>
      </c>
      <c r="L205">
        <v>2</v>
      </c>
      <c r="M205">
        <v>12</v>
      </c>
      <c r="N205">
        <v>0</v>
      </c>
      <c r="O205" t="s">
        <v>70</v>
      </c>
      <c r="P205">
        <v>39900</v>
      </c>
      <c r="Q205">
        <v>3.1</v>
      </c>
      <c r="R205">
        <v>3.1</v>
      </c>
      <c r="S205">
        <v>2.2999999999999998</v>
      </c>
      <c r="T205">
        <v>0</v>
      </c>
      <c r="U205">
        <v>3.8</v>
      </c>
      <c r="V205">
        <v>3.4</v>
      </c>
      <c r="W205">
        <v>2.7</v>
      </c>
      <c r="X205" t="s">
        <v>45</v>
      </c>
      <c r="Y205">
        <v>0</v>
      </c>
      <c r="Z205">
        <v>2</v>
      </c>
      <c r="AA205">
        <v>3.7</v>
      </c>
      <c r="AB205">
        <v>0</v>
      </c>
      <c r="AC205" t="s">
        <v>46</v>
      </c>
      <c r="AE205">
        <v>0</v>
      </c>
      <c r="AF205">
        <v>0</v>
      </c>
      <c r="AG205" t="s">
        <v>47</v>
      </c>
      <c r="AH205" t="s">
        <v>83</v>
      </c>
      <c r="AI205" t="s">
        <v>64</v>
      </c>
      <c r="AJ205" s="1" t="s">
        <v>108</v>
      </c>
      <c r="AK205" s="1" t="s">
        <v>115</v>
      </c>
      <c r="AL205">
        <v>0</v>
      </c>
    </row>
    <row r="206" spans="1:38" x14ac:dyDescent="0.35">
      <c r="A206" t="s">
        <v>373</v>
      </c>
      <c r="B206" t="s">
        <v>73</v>
      </c>
      <c r="C206" t="s">
        <v>113</v>
      </c>
      <c r="D206">
        <v>5.3</v>
      </c>
      <c r="E206" t="s">
        <v>81</v>
      </c>
      <c r="F206">
        <v>33</v>
      </c>
      <c r="G206" t="s">
        <v>42</v>
      </c>
      <c r="H206" t="s">
        <v>94</v>
      </c>
      <c r="I206">
        <v>2</v>
      </c>
      <c r="J206">
        <v>5.2</v>
      </c>
      <c r="K206">
        <v>6</v>
      </c>
      <c r="L206">
        <v>2</v>
      </c>
      <c r="M206">
        <v>12</v>
      </c>
      <c r="N206">
        <v>0</v>
      </c>
      <c r="O206" t="s">
        <v>82</v>
      </c>
      <c r="P206">
        <v>30500</v>
      </c>
      <c r="Q206">
        <v>15.8</v>
      </c>
      <c r="R206">
        <v>4.4000000000000004</v>
      </c>
      <c r="S206">
        <v>2.2000000000000002</v>
      </c>
      <c r="T206">
        <v>0</v>
      </c>
      <c r="U206">
        <v>3.7</v>
      </c>
      <c r="V206">
        <v>3.2</v>
      </c>
      <c r="W206">
        <v>2.9</v>
      </c>
      <c r="X206" t="s">
        <v>45</v>
      </c>
      <c r="Y206">
        <v>0</v>
      </c>
      <c r="Z206">
        <v>0</v>
      </c>
      <c r="AB206">
        <v>0</v>
      </c>
      <c r="AC206" t="s">
        <v>46</v>
      </c>
      <c r="AE206">
        <v>1</v>
      </c>
      <c r="AF206">
        <v>0</v>
      </c>
      <c r="AG206" t="s">
        <v>75</v>
      </c>
      <c r="AH206" t="s">
        <v>83</v>
      </c>
      <c r="AI206" t="s">
        <v>64</v>
      </c>
      <c r="AJ206" s="1" t="s">
        <v>235</v>
      </c>
      <c r="AK206" s="1" t="s">
        <v>84</v>
      </c>
      <c r="AL206">
        <v>0</v>
      </c>
    </row>
    <row r="207" spans="1:38" x14ac:dyDescent="0.35">
      <c r="A207" t="s">
        <v>374</v>
      </c>
      <c r="B207" t="s">
        <v>73</v>
      </c>
      <c r="C207" t="s">
        <v>74</v>
      </c>
      <c r="D207">
        <v>7.3</v>
      </c>
      <c r="E207" t="s">
        <v>81</v>
      </c>
      <c r="F207">
        <v>36</v>
      </c>
      <c r="G207" t="s">
        <v>42</v>
      </c>
      <c r="H207" t="s">
        <v>69</v>
      </c>
      <c r="I207">
        <v>2</v>
      </c>
      <c r="J207">
        <v>10.4</v>
      </c>
      <c r="K207">
        <v>6</v>
      </c>
      <c r="L207">
        <v>2</v>
      </c>
      <c r="M207">
        <v>12</v>
      </c>
      <c r="N207">
        <v>0</v>
      </c>
      <c r="O207" t="s">
        <v>70</v>
      </c>
      <c r="P207">
        <v>37100</v>
      </c>
      <c r="Q207">
        <v>11.3</v>
      </c>
      <c r="R207">
        <v>2.2999999999999998</v>
      </c>
      <c r="S207">
        <v>3.3</v>
      </c>
      <c r="T207">
        <v>0</v>
      </c>
      <c r="U207">
        <v>1.8</v>
      </c>
      <c r="V207">
        <v>2.2000000000000002</v>
      </c>
      <c r="W207">
        <v>3.8</v>
      </c>
      <c r="X207" t="s">
        <v>45</v>
      </c>
      <c r="Y207">
        <v>0</v>
      </c>
      <c r="Z207">
        <v>1</v>
      </c>
      <c r="AB207">
        <v>1</v>
      </c>
      <c r="AC207" t="s">
        <v>46</v>
      </c>
      <c r="AE207">
        <v>1</v>
      </c>
      <c r="AF207">
        <v>0</v>
      </c>
      <c r="AG207" t="s">
        <v>47</v>
      </c>
      <c r="AH207" t="s">
        <v>83</v>
      </c>
      <c r="AI207" t="s">
        <v>49</v>
      </c>
      <c r="AJ207">
        <v>2.6</v>
      </c>
      <c r="AK207" s="1" t="s">
        <v>84</v>
      </c>
      <c r="AL207">
        <v>0</v>
      </c>
    </row>
    <row r="208" spans="1:38" x14ac:dyDescent="0.35">
      <c r="A208" t="s">
        <v>375</v>
      </c>
      <c r="B208" t="s">
        <v>73</v>
      </c>
      <c r="C208" t="s">
        <v>177</v>
      </c>
      <c r="D208">
        <v>1</v>
      </c>
      <c r="E208" t="s">
        <v>67</v>
      </c>
      <c r="F208">
        <v>27</v>
      </c>
      <c r="G208" t="s">
        <v>68</v>
      </c>
      <c r="H208" t="s">
        <v>69</v>
      </c>
      <c r="I208">
        <v>4</v>
      </c>
      <c r="J208">
        <v>21.7</v>
      </c>
      <c r="K208">
        <v>7</v>
      </c>
      <c r="L208">
        <v>1</v>
      </c>
      <c r="M208">
        <v>12</v>
      </c>
      <c r="N208">
        <v>0</v>
      </c>
      <c r="O208" t="s">
        <v>82</v>
      </c>
      <c r="P208">
        <v>34800</v>
      </c>
      <c r="Q208">
        <v>7.8</v>
      </c>
      <c r="R208">
        <v>1.9</v>
      </c>
      <c r="S208">
        <v>2.1</v>
      </c>
      <c r="T208">
        <v>0</v>
      </c>
      <c r="U208">
        <v>2.5</v>
      </c>
      <c r="V208">
        <v>1.5</v>
      </c>
      <c r="W208">
        <v>4.0999999999999996</v>
      </c>
      <c r="X208" t="s">
        <v>45</v>
      </c>
      <c r="Y208">
        <v>0</v>
      </c>
      <c r="Z208">
        <v>1</v>
      </c>
      <c r="AA208">
        <v>0.6</v>
      </c>
      <c r="AB208">
        <v>0</v>
      </c>
      <c r="AC208" t="s">
        <v>46</v>
      </c>
      <c r="AE208">
        <v>0</v>
      </c>
      <c r="AF208">
        <v>0</v>
      </c>
      <c r="AG208" t="s">
        <v>47</v>
      </c>
      <c r="AH208" t="s">
        <v>95</v>
      </c>
      <c r="AI208" t="s">
        <v>57</v>
      </c>
      <c r="AJ208" s="1" t="s">
        <v>96</v>
      </c>
      <c r="AK208" s="1" t="s">
        <v>115</v>
      </c>
      <c r="AL208">
        <v>0</v>
      </c>
    </row>
    <row r="209" spans="1:38" x14ac:dyDescent="0.35">
      <c r="A209" t="s">
        <v>376</v>
      </c>
      <c r="B209" t="s">
        <v>39</v>
      </c>
      <c r="C209" t="s">
        <v>40</v>
      </c>
      <c r="D209">
        <v>7.3</v>
      </c>
      <c r="E209" t="s">
        <v>81</v>
      </c>
      <c r="F209">
        <v>38</v>
      </c>
      <c r="G209" t="s">
        <v>68</v>
      </c>
      <c r="H209" t="s">
        <v>43</v>
      </c>
      <c r="I209">
        <v>2</v>
      </c>
      <c r="J209">
        <v>3.7</v>
      </c>
      <c r="K209">
        <v>9</v>
      </c>
      <c r="L209">
        <v>5</v>
      </c>
      <c r="M209">
        <v>12</v>
      </c>
      <c r="N209">
        <v>0</v>
      </c>
      <c r="O209" t="s">
        <v>82</v>
      </c>
      <c r="P209">
        <v>27500</v>
      </c>
      <c r="Q209">
        <v>8.9</v>
      </c>
      <c r="R209">
        <v>3.6</v>
      </c>
      <c r="S209">
        <v>2</v>
      </c>
      <c r="T209">
        <v>0</v>
      </c>
      <c r="U209">
        <v>2.9</v>
      </c>
      <c r="V209">
        <v>2.2999999999999998</v>
      </c>
      <c r="W209">
        <v>4</v>
      </c>
      <c r="X209" t="s">
        <v>45</v>
      </c>
      <c r="Y209">
        <v>0</v>
      </c>
      <c r="Z209">
        <v>2</v>
      </c>
      <c r="AA209">
        <v>1.7</v>
      </c>
      <c r="AB209">
        <v>1</v>
      </c>
      <c r="AC209" t="s">
        <v>46</v>
      </c>
      <c r="AE209">
        <v>0</v>
      </c>
      <c r="AF209">
        <v>0</v>
      </c>
      <c r="AG209" t="s">
        <v>47</v>
      </c>
      <c r="AH209" t="s">
        <v>83</v>
      </c>
      <c r="AI209" t="s">
        <v>64</v>
      </c>
      <c r="AJ209" s="1" t="s">
        <v>159</v>
      </c>
      <c r="AK209" s="1" t="s">
        <v>84</v>
      </c>
      <c r="AL209">
        <v>0</v>
      </c>
    </row>
    <row r="210" spans="1:38" x14ac:dyDescent="0.35">
      <c r="A210" t="s">
        <v>377</v>
      </c>
      <c r="B210" t="s">
        <v>73</v>
      </c>
      <c r="C210" t="s">
        <v>177</v>
      </c>
      <c r="D210">
        <v>7.7</v>
      </c>
      <c r="E210" t="s">
        <v>81</v>
      </c>
      <c r="F210">
        <v>34</v>
      </c>
      <c r="G210" t="s">
        <v>42</v>
      </c>
      <c r="H210" t="s">
        <v>69</v>
      </c>
      <c r="I210">
        <v>3</v>
      </c>
      <c r="J210">
        <v>7.5</v>
      </c>
      <c r="K210">
        <v>9</v>
      </c>
      <c r="L210">
        <v>2</v>
      </c>
      <c r="M210">
        <v>12</v>
      </c>
      <c r="N210">
        <v>0</v>
      </c>
      <c r="O210" t="s">
        <v>82</v>
      </c>
      <c r="P210">
        <v>28700</v>
      </c>
      <c r="Q210">
        <v>6.9</v>
      </c>
      <c r="R210">
        <v>1.7</v>
      </c>
      <c r="S210">
        <v>1.2</v>
      </c>
      <c r="T210">
        <v>0</v>
      </c>
      <c r="U210">
        <v>2.5</v>
      </c>
      <c r="V210">
        <v>3.9</v>
      </c>
      <c r="W210">
        <v>2.9</v>
      </c>
      <c r="X210" t="s">
        <v>45</v>
      </c>
      <c r="Y210">
        <v>0</v>
      </c>
      <c r="Z210">
        <v>2</v>
      </c>
      <c r="AA210">
        <v>3.1</v>
      </c>
      <c r="AB210">
        <v>0</v>
      </c>
      <c r="AC210" t="s">
        <v>46</v>
      </c>
      <c r="AE210">
        <v>0</v>
      </c>
      <c r="AF210">
        <v>0</v>
      </c>
      <c r="AG210" t="s">
        <v>47</v>
      </c>
      <c r="AH210" t="s">
        <v>83</v>
      </c>
      <c r="AI210" t="s">
        <v>64</v>
      </c>
      <c r="AJ210">
        <v>3.1</v>
      </c>
      <c r="AK210">
        <v>0.25</v>
      </c>
      <c r="AL210">
        <v>0</v>
      </c>
    </row>
    <row r="211" spans="1:38" x14ac:dyDescent="0.35">
      <c r="A211" t="s">
        <v>378</v>
      </c>
      <c r="B211" t="s">
        <v>117</v>
      </c>
      <c r="C211" t="s">
        <v>197</v>
      </c>
      <c r="D211">
        <v>1.3</v>
      </c>
      <c r="E211" t="s">
        <v>81</v>
      </c>
      <c r="F211">
        <v>30</v>
      </c>
      <c r="G211" t="s">
        <v>42</v>
      </c>
      <c r="H211" t="s">
        <v>55</v>
      </c>
      <c r="I211">
        <v>6</v>
      </c>
      <c r="J211">
        <v>9.9</v>
      </c>
      <c r="K211">
        <v>9</v>
      </c>
      <c r="L211">
        <v>1</v>
      </c>
      <c r="M211">
        <v>12</v>
      </c>
      <c r="N211">
        <v>0</v>
      </c>
      <c r="O211" t="s">
        <v>82</v>
      </c>
      <c r="P211">
        <v>26200</v>
      </c>
      <c r="Q211">
        <v>3</v>
      </c>
      <c r="R211">
        <v>4.5999999999999996</v>
      </c>
      <c r="S211">
        <v>0.4</v>
      </c>
      <c r="T211">
        <v>0</v>
      </c>
      <c r="U211">
        <v>4.5999999999999996</v>
      </c>
      <c r="V211">
        <v>1.9</v>
      </c>
      <c r="W211">
        <v>3.3</v>
      </c>
      <c r="X211" t="s">
        <v>45</v>
      </c>
      <c r="Y211">
        <v>0</v>
      </c>
      <c r="Z211">
        <v>0</v>
      </c>
      <c r="AB211">
        <v>0</v>
      </c>
      <c r="AC211" t="s">
        <v>46</v>
      </c>
      <c r="AE211">
        <v>1</v>
      </c>
      <c r="AF211">
        <v>0</v>
      </c>
      <c r="AG211" t="s">
        <v>75</v>
      </c>
      <c r="AH211" t="s">
        <v>48</v>
      </c>
      <c r="AI211" t="s">
        <v>64</v>
      </c>
      <c r="AJ211" s="1" t="s">
        <v>235</v>
      </c>
      <c r="AK211">
        <v>0.5</v>
      </c>
      <c r="AL211">
        <v>0</v>
      </c>
    </row>
    <row r="212" spans="1:38" x14ac:dyDescent="0.35">
      <c r="A212" t="s">
        <v>379</v>
      </c>
      <c r="B212" t="s">
        <v>39</v>
      </c>
      <c r="C212" t="s">
        <v>40</v>
      </c>
      <c r="D212">
        <v>1.6</v>
      </c>
      <c r="E212" t="s">
        <v>110</v>
      </c>
      <c r="F212">
        <v>26</v>
      </c>
      <c r="G212" t="s">
        <v>42</v>
      </c>
      <c r="H212" t="s">
        <v>63</v>
      </c>
      <c r="I212">
        <v>1</v>
      </c>
      <c r="J212">
        <v>4.9000000000000004</v>
      </c>
      <c r="K212">
        <v>12</v>
      </c>
      <c r="L212">
        <v>3</v>
      </c>
      <c r="M212">
        <v>12</v>
      </c>
      <c r="N212">
        <v>0</v>
      </c>
      <c r="O212" t="s">
        <v>70</v>
      </c>
      <c r="P212">
        <v>40600</v>
      </c>
      <c r="Q212">
        <v>12.1</v>
      </c>
      <c r="R212">
        <v>4.5999999999999996</v>
      </c>
      <c r="S212">
        <v>1.8</v>
      </c>
      <c r="T212">
        <v>0</v>
      </c>
      <c r="U212">
        <v>3.9</v>
      </c>
      <c r="V212">
        <v>2.4</v>
      </c>
      <c r="W212">
        <v>2.5</v>
      </c>
      <c r="X212" t="s">
        <v>45</v>
      </c>
      <c r="Y212">
        <v>0</v>
      </c>
      <c r="Z212">
        <v>2</v>
      </c>
      <c r="AA212">
        <v>0.7</v>
      </c>
      <c r="AB212">
        <v>0</v>
      </c>
      <c r="AC212" t="s">
        <v>46</v>
      </c>
      <c r="AE212">
        <v>0</v>
      </c>
      <c r="AF212">
        <v>0</v>
      </c>
      <c r="AG212" t="s">
        <v>47</v>
      </c>
      <c r="AH212" t="s">
        <v>48</v>
      </c>
      <c r="AI212" t="s">
        <v>64</v>
      </c>
      <c r="AJ212" s="1" t="s">
        <v>141</v>
      </c>
      <c r="AK212">
        <v>8.3333333333333301E-2</v>
      </c>
      <c r="AL212">
        <v>0</v>
      </c>
    </row>
    <row r="213" spans="1:38" x14ac:dyDescent="0.35">
      <c r="A213" t="s">
        <v>380</v>
      </c>
      <c r="B213" t="s">
        <v>117</v>
      </c>
      <c r="C213" t="s">
        <v>189</v>
      </c>
      <c r="D213">
        <v>6.1</v>
      </c>
      <c r="E213" t="s">
        <v>110</v>
      </c>
      <c r="F213">
        <v>25</v>
      </c>
      <c r="G213" t="s">
        <v>42</v>
      </c>
      <c r="H213" t="s">
        <v>43</v>
      </c>
      <c r="I213">
        <v>4</v>
      </c>
      <c r="J213">
        <v>9.8000000000000007</v>
      </c>
      <c r="K213">
        <v>10</v>
      </c>
      <c r="L213">
        <v>0</v>
      </c>
      <c r="M213">
        <v>12</v>
      </c>
      <c r="N213">
        <v>0</v>
      </c>
      <c r="O213" t="s">
        <v>44</v>
      </c>
      <c r="P213">
        <v>56100</v>
      </c>
      <c r="Q213">
        <v>11.4</v>
      </c>
      <c r="R213">
        <v>4.0999999999999996</v>
      </c>
      <c r="S213">
        <v>0.4</v>
      </c>
      <c r="T213">
        <v>0</v>
      </c>
      <c r="U213">
        <v>2.2999999999999998</v>
      </c>
      <c r="V213">
        <v>3.6</v>
      </c>
      <c r="W213">
        <v>2.2999999999999998</v>
      </c>
      <c r="X213" t="s">
        <v>45</v>
      </c>
      <c r="Y213">
        <v>0</v>
      </c>
      <c r="Z213">
        <v>0</v>
      </c>
      <c r="AB213">
        <v>0</v>
      </c>
      <c r="AC213" t="s">
        <v>46</v>
      </c>
      <c r="AE213">
        <v>1</v>
      </c>
      <c r="AF213">
        <v>0</v>
      </c>
      <c r="AG213" t="s">
        <v>75</v>
      </c>
      <c r="AH213" t="s">
        <v>83</v>
      </c>
      <c r="AI213" t="s">
        <v>64</v>
      </c>
      <c r="AJ213" s="1" t="s">
        <v>168</v>
      </c>
      <c r="AK213" s="1" t="s">
        <v>115</v>
      </c>
      <c r="AL213">
        <v>0</v>
      </c>
    </row>
    <row r="214" spans="1:38" x14ac:dyDescent="0.35">
      <c r="A214" t="s">
        <v>381</v>
      </c>
      <c r="B214" t="s">
        <v>73</v>
      </c>
      <c r="C214" t="s">
        <v>121</v>
      </c>
      <c r="D214">
        <v>2.7</v>
      </c>
      <c r="E214" t="s">
        <v>62</v>
      </c>
      <c r="F214">
        <v>30</v>
      </c>
      <c r="G214" t="s">
        <v>54</v>
      </c>
      <c r="H214" t="s">
        <v>55</v>
      </c>
      <c r="I214">
        <v>0</v>
      </c>
      <c r="J214">
        <v>8.6999999999999993</v>
      </c>
      <c r="K214">
        <v>9</v>
      </c>
      <c r="L214">
        <v>3</v>
      </c>
      <c r="M214">
        <v>12</v>
      </c>
      <c r="N214">
        <v>0</v>
      </c>
      <c r="O214" t="s">
        <v>56</v>
      </c>
      <c r="P214">
        <v>98500</v>
      </c>
      <c r="Q214">
        <v>0.1</v>
      </c>
      <c r="R214">
        <v>3.2</v>
      </c>
      <c r="S214">
        <v>1.2</v>
      </c>
      <c r="T214">
        <v>0</v>
      </c>
      <c r="U214">
        <v>3.1</v>
      </c>
      <c r="V214">
        <v>2.2999999999999998</v>
      </c>
      <c r="W214">
        <v>3.5</v>
      </c>
      <c r="X214" t="s">
        <v>45</v>
      </c>
      <c r="Y214">
        <v>0</v>
      </c>
      <c r="Z214">
        <v>2</v>
      </c>
      <c r="AA214">
        <v>2.2999999999999998</v>
      </c>
      <c r="AB214">
        <v>0</v>
      </c>
      <c r="AC214" t="s">
        <v>46</v>
      </c>
      <c r="AE214">
        <v>0</v>
      </c>
      <c r="AF214">
        <v>0</v>
      </c>
      <c r="AG214" t="s">
        <v>47</v>
      </c>
      <c r="AH214" t="s">
        <v>48</v>
      </c>
      <c r="AI214" t="s">
        <v>64</v>
      </c>
      <c r="AJ214" s="1" t="s">
        <v>268</v>
      </c>
      <c r="AK214">
        <v>0</v>
      </c>
      <c r="AL214">
        <v>0</v>
      </c>
    </row>
    <row r="215" spans="1:38" x14ac:dyDescent="0.35">
      <c r="A215" t="s">
        <v>382</v>
      </c>
      <c r="B215" t="s">
        <v>39</v>
      </c>
      <c r="C215" t="s">
        <v>88</v>
      </c>
      <c r="D215">
        <v>8.5</v>
      </c>
      <c r="E215" t="s">
        <v>41</v>
      </c>
      <c r="F215">
        <v>37</v>
      </c>
      <c r="G215" t="s">
        <v>68</v>
      </c>
      <c r="H215" t="s">
        <v>55</v>
      </c>
      <c r="I215">
        <v>4</v>
      </c>
      <c r="J215">
        <v>6.2</v>
      </c>
      <c r="K215">
        <v>13</v>
      </c>
      <c r="L215">
        <v>0</v>
      </c>
      <c r="M215">
        <v>12</v>
      </c>
      <c r="N215">
        <v>0</v>
      </c>
      <c r="O215" t="s">
        <v>56</v>
      </c>
      <c r="P215">
        <v>75100</v>
      </c>
      <c r="Q215">
        <v>8.9</v>
      </c>
      <c r="R215">
        <v>4.7</v>
      </c>
      <c r="S215">
        <v>1.2</v>
      </c>
      <c r="T215">
        <v>0</v>
      </c>
      <c r="U215">
        <v>4.3</v>
      </c>
      <c r="V215">
        <v>2.7</v>
      </c>
      <c r="W215">
        <v>4.5</v>
      </c>
      <c r="X215" t="s">
        <v>45</v>
      </c>
      <c r="Y215">
        <v>0</v>
      </c>
      <c r="Z215">
        <v>0</v>
      </c>
      <c r="AB215">
        <v>0</v>
      </c>
      <c r="AC215" t="s">
        <v>46</v>
      </c>
      <c r="AE215">
        <v>1</v>
      </c>
      <c r="AF215">
        <v>0</v>
      </c>
      <c r="AG215" t="s">
        <v>75</v>
      </c>
      <c r="AH215" t="s">
        <v>83</v>
      </c>
      <c r="AI215" t="s">
        <v>64</v>
      </c>
      <c r="AJ215" s="1" t="s">
        <v>180</v>
      </c>
      <c r="AK215" s="1" t="s">
        <v>115</v>
      </c>
      <c r="AL215">
        <v>0</v>
      </c>
    </row>
    <row r="216" spans="1:38" x14ac:dyDescent="0.35">
      <c r="A216" t="s">
        <v>383</v>
      </c>
      <c r="B216" t="s">
        <v>39</v>
      </c>
      <c r="C216" t="s">
        <v>88</v>
      </c>
      <c r="D216">
        <v>10.1</v>
      </c>
      <c r="E216" t="s">
        <v>110</v>
      </c>
      <c r="F216">
        <v>38</v>
      </c>
      <c r="G216" t="s">
        <v>42</v>
      </c>
      <c r="H216" t="s">
        <v>69</v>
      </c>
      <c r="I216">
        <v>2</v>
      </c>
      <c r="J216">
        <v>17.600000000000001</v>
      </c>
      <c r="K216">
        <v>11</v>
      </c>
      <c r="L216">
        <v>1</v>
      </c>
      <c r="M216">
        <v>12</v>
      </c>
      <c r="N216">
        <v>0</v>
      </c>
      <c r="O216" t="s">
        <v>44</v>
      </c>
      <c r="P216">
        <v>60000</v>
      </c>
      <c r="Q216">
        <v>9.3000000000000007</v>
      </c>
      <c r="R216">
        <v>4.4000000000000004</v>
      </c>
      <c r="S216">
        <v>1.2</v>
      </c>
      <c r="T216">
        <v>0</v>
      </c>
      <c r="U216">
        <v>2.7</v>
      </c>
      <c r="V216">
        <v>3.3</v>
      </c>
      <c r="W216">
        <v>3.5</v>
      </c>
      <c r="X216" t="s">
        <v>45</v>
      </c>
      <c r="Y216">
        <v>1</v>
      </c>
      <c r="Z216">
        <v>0</v>
      </c>
      <c r="AB216">
        <v>0</v>
      </c>
      <c r="AC216" t="s">
        <v>46</v>
      </c>
      <c r="AE216">
        <v>1</v>
      </c>
      <c r="AF216">
        <v>0</v>
      </c>
      <c r="AG216" t="s">
        <v>75</v>
      </c>
      <c r="AH216" t="s">
        <v>83</v>
      </c>
      <c r="AI216" t="s">
        <v>49</v>
      </c>
      <c r="AJ216" s="1" t="s">
        <v>100</v>
      </c>
      <c r="AK216" s="1" t="s">
        <v>84</v>
      </c>
      <c r="AL216">
        <v>0</v>
      </c>
    </row>
    <row r="217" spans="1:38" x14ac:dyDescent="0.35">
      <c r="A217" t="s">
        <v>384</v>
      </c>
      <c r="B217" t="s">
        <v>39</v>
      </c>
      <c r="C217" t="s">
        <v>385</v>
      </c>
      <c r="D217">
        <v>1.4</v>
      </c>
      <c r="E217" t="s">
        <v>81</v>
      </c>
      <c r="F217">
        <v>29</v>
      </c>
      <c r="G217" t="s">
        <v>42</v>
      </c>
      <c r="H217" t="s">
        <v>63</v>
      </c>
      <c r="I217">
        <v>5</v>
      </c>
      <c r="J217">
        <v>15.3</v>
      </c>
      <c r="K217">
        <v>8</v>
      </c>
      <c r="L217">
        <v>3</v>
      </c>
      <c r="M217">
        <v>12</v>
      </c>
      <c r="N217">
        <v>0</v>
      </c>
      <c r="O217" t="s">
        <v>82</v>
      </c>
      <c r="P217">
        <v>28900</v>
      </c>
      <c r="Q217">
        <v>6.7</v>
      </c>
      <c r="R217">
        <v>2.7</v>
      </c>
      <c r="S217">
        <v>0.1</v>
      </c>
      <c r="T217">
        <v>0</v>
      </c>
      <c r="U217">
        <v>4.0999999999999996</v>
      </c>
      <c r="V217">
        <v>3.5</v>
      </c>
      <c r="W217">
        <v>4.9000000000000004</v>
      </c>
      <c r="X217" t="s">
        <v>45</v>
      </c>
      <c r="Y217">
        <v>0</v>
      </c>
      <c r="Z217">
        <v>1</v>
      </c>
      <c r="AA217">
        <v>1.4</v>
      </c>
      <c r="AB217">
        <v>0</v>
      </c>
      <c r="AC217" t="s">
        <v>46</v>
      </c>
      <c r="AE217">
        <v>0</v>
      </c>
      <c r="AF217">
        <v>0</v>
      </c>
      <c r="AG217" t="s">
        <v>47</v>
      </c>
      <c r="AH217" t="s">
        <v>48</v>
      </c>
      <c r="AI217" t="s">
        <v>49</v>
      </c>
      <c r="AJ217" s="1" t="s">
        <v>284</v>
      </c>
      <c r="AK217" s="1" t="s">
        <v>127</v>
      </c>
      <c r="AL217">
        <v>0</v>
      </c>
    </row>
    <row r="218" spans="1:38" x14ac:dyDescent="0.35">
      <c r="A218" t="s">
        <v>386</v>
      </c>
      <c r="B218" t="s">
        <v>73</v>
      </c>
      <c r="C218" t="s">
        <v>113</v>
      </c>
      <c r="D218">
        <v>1.9</v>
      </c>
      <c r="E218" t="s">
        <v>110</v>
      </c>
      <c r="F218">
        <v>27</v>
      </c>
      <c r="G218" t="s">
        <v>42</v>
      </c>
      <c r="H218" t="s">
        <v>94</v>
      </c>
      <c r="I218">
        <v>5</v>
      </c>
      <c r="J218">
        <v>18.100000000000001</v>
      </c>
      <c r="K218">
        <v>9</v>
      </c>
      <c r="L218">
        <v>3</v>
      </c>
      <c r="M218">
        <v>12</v>
      </c>
      <c r="N218">
        <v>0</v>
      </c>
      <c r="O218" t="s">
        <v>70</v>
      </c>
      <c r="P218">
        <v>43800</v>
      </c>
      <c r="Q218">
        <v>16.399999999999999</v>
      </c>
      <c r="R218">
        <v>4.5</v>
      </c>
      <c r="S218">
        <v>0.8</v>
      </c>
      <c r="T218">
        <v>0</v>
      </c>
      <c r="U218">
        <v>4.5</v>
      </c>
      <c r="V218">
        <v>2.2999999999999998</v>
      </c>
      <c r="W218">
        <v>3.3</v>
      </c>
      <c r="X218" t="s">
        <v>89</v>
      </c>
      <c r="Y218">
        <v>0</v>
      </c>
      <c r="Z218">
        <v>1</v>
      </c>
      <c r="AA218">
        <v>0.1</v>
      </c>
      <c r="AB218">
        <v>0</v>
      </c>
      <c r="AC218" t="s">
        <v>46</v>
      </c>
      <c r="AE218">
        <v>0</v>
      </c>
      <c r="AF218">
        <v>0</v>
      </c>
      <c r="AG218" t="s">
        <v>47</v>
      </c>
      <c r="AH218" t="s">
        <v>48</v>
      </c>
      <c r="AI218" t="s">
        <v>49</v>
      </c>
      <c r="AJ218" s="1" t="s">
        <v>86</v>
      </c>
      <c r="AK218" s="1" t="s">
        <v>127</v>
      </c>
      <c r="AL218">
        <v>0</v>
      </c>
    </row>
    <row r="219" spans="1:38" x14ac:dyDescent="0.35">
      <c r="A219" t="s">
        <v>387</v>
      </c>
      <c r="B219" t="s">
        <v>73</v>
      </c>
      <c r="C219" t="s">
        <v>74</v>
      </c>
      <c r="D219">
        <v>4</v>
      </c>
      <c r="E219" t="s">
        <v>81</v>
      </c>
      <c r="F219">
        <v>27</v>
      </c>
      <c r="G219" t="s">
        <v>42</v>
      </c>
      <c r="H219" t="s">
        <v>69</v>
      </c>
      <c r="I219">
        <v>2</v>
      </c>
      <c r="J219">
        <v>19.3</v>
      </c>
      <c r="K219">
        <v>7</v>
      </c>
      <c r="L219">
        <v>6</v>
      </c>
      <c r="M219">
        <v>12</v>
      </c>
      <c r="N219">
        <v>0</v>
      </c>
      <c r="O219" t="s">
        <v>82</v>
      </c>
      <c r="P219">
        <v>29800</v>
      </c>
      <c r="Q219">
        <v>16</v>
      </c>
      <c r="R219">
        <v>2.4</v>
      </c>
      <c r="S219">
        <v>6.7</v>
      </c>
      <c r="T219">
        <v>0</v>
      </c>
      <c r="U219">
        <v>4.4000000000000004</v>
      </c>
      <c r="V219">
        <v>3.3</v>
      </c>
      <c r="W219">
        <v>3.4</v>
      </c>
      <c r="X219" t="s">
        <v>45</v>
      </c>
      <c r="Y219">
        <v>0</v>
      </c>
      <c r="Z219">
        <v>1</v>
      </c>
      <c r="AB219">
        <v>0</v>
      </c>
      <c r="AC219" t="s">
        <v>46</v>
      </c>
      <c r="AE219">
        <v>1</v>
      </c>
      <c r="AF219">
        <v>0</v>
      </c>
      <c r="AG219" t="s">
        <v>47</v>
      </c>
      <c r="AH219" t="s">
        <v>76</v>
      </c>
      <c r="AI219" t="s">
        <v>49</v>
      </c>
      <c r="AJ219" s="1" t="s">
        <v>58</v>
      </c>
      <c r="AK219" s="1" t="s">
        <v>84</v>
      </c>
      <c r="AL219">
        <v>0</v>
      </c>
    </row>
    <row r="220" spans="1:38" x14ac:dyDescent="0.35">
      <c r="A220" t="s">
        <v>388</v>
      </c>
      <c r="B220" t="s">
        <v>60</v>
      </c>
      <c r="C220" t="s">
        <v>80</v>
      </c>
      <c r="D220">
        <v>0.4</v>
      </c>
      <c r="E220" t="s">
        <v>67</v>
      </c>
      <c r="F220">
        <v>29</v>
      </c>
      <c r="G220" t="s">
        <v>42</v>
      </c>
      <c r="H220" t="s">
        <v>63</v>
      </c>
      <c r="I220">
        <v>2</v>
      </c>
      <c r="J220">
        <v>2.1</v>
      </c>
      <c r="K220">
        <v>9</v>
      </c>
      <c r="L220">
        <v>0</v>
      </c>
      <c r="M220">
        <v>12</v>
      </c>
      <c r="N220">
        <v>0</v>
      </c>
      <c r="O220" t="s">
        <v>70</v>
      </c>
      <c r="P220">
        <v>40500</v>
      </c>
      <c r="Q220">
        <v>6.5</v>
      </c>
      <c r="R220">
        <v>3</v>
      </c>
      <c r="S220">
        <v>1.3</v>
      </c>
      <c r="T220">
        <v>0</v>
      </c>
      <c r="U220">
        <v>3.5</v>
      </c>
      <c r="V220">
        <v>3.6</v>
      </c>
      <c r="W220">
        <v>2.6</v>
      </c>
      <c r="X220" t="s">
        <v>45</v>
      </c>
      <c r="Y220">
        <v>0</v>
      </c>
      <c r="Z220">
        <v>1</v>
      </c>
      <c r="AA220">
        <v>0.1</v>
      </c>
      <c r="AB220">
        <v>0</v>
      </c>
      <c r="AC220" t="s">
        <v>46</v>
      </c>
      <c r="AE220">
        <v>0</v>
      </c>
      <c r="AF220">
        <v>0</v>
      </c>
      <c r="AG220" t="s">
        <v>47</v>
      </c>
      <c r="AH220" t="s">
        <v>95</v>
      </c>
      <c r="AI220" t="s">
        <v>64</v>
      </c>
      <c r="AJ220" s="1" t="s">
        <v>198</v>
      </c>
      <c r="AK220" s="1" t="s">
        <v>84</v>
      </c>
      <c r="AL220">
        <v>0</v>
      </c>
    </row>
    <row r="221" spans="1:38" x14ac:dyDescent="0.35">
      <c r="A221" t="s">
        <v>389</v>
      </c>
      <c r="B221" t="s">
        <v>98</v>
      </c>
      <c r="C221" t="s">
        <v>148</v>
      </c>
      <c r="D221">
        <v>0.7</v>
      </c>
      <c r="E221" t="s">
        <v>67</v>
      </c>
      <c r="F221">
        <v>28</v>
      </c>
      <c r="G221" t="s">
        <v>42</v>
      </c>
      <c r="H221" t="s">
        <v>69</v>
      </c>
      <c r="I221">
        <v>6</v>
      </c>
      <c r="J221">
        <v>2.4</v>
      </c>
      <c r="K221">
        <v>4</v>
      </c>
      <c r="L221">
        <v>3</v>
      </c>
      <c r="M221">
        <v>12</v>
      </c>
      <c r="N221">
        <v>0</v>
      </c>
      <c r="O221" t="s">
        <v>82</v>
      </c>
      <c r="P221">
        <v>30700</v>
      </c>
      <c r="Q221">
        <v>7.1</v>
      </c>
      <c r="R221">
        <v>1.6</v>
      </c>
      <c r="S221">
        <v>2.7</v>
      </c>
      <c r="T221">
        <v>0</v>
      </c>
      <c r="U221">
        <v>4.4000000000000004</v>
      </c>
      <c r="V221">
        <v>2.1</v>
      </c>
      <c r="W221">
        <v>3.1</v>
      </c>
      <c r="X221" t="s">
        <v>89</v>
      </c>
      <c r="Y221">
        <v>0</v>
      </c>
      <c r="Z221">
        <v>2</v>
      </c>
      <c r="AA221">
        <v>0.6</v>
      </c>
      <c r="AB221">
        <v>0</v>
      </c>
      <c r="AC221" t="s">
        <v>46</v>
      </c>
      <c r="AE221">
        <v>0</v>
      </c>
      <c r="AF221">
        <v>0</v>
      </c>
      <c r="AG221" t="s">
        <v>47</v>
      </c>
      <c r="AH221" t="s">
        <v>95</v>
      </c>
      <c r="AI221" t="s">
        <v>64</v>
      </c>
      <c r="AJ221" s="1" t="s">
        <v>162</v>
      </c>
      <c r="AK221">
        <v>0.5</v>
      </c>
      <c r="AL221">
        <v>0</v>
      </c>
    </row>
    <row r="222" spans="1:38" x14ac:dyDescent="0.35">
      <c r="A222" t="s">
        <v>390</v>
      </c>
      <c r="B222" t="s">
        <v>98</v>
      </c>
      <c r="C222" t="s">
        <v>151</v>
      </c>
      <c r="D222">
        <v>1.8</v>
      </c>
      <c r="E222" t="s">
        <v>67</v>
      </c>
      <c r="F222">
        <v>26</v>
      </c>
      <c r="G222" t="s">
        <v>42</v>
      </c>
      <c r="H222" t="s">
        <v>55</v>
      </c>
      <c r="I222">
        <v>2</v>
      </c>
      <c r="J222">
        <v>16.5</v>
      </c>
      <c r="K222">
        <v>11</v>
      </c>
      <c r="L222">
        <v>4</v>
      </c>
      <c r="M222">
        <v>12</v>
      </c>
      <c r="N222">
        <v>0</v>
      </c>
      <c r="O222" t="s">
        <v>70</v>
      </c>
      <c r="P222">
        <v>44700</v>
      </c>
      <c r="Q222">
        <v>6.6</v>
      </c>
      <c r="R222">
        <v>3.3</v>
      </c>
      <c r="S222">
        <v>1.6</v>
      </c>
      <c r="T222">
        <v>0</v>
      </c>
      <c r="U222">
        <v>2.8</v>
      </c>
      <c r="V222">
        <v>3.4</v>
      </c>
      <c r="W222">
        <v>2.4</v>
      </c>
      <c r="X222" t="s">
        <v>45</v>
      </c>
      <c r="Y222">
        <v>0</v>
      </c>
      <c r="Z222">
        <v>0</v>
      </c>
      <c r="AB222">
        <v>0</v>
      </c>
      <c r="AC222" t="s">
        <v>124</v>
      </c>
      <c r="AD222" s="2">
        <v>45817</v>
      </c>
      <c r="AE222">
        <v>1</v>
      </c>
      <c r="AF222">
        <v>0</v>
      </c>
      <c r="AG222" t="s">
        <v>75</v>
      </c>
      <c r="AH222" t="s">
        <v>48</v>
      </c>
      <c r="AI222" t="s">
        <v>49</v>
      </c>
      <c r="AJ222" s="1" t="s">
        <v>182</v>
      </c>
      <c r="AK222" s="1" t="s">
        <v>84</v>
      </c>
      <c r="AL222">
        <v>1</v>
      </c>
    </row>
    <row r="223" spans="1:38" x14ac:dyDescent="0.35">
      <c r="A223" t="s">
        <v>391</v>
      </c>
      <c r="B223" t="s">
        <v>52</v>
      </c>
      <c r="C223" t="s">
        <v>53</v>
      </c>
      <c r="D223">
        <v>12.3</v>
      </c>
      <c r="E223" t="s">
        <v>67</v>
      </c>
      <c r="F223">
        <v>43</v>
      </c>
      <c r="G223" t="s">
        <v>42</v>
      </c>
      <c r="H223" t="s">
        <v>69</v>
      </c>
      <c r="I223">
        <v>6</v>
      </c>
      <c r="J223">
        <v>6.7</v>
      </c>
      <c r="K223">
        <v>6</v>
      </c>
      <c r="L223">
        <v>4</v>
      </c>
      <c r="M223">
        <v>12</v>
      </c>
      <c r="N223">
        <v>0</v>
      </c>
      <c r="O223" t="s">
        <v>70</v>
      </c>
      <c r="P223">
        <v>37400</v>
      </c>
      <c r="Q223">
        <v>5.6</v>
      </c>
      <c r="R223">
        <v>2.9</v>
      </c>
      <c r="S223">
        <v>5.4</v>
      </c>
      <c r="T223">
        <v>0</v>
      </c>
      <c r="U223">
        <v>5</v>
      </c>
      <c r="V223">
        <v>3.3</v>
      </c>
      <c r="W223">
        <v>2.2000000000000002</v>
      </c>
      <c r="X223" t="s">
        <v>45</v>
      </c>
      <c r="Y223">
        <v>1</v>
      </c>
      <c r="Z223">
        <v>0</v>
      </c>
      <c r="AB223">
        <v>0</v>
      </c>
      <c r="AC223" t="s">
        <v>46</v>
      </c>
      <c r="AE223">
        <v>1</v>
      </c>
      <c r="AF223">
        <v>0</v>
      </c>
      <c r="AG223" t="s">
        <v>75</v>
      </c>
      <c r="AH223" t="s">
        <v>83</v>
      </c>
      <c r="AI223" t="s">
        <v>64</v>
      </c>
      <c r="AJ223">
        <v>3.5</v>
      </c>
      <c r="AK223">
        <v>0.5</v>
      </c>
      <c r="AL223">
        <v>0</v>
      </c>
    </row>
    <row r="224" spans="1:38" x14ac:dyDescent="0.35">
      <c r="A224" t="s">
        <v>392</v>
      </c>
      <c r="B224" t="s">
        <v>39</v>
      </c>
      <c r="C224" t="s">
        <v>88</v>
      </c>
      <c r="D224">
        <v>4.4000000000000004</v>
      </c>
      <c r="E224" t="s">
        <v>110</v>
      </c>
      <c r="F224">
        <v>27</v>
      </c>
      <c r="G224" t="s">
        <v>68</v>
      </c>
      <c r="H224" t="s">
        <v>55</v>
      </c>
      <c r="I224">
        <v>1</v>
      </c>
      <c r="J224">
        <v>6</v>
      </c>
      <c r="K224">
        <v>6</v>
      </c>
      <c r="L224">
        <v>3</v>
      </c>
      <c r="M224">
        <v>12</v>
      </c>
      <c r="N224">
        <v>0</v>
      </c>
      <c r="O224" t="s">
        <v>70</v>
      </c>
      <c r="P224">
        <v>46500</v>
      </c>
      <c r="Q224">
        <v>4.3</v>
      </c>
      <c r="R224">
        <v>2.8</v>
      </c>
      <c r="S224">
        <v>1.7</v>
      </c>
      <c r="T224">
        <v>0</v>
      </c>
      <c r="U224">
        <v>3.5</v>
      </c>
      <c r="V224">
        <v>3.3</v>
      </c>
      <c r="W224">
        <v>2.5</v>
      </c>
      <c r="X224" t="s">
        <v>45</v>
      </c>
      <c r="Y224">
        <v>0</v>
      </c>
      <c r="Z224">
        <v>1</v>
      </c>
      <c r="AA224">
        <v>0.9</v>
      </c>
      <c r="AB224">
        <v>1</v>
      </c>
      <c r="AC224" t="s">
        <v>46</v>
      </c>
      <c r="AE224">
        <v>0</v>
      </c>
      <c r="AF224">
        <v>0</v>
      </c>
      <c r="AG224" t="s">
        <v>47</v>
      </c>
      <c r="AH224" t="s">
        <v>76</v>
      </c>
      <c r="AI224" t="s">
        <v>64</v>
      </c>
      <c r="AJ224">
        <v>3.1</v>
      </c>
      <c r="AK224">
        <v>8.3333333333333301E-2</v>
      </c>
      <c r="AL224">
        <v>0</v>
      </c>
    </row>
    <row r="225" spans="1:38" x14ac:dyDescent="0.35">
      <c r="A225" t="s">
        <v>393</v>
      </c>
      <c r="B225" t="s">
        <v>60</v>
      </c>
      <c r="C225" t="s">
        <v>61</v>
      </c>
      <c r="D225">
        <v>2.2000000000000002</v>
      </c>
      <c r="E225" t="s">
        <v>41</v>
      </c>
      <c r="F225">
        <v>26</v>
      </c>
      <c r="G225" t="s">
        <v>68</v>
      </c>
      <c r="H225" t="s">
        <v>55</v>
      </c>
      <c r="I225">
        <v>3</v>
      </c>
      <c r="J225">
        <v>5.2</v>
      </c>
      <c r="K225">
        <v>10</v>
      </c>
      <c r="L225">
        <v>4</v>
      </c>
      <c r="M225">
        <v>12</v>
      </c>
      <c r="N225">
        <v>0</v>
      </c>
      <c r="O225" t="s">
        <v>44</v>
      </c>
      <c r="P225">
        <v>71900</v>
      </c>
      <c r="Q225">
        <v>10</v>
      </c>
      <c r="R225">
        <v>3.1</v>
      </c>
      <c r="S225">
        <v>1.3</v>
      </c>
      <c r="T225">
        <v>0</v>
      </c>
      <c r="U225">
        <v>4.3</v>
      </c>
      <c r="V225">
        <v>3.9</v>
      </c>
      <c r="W225">
        <v>3.5</v>
      </c>
      <c r="X225" t="s">
        <v>45</v>
      </c>
      <c r="Y225">
        <v>0</v>
      </c>
      <c r="Z225">
        <v>0</v>
      </c>
      <c r="AB225">
        <v>0</v>
      </c>
      <c r="AC225" t="s">
        <v>46</v>
      </c>
      <c r="AE225">
        <v>1</v>
      </c>
      <c r="AF225">
        <v>0</v>
      </c>
      <c r="AG225" t="s">
        <v>75</v>
      </c>
      <c r="AH225" t="s">
        <v>48</v>
      </c>
      <c r="AI225" t="s">
        <v>64</v>
      </c>
      <c r="AJ225">
        <v>3.9</v>
      </c>
      <c r="AK225">
        <v>0.25</v>
      </c>
      <c r="AL225">
        <v>0</v>
      </c>
    </row>
    <row r="226" spans="1:38" x14ac:dyDescent="0.35">
      <c r="A226" t="s">
        <v>394</v>
      </c>
      <c r="B226" t="s">
        <v>98</v>
      </c>
      <c r="C226" t="s">
        <v>99</v>
      </c>
      <c r="D226">
        <v>1.6</v>
      </c>
      <c r="E226" t="s">
        <v>110</v>
      </c>
      <c r="F226">
        <v>34</v>
      </c>
      <c r="G226" t="s">
        <v>42</v>
      </c>
      <c r="H226" t="s">
        <v>43</v>
      </c>
      <c r="I226">
        <v>5</v>
      </c>
      <c r="J226">
        <v>18.600000000000001</v>
      </c>
      <c r="K226">
        <v>10</v>
      </c>
      <c r="L226">
        <v>4</v>
      </c>
      <c r="M226">
        <v>12</v>
      </c>
      <c r="N226">
        <v>0</v>
      </c>
      <c r="O226" t="s">
        <v>44</v>
      </c>
      <c r="P226">
        <v>55300</v>
      </c>
      <c r="Q226">
        <v>15.8</v>
      </c>
      <c r="R226">
        <v>2.7</v>
      </c>
      <c r="S226">
        <v>0.3</v>
      </c>
      <c r="T226">
        <v>0</v>
      </c>
      <c r="U226">
        <v>3</v>
      </c>
      <c r="V226">
        <v>3</v>
      </c>
      <c r="W226">
        <v>2.8</v>
      </c>
      <c r="X226" t="s">
        <v>45</v>
      </c>
      <c r="Y226">
        <v>0</v>
      </c>
      <c r="Z226">
        <v>1</v>
      </c>
      <c r="AA226">
        <v>0.1</v>
      </c>
      <c r="AB226">
        <v>0</v>
      </c>
      <c r="AC226" t="s">
        <v>46</v>
      </c>
      <c r="AE226">
        <v>0</v>
      </c>
      <c r="AF226">
        <v>0</v>
      </c>
      <c r="AG226" t="s">
        <v>47</v>
      </c>
      <c r="AH226" t="s">
        <v>48</v>
      </c>
      <c r="AI226" t="s">
        <v>49</v>
      </c>
      <c r="AJ226" s="1" t="s">
        <v>141</v>
      </c>
      <c r="AK226" s="1" t="s">
        <v>127</v>
      </c>
      <c r="AL226">
        <v>0</v>
      </c>
    </row>
    <row r="227" spans="1:38" x14ac:dyDescent="0.35">
      <c r="A227" t="s">
        <v>395</v>
      </c>
      <c r="B227" t="s">
        <v>60</v>
      </c>
      <c r="C227" t="s">
        <v>61</v>
      </c>
      <c r="D227">
        <v>1.3</v>
      </c>
      <c r="E227" t="s">
        <v>110</v>
      </c>
      <c r="F227">
        <v>31</v>
      </c>
      <c r="G227" t="s">
        <v>54</v>
      </c>
      <c r="H227" t="s">
        <v>55</v>
      </c>
      <c r="I227">
        <v>2</v>
      </c>
      <c r="J227">
        <v>39.1</v>
      </c>
      <c r="K227">
        <v>11</v>
      </c>
      <c r="L227">
        <v>1</v>
      </c>
      <c r="M227">
        <v>12</v>
      </c>
      <c r="N227">
        <v>0</v>
      </c>
      <c r="O227" t="s">
        <v>44</v>
      </c>
      <c r="P227">
        <v>56900</v>
      </c>
      <c r="Q227">
        <v>14.2</v>
      </c>
      <c r="R227">
        <v>3.2</v>
      </c>
      <c r="S227">
        <v>0.3</v>
      </c>
      <c r="T227">
        <v>0</v>
      </c>
      <c r="U227">
        <v>3.7</v>
      </c>
      <c r="V227">
        <v>4</v>
      </c>
      <c r="W227">
        <v>3</v>
      </c>
      <c r="X227" t="s">
        <v>45</v>
      </c>
      <c r="Y227">
        <v>0</v>
      </c>
      <c r="Z227">
        <v>1</v>
      </c>
      <c r="AA227">
        <v>0.5</v>
      </c>
      <c r="AB227">
        <v>0</v>
      </c>
      <c r="AC227" t="s">
        <v>46</v>
      </c>
      <c r="AE227">
        <v>0</v>
      </c>
      <c r="AF227">
        <v>0</v>
      </c>
      <c r="AG227" t="s">
        <v>47</v>
      </c>
      <c r="AH227" t="s">
        <v>48</v>
      </c>
      <c r="AI227" t="s">
        <v>57</v>
      </c>
      <c r="AJ227" s="1" t="s">
        <v>126</v>
      </c>
      <c r="AK227" s="1" t="s">
        <v>84</v>
      </c>
      <c r="AL227">
        <v>0</v>
      </c>
    </row>
    <row r="228" spans="1:38" x14ac:dyDescent="0.35">
      <c r="A228" t="s">
        <v>396</v>
      </c>
      <c r="B228" t="s">
        <v>73</v>
      </c>
      <c r="C228" t="s">
        <v>74</v>
      </c>
      <c r="D228">
        <v>2.2999999999999998</v>
      </c>
      <c r="E228" t="s">
        <v>110</v>
      </c>
      <c r="F228">
        <v>27</v>
      </c>
      <c r="G228" t="s">
        <v>68</v>
      </c>
      <c r="H228" t="s">
        <v>63</v>
      </c>
      <c r="I228">
        <v>5</v>
      </c>
      <c r="J228">
        <v>19.2</v>
      </c>
      <c r="K228">
        <v>7</v>
      </c>
      <c r="L228">
        <v>7</v>
      </c>
      <c r="M228">
        <v>12</v>
      </c>
      <c r="N228">
        <v>0</v>
      </c>
      <c r="O228" t="s">
        <v>44</v>
      </c>
      <c r="P228">
        <v>55800</v>
      </c>
      <c r="Q228">
        <v>11.2</v>
      </c>
      <c r="R228">
        <v>4.4000000000000004</v>
      </c>
      <c r="S228">
        <v>0.7</v>
      </c>
      <c r="T228">
        <v>0</v>
      </c>
      <c r="U228">
        <v>3.8</v>
      </c>
      <c r="V228">
        <v>3.9</v>
      </c>
      <c r="W228">
        <v>3.7</v>
      </c>
      <c r="X228" t="s">
        <v>45</v>
      </c>
      <c r="Y228">
        <v>0</v>
      </c>
      <c r="Z228">
        <v>3</v>
      </c>
      <c r="AA228">
        <v>2</v>
      </c>
      <c r="AB228">
        <v>0</v>
      </c>
      <c r="AC228" t="s">
        <v>46</v>
      </c>
      <c r="AE228">
        <v>0</v>
      </c>
      <c r="AF228">
        <v>0</v>
      </c>
      <c r="AG228" t="s">
        <v>47</v>
      </c>
      <c r="AH228" t="s">
        <v>48</v>
      </c>
      <c r="AI228" t="s">
        <v>49</v>
      </c>
      <c r="AJ228" s="1" t="s">
        <v>397</v>
      </c>
      <c r="AK228" s="1" t="s">
        <v>127</v>
      </c>
      <c r="AL228">
        <v>0</v>
      </c>
    </row>
    <row r="229" spans="1:38" x14ac:dyDescent="0.35">
      <c r="A229" t="s">
        <v>398</v>
      </c>
      <c r="B229" t="s">
        <v>117</v>
      </c>
      <c r="C229" t="s">
        <v>189</v>
      </c>
      <c r="D229">
        <v>2.2000000000000002</v>
      </c>
      <c r="E229" t="s">
        <v>81</v>
      </c>
      <c r="F229">
        <v>29</v>
      </c>
      <c r="G229" t="s">
        <v>234</v>
      </c>
      <c r="H229" t="s">
        <v>63</v>
      </c>
      <c r="I229">
        <v>5</v>
      </c>
      <c r="J229">
        <v>6.5</v>
      </c>
      <c r="K229">
        <v>11</v>
      </c>
      <c r="L229">
        <v>1</v>
      </c>
      <c r="M229">
        <v>12</v>
      </c>
      <c r="N229">
        <v>0</v>
      </c>
      <c r="O229" t="s">
        <v>82</v>
      </c>
      <c r="P229">
        <v>26300</v>
      </c>
      <c r="Q229">
        <v>0</v>
      </c>
      <c r="R229">
        <v>2.2000000000000002</v>
      </c>
      <c r="S229">
        <v>1</v>
      </c>
      <c r="T229">
        <v>0</v>
      </c>
      <c r="U229">
        <v>2.5</v>
      </c>
      <c r="V229">
        <v>4</v>
      </c>
      <c r="W229">
        <v>2.2000000000000002</v>
      </c>
      <c r="X229" t="s">
        <v>45</v>
      </c>
      <c r="Y229">
        <v>0</v>
      </c>
      <c r="Z229">
        <v>0</v>
      </c>
      <c r="AB229">
        <v>1</v>
      </c>
      <c r="AC229" t="s">
        <v>46</v>
      </c>
      <c r="AE229">
        <v>1</v>
      </c>
      <c r="AF229">
        <v>0</v>
      </c>
      <c r="AG229" t="s">
        <v>75</v>
      </c>
      <c r="AH229" t="s">
        <v>48</v>
      </c>
      <c r="AI229" t="s">
        <v>64</v>
      </c>
      <c r="AJ229">
        <v>2.9</v>
      </c>
      <c r="AK229" s="1" t="s">
        <v>127</v>
      </c>
      <c r="AL229">
        <v>0</v>
      </c>
    </row>
    <row r="230" spans="1:38" x14ac:dyDescent="0.35">
      <c r="A230" t="s">
        <v>399</v>
      </c>
      <c r="B230" t="s">
        <v>39</v>
      </c>
      <c r="C230" t="s">
        <v>88</v>
      </c>
      <c r="D230">
        <v>3.1</v>
      </c>
      <c r="E230" t="s">
        <v>110</v>
      </c>
      <c r="F230">
        <v>30</v>
      </c>
      <c r="G230" t="s">
        <v>68</v>
      </c>
      <c r="H230" t="s">
        <v>43</v>
      </c>
      <c r="I230">
        <v>2</v>
      </c>
      <c r="J230">
        <v>17.899999999999999</v>
      </c>
      <c r="K230">
        <v>7</v>
      </c>
      <c r="L230">
        <v>0</v>
      </c>
      <c r="M230">
        <v>12</v>
      </c>
      <c r="N230">
        <v>0</v>
      </c>
      <c r="O230" t="s">
        <v>44</v>
      </c>
      <c r="P230">
        <v>53500</v>
      </c>
      <c r="Q230">
        <v>0.5</v>
      </c>
      <c r="R230">
        <v>4</v>
      </c>
      <c r="S230">
        <v>0.3</v>
      </c>
      <c r="T230">
        <v>0</v>
      </c>
      <c r="U230">
        <v>2.4</v>
      </c>
      <c r="V230">
        <v>3.6</v>
      </c>
      <c r="W230">
        <v>3.5</v>
      </c>
      <c r="X230" t="s">
        <v>89</v>
      </c>
      <c r="Y230">
        <v>0</v>
      </c>
      <c r="Z230">
        <v>1</v>
      </c>
      <c r="AA230">
        <v>2.2000000000000002</v>
      </c>
      <c r="AB230">
        <v>0</v>
      </c>
      <c r="AC230" t="s">
        <v>46</v>
      </c>
      <c r="AE230">
        <v>0</v>
      </c>
      <c r="AF230">
        <v>0</v>
      </c>
      <c r="AG230" t="s">
        <v>47</v>
      </c>
      <c r="AH230" t="s">
        <v>76</v>
      </c>
      <c r="AI230" t="s">
        <v>49</v>
      </c>
      <c r="AJ230" s="1" t="s">
        <v>100</v>
      </c>
      <c r="AK230" s="1" t="s">
        <v>84</v>
      </c>
      <c r="AL230">
        <v>0</v>
      </c>
    </row>
    <row r="231" spans="1:38" x14ac:dyDescent="0.35">
      <c r="A231" t="s">
        <v>400</v>
      </c>
      <c r="B231" t="s">
        <v>73</v>
      </c>
      <c r="C231" t="s">
        <v>74</v>
      </c>
      <c r="D231">
        <v>5.2</v>
      </c>
      <c r="E231" t="s">
        <v>110</v>
      </c>
      <c r="F231">
        <v>21</v>
      </c>
      <c r="G231" t="s">
        <v>54</v>
      </c>
      <c r="H231" t="s">
        <v>69</v>
      </c>
      <c r="I231">
        <v>4</v>
      </c>
      <c r="J231">
        <v>2.4</v>
      </c>
      <c r="K231">
        <v>7</v>
      </c>
      <c r="L231">
        <v>1</v>
      </c>
      <c r="M231">
        <v>12</v>
      </c>
      <c r="N231">
        <v>0</v>
      </c>
      <c r="O231" t="s">
        <v>44</v>
      </c>
      <c r="P231">
        <v>52400</v>
      </c>
      <c r="Q231">
        <v>12.3</v>
      </c>
      <c r="R231">
        <v>3.4</v>
      </c>
      <c r="S231">
        <v>1.3</v>
      </c>
      <c r="T231">
        <v>0</v>
      </c>
      <c r="U231">
        <v>3.1</v>
      </c>
      <c r="V231">
        <v>4.2</v>
      </c>
      <c r="W231">
        <v>4.0999999999999996</v>
      </c>
      <c r="X231" t="s">
        <v>45</v>
      </c>
      <c r="Y231">
        <v>0</v>
      </c>
      <c r="Z231">
        <v>0</v>
      </c>
      <c r="AB231">
        <v>0</v>
      </c>
      <c r="AC231" t="s">
        <v>46</v>
      </c>
      <c r="AE231">
        <v>1</v>
      </c>
      <c r="AF231">
        <v>0</v>
      </c>
      <c r="AG231" t="s">
        <v>75</v>
      </c>
      <c r="AH231" t="s">
        <v>83</v>
      </c>
      <c r="AI231" t="s">
        <v>64</v>
      </c>
      <c r="AJ231" s="1" t="s">
        <v>347</v>
      </c>
      <c r="AK231" s="1" t="s">
        <v>115</v>
      </c>
      <c r="AL231">
        <v>0</v>
      </c>
    </row>
    <row r="232" spans="1:38" x14ac:dyDescent="0.35">
      <c r="A232" t="s">
        <v>401</v>
      </c>
      <c r="B232" t="s">
        <v>73</v>
      </c>
      <c r="C232" t="s">
        <v>121</v>
      </c>
      <c r="D232">
        <v>3.5</v>
      </c>
      <c r="E232" t="s">
        <v>67</v>
      </c>
      <c r="F232">
        <v>26</v>
      </c>
      <c r="G232" t="s">
        <v>42</v>
      </c>
      <c r="H232" t="s">
        <v>43</v>
      </c>
      <c r="I232">
        <v>3</v>
      </c>
      <c r="J232">
        <v>8.1999999999999993</v>
      </c>
      <c r="K232">
        <v>17</v>
      </c>
      <c r="L232">
        <v>5</v>
      </c>
      <c r="M232">
        <v>12</v>
      </c>
      <c r="N232">
        <v>0</v>
      </c>
      <c r="O232" t="s">
        <v>70</v>
      </c>
      <c r="P232">
        <v>39700</v>
      </c>
      <c r="Q232">
        <v>14.5</v>
      </c>
      <c r="R232">
        <v>3.5</v>
      </c>
      <c r="S232">
        <v>1.3</v>
      </c>
      <c r="T232">
        <v>0</v>
      </c>
      <c r="U232">
        <v>4.3</v>
      </c>
      <c r="V232">
        <v>3.5</v>
      </c>
      <c r="W232">
        <v>4.0999999999999996</v>
      </c>
      <c r="X232" t="s">
        <v>89</v>
      </c>
      <c r="Y232">
        <v>0</v>
      </c>
      <c r="Z232">
        <v>0</v>
      </c>
      <c r="AB232">
        <v>1</v>
      </c>
      <c r="AC232" t="s">
        <v>46</v>
      </c>
      <c r="AE232">
        <v>1</v>
      </c>
      <c r="AF232">
        <v>0</v>
      </c>
      <c r="AG232" t="s">
        <v>75</v>
      </c>
      <c r="AH232" t="s">
        <v>76</v>
      </c>
      <c r="AI232" t="s">
        <v>64</v>
      </c>
      <c r="AJ232" s="1" t="s">
        <v>402</v>
      </c>
      <c r="AK232">
        <v>0.25</v>
      </c>
      <c r="AL232">
        <v>0</v>
      </c>
    </row>
    <row r="233" spans="1:38" x14ac:dyDescent="0.35">
      <c r="A233" t="s">
        <v>403</v>
      </c>
      <c r="B233" t="s">
        <v>98</v>
      </c>
      <c r="C233" t="s">
        <v>148</v>
      </c>
      <c r="D233">
        <v>6.4</v>
      </c>
      <c r="E233" t="s">
        <v>67</v>
      </c>
      <c r="F233">
        <v>32</v>
      </c>
      <c r="G233" t="s">
        <v>54</v>
      </c>
      <c r="H233" t="s">
        <v>55</v>
      </c>
      <c r="I233">
        <v>5</v>
      </c>
      <c r="J233">
        <v>1.6</v>
      </c>
      <c r="K233">
        <v>8</v>
      </c>
      <c r="L233">
        <v>1</v>
      </c>
      <c r="M233">
        <v>12</v>
      </c>
      <c r="N233">
        <v>0</v>
      </c>
      <c r="O233" t="s">
        <v>70</v>
      </c>
      <c r="P233">
        <v>40800</v>
      </c>
      <c r="Q233">
        <v>10.199999999999999</v>
      </c>
      <c r="R233">
        <v>3.2</v>
      </c>
      <c r="S233">
        <v>4.4000000000000004</v>
      </c>
      <c r="T233">
        <v>0</v>
      </c>
      <c r="U233">
        <v>1.7</v>
      </c>
      <c r="V233">
        <v>1.7</v>
      </c>
      <c r="W233">
        <v>3.8</v>
      </c>
      <c r="X233" t="s">
        <v>45</v>
      </c>
      <c r="Y233">
        <v>0</v>
      </c>
      <c r="Z233">
        <v>2</v>
      </c>
      <c r="AA233">
        <v>0.7</v>
      </c>
      <c r="AB233">
        <v>0</v>
      </c>
      <c r="AC233" t="s">
        <v>46</v>
      </c>
      <c r="AE233">
        <v>0</v>
      </c>
      <c r="AF233">
        <v>0</v>
      </c>
      <c r="AG233" t="s">
        <v>47</v>
      </c>
      <c r="AH233" t="s">
        <v>83</v>
      </c>
      <c r="AI233" t="s">
        <v>64</v>
      </c>
      <c r="AJ233">
        <v>2.4</v>
      </c>
      <c r="AK233" s="1" t="s">
        <v>127</v>
      </c>
      <c r="AL233">
        <v>0</v>
      </c>
    </row>
    <row r="234" spans="1:38" x14ac:dyDescent="0.35">
      <c r="A234" t="s">
        <v>404</v>
      </c>
      <c r="B234" t="s">
        <v>60</v>
      </c>
      <c r="C234" t="s">
        <v>107</v>
      </c>
      <c r="D234">
        <v>3</v>
      </c>
      <c r="E234" t="s">
        <v>62</v>
      </c>
      <c r="F234">
        <v>28</v>
      </c>
      <c r="G234" t="s">
        <v>68</v>
      </c>
      <c r="H234" t="s">
        <v>55</v>
      </c>
      <c r="I234">
        <v>1</v>
      </c>
      <c r="J234">
        <v>6.7</v>
      </c>
      <c r="K234">
        <v>17</v>
      </c>
      <c r="L234">
        <v>4</v>
      </c>
      <c r="M234">
        <v>12</v>
      </c>
      <c r="N234">
        <v>0</v>
      </c>
      <c r="O234" t="s">
        <v>56</v>
      </c>
      <c r="P234">
        <v>90600</v>
      </c>
      <c r="Q234">
        <v>6.8</v>
      </c>
      <c r="R234">
        <v>2.6</v>
      </c>
      <c r="S234">
        <v>4.9000000000000004</v>
      </c>
      <c r="T234">
        <v>0</v>
      </c>
      <c r="U234">
        <v>3</v>
      </c>
      <c r="V234">
        <v>2.5</v>
      </c>
      <c r="W234">
        <v>3.4</v>
      </c>
      <c r="X234" t="s">
        <v>45</v>
      </c>
      <c r="Y234">
        <v>0</v>
      </c>
      <c r="Z234">
        <v>1</v>
      </c>
      <c r="AB234">
        <v>0</v>
      </c>
      <c r="AC234" t="s">
        <v>46</v>
      </c>
      <c r="AE234">
        <v>1</v>
      </c>
      <c r="AF234">
        <v>0</v>
      </c>
      <c r="AG234" t="s">
        <v>47</v>
      </c>
      <c r="AH234" t="s">
        <v>48</v>
      </c>
      <c r="AI234" t="s">
        <v>64</v>
      </c>
      <c r="AJ234" s="1" t="s">
        <v>268</v>
      </c>
      <c r="AK234">
        <v>8.3333333333333301E-2</v>
      </c>
      <c r="AL234">
        <v>0</v>
      </c>
    </row>
    <row r="235" spans="1:38" x14ac:dyDescent="0.35">
      <c r="A235" t="s">
        <v>405</v>
      </c>
      <c r="B235" t="s">
        <v>117</v>
      </c>
      <c r="C235" t="s">
        <v>197</v>
      </c>
      <c r="D235">
        <v>10.6</v>
      </c>
      <c r="E235" t="s">
        <v>110</v>
      </c>
      <c r="F235">
        <v>38</v>
      </c>
      <c r="G235" t="s">
        <v>42</v>
      </c>
      <c r="H235" t="s">
        <v>55</v>
      </c>
      <c r="I235">
        <v>6</v>
      </c>
      <c r="J235">
        <v>11.3</v>
      </c>
      <c r="K235">
        <v>7</v>
      </c>
      <c r="L235">
        <v>1</v>
      </c>
      <c r="M235">
        <v>12</v>
      </c>
      <c r="N235">
        <v>0</v>
      </c>
      <c r="O235" t="s">
        <v>44</v>
      </c>
      <c r="P235">
        <v>56300</v>
      </c>
      <c r="Q235">
        <v>13.4</v>
      </c>
      <c r="R235">
        <v>3.6</v>
      </c>
      <c r="S235">
        <v>2.2999999999999998</v>
      </c>
      <c r="T235">
        <v>0</v>
      </c>
      <c r="U235">
        <v>3.3</v>
      </c>
      <c r="V235">
        <v>3</v>
      </c>
      <c r="W235">
        <v>3.4</v>
      </c>
      <c r="X235" t="s">
        <v>45</v>
      </c>
      <c r="Y235">
        <v>1</v>
      </c>
      <c r="Z235">
        <v>0</v>
      </c>
      <c r="AB235">
        <v>1</v>
      </c>
      <c r="AC235" t="s">
        <v>46</v>
      </c>
      <c r="AE235">
        <v>1</v>
      </c>
      <c r="AF235">
        <v>0</v>
      </c>
      <c r="AG235" t="s">
        <v>75</v>
      </c>
      <c r="AH235" t="s">
        <v>83</v>
      </c>
      <c r="AI235" t="s">
        <v>49</v>
      </c>
      <c r="AJ235" s="1" t="s">
        <v>198</v>
      </c>
      <c r="AK235">
        <v>0.5</v>
      </c>
      <c r="AL235">
        <v>0</v>
      </c>
    </row>
    <row r="236" spans="1:38" x14ac:dyDescent="0.35">
      <c r="A236" t="s">
        <v>406</v>
      </c>
      <c r="B236" t="s">
        <v>60</v>
      </c>
      <c r="C236" t="s">
        <v>61</v>
      </c>
      <c r="D236">
        <v>6.3</v>
      </c>
      <c r="E236" t="s">
        <v>67</v>
      </c>
      <c r="F236">
        <v>37</v>
      </c>
      <c r="G236" t="s">
        <v>42</v>
      </c>
      <c r="H236" t="s">
        <v>55</v>
      </c>
      <c r="I236">
        <v>5</v>
      </c>
      <c r="J236">
        <v>44</v>
      </c>
      <c r="K236">
        <v>6</v>
      </c>
      <c r="L236">
        <v>1</v>
      </c>
      <c r="M236">
        <v>12</v>
      </c>
      <c r="N236">
        <v>0</v>
      </c>
      <c r="O236" t="s">
        <v>82</v>
      </c>
      <c r="P236">
        <v>31500</v>
      </c>
      <c r="Q236">
        <v>11</v>
      </c>
      <c r="R236">
        <v>3.7</v>
      </c>
      <c r="S236">
        <v>2.2999999999999998</v>
      </c>
      <c r="T236">
        <v>0</v>
      </c>
      <c r="U236">
        <v>2.2000000000000002</v>
      </c>
      <c r="V236">
        <v>3.1</v>
      </c>
      <c r="W236">
        <v>3.3</v>
      </c>
      <c r="X236" t="s">
        <v>45</v>
      </c>
      <c r="Y236">
        <v>0</v>
      </c>
      <c r="Z236">
        <v>0</v>
      </c>
      <c r="AB236">
        <v>1</v>
      </c>
      <c r="AC236" t="s">
        <v>46</v>
      </c>
      <c r="AE236">
        <v>1</v>
      </c>
      <c r="AF236">
        <v>0</v>
      </c>
      <c r="AG236" t="s">
        <v>75</v>
      </c>
      <c r="AH236" t="s">
        <v>83</v>
      </c>
      <c r="AI236" t="s">
        <v>57</v>
      </c>
      <c r="AJ236" s="1" t="s">
        <v>407</v>
      </c>
      <c r="AK236" s="1" t="s">
        <v>127</v>
      </c>
      <c r="AL236">
        <v>0</v>
      </c>
    </row>
    <row r="237" spans="1:38" x14ac:dyDescent="0.35">
      <c r="A237" t="s">
        <v>408</v>
      </c>
      <c r="B237" t="s">
        <v>39</v>
      </c>
      <c r="C237" t="s">
        <v>40</v>
      </c>
      <c r="D237">
        <v>4.4000000000000004</v>
      </c>
      <c r="E237" t="s">
        <v>110</v>
      </c>
      <c r="F237">
        <v>29</v>
      </c>
      <c r="G237" t="s">
        <v>42</v>
      </c>
      <c r="H237" t="s">
        <v>55</v>
      </c>
      <c r="I237">
        <v>3</v>
      </c>
      <c r="J237">
        <v>22.9</v>
      </c>
      <c r="K237">
        <v>8</v>
      </c>
      <c r="L237">
        <v>5</v>
      </c>
      <c r="M237">
        <v>12</v>
      </c>
      <c r="N237">
        <v>0</v>
      </c>
      <c r="O237" t="s">
        <v>44</v>
      </c>
      <c r="P237">
        <v>59200</v>
      </c>
      <c r="Q237">
        <v>12.5</v>
      </c>
      <c r="R237">
        <v>2.5</v>
      </c>
      <c r="S237">
        <v>3</v>
      </c>
      <c r="T237">
        <v>0</v>
      </c>
      <c r="U237">
        <v>4.4000000000000004</v>
      </c>
      <c r="V237">
        <v>3.5</v>
      </c>
      <c r="W237">
        <v>4.7</v>
      </c>
      <c r="X237" t="s">
        <v>89</v>
      </c>
      <c r="Y237">
        <v>0</v>
      </c>
      <c r="Z237">
        <v>0</v>
      </c>
      <c r="AB237">
        <v>0</v>
      </c>
      <c r="AC237" t="s">
        <v>46</v>
      </c>
      <c r="AE237">
        <v>1</v>
      </c>
      <c r="AF237">
        <v>0</v>
      </c>
      <c r="AG237" t="s">
        <v>75</v>
      </c>
      <c r="AH237" t="s">
        <v>76</v>
      </c>
      <c r="AI237" t="s">
        <v>57</v>
      </c>
      <c r="AJ237">
        <v>4.2</v>
      </c>
      <c r="AK237">
        <v>0.25</v>
      </c>
      <c r="AL237">
        <v>0</v>
      </c>
    </row>
    <row r="238" spans="1:38" x14ac:dyDescent="0.35">
      <c r="A238" t="s">
        <v>409</v>
      </c>
      <c r="B238" t="s">
        <v>52</v>
      </c>
      <c r="C238" t="s">
        <v>53</v>
      </c>
      <c r="D238">
        <v>5.2</v>
      </c>
      <c r="E238" t="s">
        <v>67</v>
      </c>
      <c r="F238">
        <v>27</v>
      </c>
      <c r="G238" t="s">
        <v>42</v>
      </c>
      <c r="H238" t="s">
        <v>55</v>
      </c>
      <c r="I238">
        <v>5</v>
      </c>
      <c r="J238">
        <v>1.6</v>
      </c>
      <c r="K238">
        <v>4</v>
      </c>
      <c r="L238">
        <v>2</v>
      </c>
      <c r="M238">
        <v>12</v>
      </c>
      <c r="N238">
        <v>0</v>
      </c>
      <c r="O238" t="s">
        <v>70</v>
      </c>
      <c r="P238">
        <v>41200</v>
      </c>
      <c r="Q238">
        <v>0.6</v>
      </c>
      <c r="R238">
        <v>2</v>
      </c>
      <c r="S238">
        <v>1.7</v>
      </c>
      <c r="T238">
        <v>0</v>
      </c>
      <c r="U238">
        <v>2.2999999999999998</v>
      </c>
      <c r="V238">
        <v>2.5</v>
      </c>
      <c r="W238">
        <v>3.6</v>
      </c>
      <c r="X238" t="s">
        <v>45</v>
      </c>
      <c r="Y238">
        <v>0</v>
      </c>
      <c r="Z238">
        <v>1</v>
      </c>
      <c r="AA238">
        <v>4.3</v>
      </c>
      <c r="AB238">
        <v>0</v>
      </c>
      <c r="AC238" t="s">
        <v>46</v>
      </c>
      <c r="AE238">
        <v>0</v>
      </c>
      <c r="AF238">
        <v>0</v>
      </c>
      <c r="AG238" t="s">
        <v>47</v>
      </c>
      <c r="AH238" t="s">
        <v>83</v>
      </c>
      <c r="AI238" t="s">
        <v>64</v>
      </c>
      <c r="AJ238" s="1" t="s">
        <v>144</v>
      </c>
      <c r="AK238" s="1" t="s">
        <v>127</v>
      </c>
      <c r="AL238">
        <v>0</v>
      </c>
    </row>
    <row r="239" spans="1:38" x14ac:dyDescent="0.35">
      <c r="A239" t="s">
        <v>410</v>
      </c>
      <c r="B239" t="s">
        <v>39</v>
      </c>
      <c r="C239" t="s">
        <v>88</v>
      </c>
      <c r="D239">
        <v>2.4</v>
      </c>
      <c r="E239" t="s">
        <v>67</v>
      </c>
      <c r="F239">
        <v>30</v>
      </c>
      <c r="G239" t="s">
        <v>42</v>
      </c>
      <c r="H239" t="s">
        <v>55</v>
      </c>
      <c r="I239">
        <v>4</v>
      </c>
      <c r="J239">
        <v>1.8</v>
      </c>
      <c r="K239">
        <v>6</v>
      </c>
      <c r="L239">
        <v>2</v>
      </c>
      <c r="M239">
        <v>12</v>
      </c>
      <c r="N239">
        <v>0</v>
      </c>
      <c r="O239" t="s">
        <v>82</v>
      </c>
      <c r="P239">
        <v>27600</v>
      </c>
      <c r="Q239">
        <v>9.4</v>
      </c>
      <c r="R239">
        <v>3.3</v>
      </c>
      <c r="S239">
        <v>3.2</v>
      </c>
      <c r="T239">
        <v>0</v>
      </c>
      <c r="U239">
        <v>2.5</v>
      </c>
      <c r="V239">
        <v>5</v>
      </c>
      <c r="W239">
        <v>3.3</v>
      </c>
      <c r="X239" t="s">
        <v>45</v>
      </c>
      <c r="Y239">
        <v>0</v>
      </c>
      <c r="Z239">
        <v>0</v>
      </c>
      <c r="AB239">
        <v>1</v>
      </c>
      <c r="AC239" t="s">
        <v>46</v>
      </c>
      <c r="AE239">
        <v>1</v>
      </c>
      <c r="AF239">
        <v>0</v>
      </c>
      <c r="AG239" t="s">
        <v>75</v>
      </c>
      <c r="AH239" t="s">
        <v>48</v>
      </c>
      <c r="AI239" t="s">
        <v>64</v>
      </c>
      <c r="AJ239">
        <v>3.6</v>
      </c>
      <c r="AK239" s="1" t="s">
        <v>115</v>
      </c>
      <c r="AL239">
        <v>0</v>
      </c>
    </row>
    <row r="240" spans="1:38" x14ac:dyDescent="0.35">
      <c r="A240" t="s">
        <v>411</v>
      </c>
      <c r="B240" t="s">
        <v>73</v>
      </c>
      <c r="C240" t="s">
        <v>113</v>
      </c>
      <c r="D240">
        <v>3.1</v>
      </c>
      <c r="E240" t="s">
        <v>67</v>
      </c>
      <c r="F240">
        <v>28</v>
      </c>
      <c r="G240" t="s">
        <v>54</v>
      </c>
      <c r="H240" t="s">
        <v>63</v>
      </c>
      <c r="I240">
        <v>2</v>
      </c>
      <c r="J240">
        <v>5</v>
      </c>
      <c r="K240">
        <v>13</v>
      </c>
      <c r="L240">
        <v>0</v>
      </c>
      <c r="M240">
        <v>12</v>
      </c>
      <c r="N240">
        <v>0</v>
      </c>
      <c r="O240" t="s">
        <v>70</v>
      </c>
      <c r="P240">
        <v>42300</v>
      </c>
      <c r="Q240">
        <v>15.1</v>
      </c>
      <c r="R240">
        <v>3.9</v>
      </c>
      <c r="S240">
        <v>0.2</v>
      </c>
      <c r="T240">
        <v>0</v>
      </c>
      <c r="U240">
        <v>3.2</v>
      </c>
      <c r="V240">
        <v>3.1</v>
      </c>
      <c r="W240">
        <v>3.9</v>
      </c>
      <c r="X240" t="s">
        <v>89</v>
      </c>
      <c r="Y240">
        <v>0</v>
      </c>
      <c r="Z240">
        <v>0</v>
      </c>
      <c r="AB240">
        <v>0</v>
      </c>
      <c r="AC240" t="s">
        <v>46</v>
      </c>
      <c r="AE240">
        <v>1</v>
      </c>
      <c r="AF240">
        <v>0</v>
      </c>
      <c r="AG240" t="s">
        <v>75</v>
      </c>
      <c r="AH240" t="s">
        <v>76</v>
      </c>
      <c r="AI240" t="s">
        <v>64</v>
      </c>
      <c r="AJ240" s="1" t="s">
        <v>412</v>
      </c>
      <c r="AK240" s="1" t="s">
        <v>84</v>
      </c>
      <c r="AL240">
        <v>0</v>
      </c>
    </row>
    <row r="241" spans="1:38" x14ac:dyDescent="0.35">
      <c r="A241" t="s">
        <v>413</v>
      </c>
      <c r="B241" t="s">
        <v>73</v>
      </c>
      <c r="C241" t="s">
        <v>74</v>
      </c>
      <c r="D241">
        <v>3</v>
      </c>
      <c r="E241" t="s">
        <v>67</v>
      </c>
      <c r="F241">
        <v>28</v>
      </c>
      <c r="G241" t="s">
        <v>42</v>
      </c>
      <c r="H241" t="s">
        <v>55</v>
      </c>
      <c r="I241">
        <v>1</v>
      </c>
      <c r="J241">
        <v>33.1</v>
      </c>
      <c r="K241">
        <v>10</v>
      </c>
      <c r="L241">
        <v>2</v>
      </c>
      <c r="M241">
        <v>12</v>
      </c>
      <c r="N241">
        <v>0</v>
      </c>
      <c r="O241" t="s">
        <v>70</v>
      </c>
      <c r="P241">
        <v>38300</v>
      </c>
      <c r="Q241">
        <v>10.1</v>
      </c>
      <c r="R241">
        <v>4.0999999999999996</v>
      </c>
      <c r="S241">
        <v>2.6</v>
      </c>
      <c r="T241">
        <v>0</v>
      </c>
      <c r="U241">
        <v>5</v>
      </c>
      <c r="V241">
        <v>3.2</v>
      </c>
      <c r="W241">
        <v>3.4</v>
      </c>
      <c r="X241" t="s">
        <v>45</v>
      </c>
      <c r="Y241">
        <v>0</v>
      </c>
      <c r="Z241">
        <v>2</v>
      </c>
      <c r="AB241">
        <v>0</v>
      </c>
      <c r="AC241" t="s">
        <v>46</v>
      </c>
      <c r="AE241">
        <v>1</v>
      </c>
      <c r="AF241">
        <v>0</v>
      </c>
      <c r="AG241" t="s">
        <v>47</v>
      </c>
      <c r="AH241" t="s">
        <v>48</v>
      </c>
      <c r="AI241" t="s">
        <v>57</v>
      </c>
      <c r="AJ241" s="1" t="s">
        <v>131</v>
      </c>
      <c r="AK241">
        <v>8.3333333333333301E-2</v>
      </c>
      <c r="AL241">
        <v>0</v>
      </c>
    </row>
    <row r="242" spans="1:38" x14ac:dyDescent="0.35">
      <c r="A242" t="s">
        <v>414</v>
      </c>
      <c r="B242" t="s">
        <v>60</v>
      </c>
      <c r="C242" t="s">
        <v>80</v>
      </c>
      <c r="D242">
        <v>2</v>
      </c>
      <c r="E242" t="s">
        <v>110</v>
      </c>
      <c r="F242">
        <v>27</v>
      </c>
      <c r="G242" t="s">
        <v>68</v>
      </c>
      <c r="H242" t="s">
        <v>55</v>
      </c>
      <c r="I242">
        <v>3</v>
      </c>
      <c r="J242">
        <v>1.7</v>
      </c>
      <c r="K242">
        <v>7</v>
      </c>
      <c r="L242">
        <v>3</v>
      </c>
      <c r="M242">
        <v>12</v>
      </c>
      <c r="N242">
        <v>0</v>
      </c>
      <c r="O242" t="s">
        <v>70</v>
      </c>
      <c r="P242">
        <v>46200</v>
      </c>
      <c r="Q242">
        <v>11.8</v>
      </c>
      <c r="R242">
        <v>4.3</v>
      </c>
      <c r="S242">
        <v>0.4</v>
      </c>
      <c r="T242">
        <v>0</v>
      </c>
      <c r="U242">
        <v>2.7</v>
      </c>
      <c r="V242">
        <v>2.6</v>
      </c>
      <c r="W242">
        <v>3.6</v>
      </c>
      <c r="X242" t="s">
        <v>89</v>
      </c>
      <c r="Y242">
        <v>0</v>
      </c>
      <c r="Z242">
        <v>1</v>
      </c>
      <c r="AA242">
        <v>1.5</v>
      </c>
      <c r="AB242">
        <v>0</v>
      </c>
      <c r="AC242" t="s">
        <v>46</v>
      </c>
      <c r="AE242">
        <v>0</v>
      </c>
      <c r="AF242">
        <v>0</v>
      </c>
      <c r="AG242" t="s">
        <v>47</v>
      </c>
      <c r="AH242" t="s">
        <v>48</v>
      </c>
      <c r="AI242" t="s">
        <v>64</v>
      </c>
      <c r="AJ242" s="1" t="s">
        <v>268</v>
      </c>
      <c r="AK242">
        <v>0.25</v>
      </c>
      <c r="AL242">
        <v>0</v>
      </c>
    </row>
    <row r="243" spans="1:38" x14ac:dyDescent="0.35">
      <c r="A243" t="s">
        <v>415</v>
      </c>
      <c r="B243" t="s">
        <v>39</v>
      </c>
      <c r="C243" t="s">
        <v>66</v>
      </c>
      <c r="D243">
        <v>1.1000000000000001</v>
      </c>
      <c r="E243" t="s">
        <v>81</v>
      </c>
      <c r="F243">
        <v>36</v>
      </c>
      <c r="G243" t="s">
        <v>68</v>
      </c>
      <c r="H243" t="s">
        <v>43</v>
      </c>
      <c r="I243">
        <v>8</v>
      </c>
      <c r="J243">
        <v>5.2</v>
      </c>
      <c r="K243">
        <v>10</v>
      </c>
      <c r="L243">
        <v>1</v>
      </c>
      <c r="M243">
        <v>12</v>
      </c>
      <c r="N243">
        <v>0</v>
      </c>
      <c r="O243" t="s">
        <v>82</v>
      </c>
      <c r="P243">
        <v>24600</v>
      </c>
      <c r="Q243">
        <v>8.1</v>
      </c>
      <c r="R243">
        <v>3.5</v>
      </c>
      <c r="S243">
        <v>0.4</v>
      </c>
      <c r="T243">
        <v>0</v>
      </c>
      <c r="U243">
        <v>1.7</v>
      </c>
      <c r="V243">
        <v>2.2999999999999998</v>
      </c>
      <c r="W243">
        <v>3.2</v>
      </c>
      <c r="X243" t="s">
        <v>45</v>
      </c>
      <c r="Y243">
        <v>0</v>
      </c>
      <c r="Z243">
        <v>1</v>
      </c>
      <c r="AA243">
        <v>0.4</v>
      </c>
      <c r="AB243">
        <v>0</v>
      </c>
      <c r="AC243" t="s">
        <v>46</v>
      </c>
      <c r="AE243">
        <v>0</v>
      </c>
      <c r="AF243">
        <v>0</v>
      </c>
      <c r="AG243" t="s">
        <v>47</v>
      </c>
      <c r="AH243" t="s">
        <v>48</v>
      </c>
      <c r="AI243" t="s">
        <v>64</v>
      </c>
      <c r="AJ243">
        <v>2.4</v>
      </c>
      <c r="AK243" s="1" t="s">
        <v>78</v>
      </c>
      <c r="AL243">
        <v>0</v>
      </c>
    </row>
    <row r="244" spans="1:38" x14ac:dyDescent="0.35">
      <c r="A244" t="s">
        <v>416</v>
      </c>
      <c r="B244" t="s">
        <v>73</v>
      </c>
      <c r="C244" t="s">
        <v>113</v>
      </c>
      <c r="D244">
        <v>5.4</v>
      </c>
      <c r="E244" t="s">
        <v>41</v>
      </c>
      <c r="F244">
        <v>22</v>
      </c>
      <c r="G244" t="s">
        <v>42</v>
      </c>
      <c r="H244" t="s">
        <v>55</v>
      </c>
      <c r="I244">
        <v>3</v>
      </c>
      <c r="J244">
        <v>5.2</v>
      </c>
      <c r="K244">
        <v>7</v>
      </c>
      <c r="L244">
        <v>1</v>
      </c>
      <c r="M244">
        <v>12</v>
      </c>
      <c r="N244">
        <v>0</v>
      </c>
      <c r="O244" t="s">
        <v>44</v>
      </c>
      <c r="P244">
        <v>67500</v>
      </c>
      <c r="Q244">
        <v>8.4</v>
      </c>
      <c r="R244">
        <v>3</v>
      </c>
      <c r="S244">
        <v>3</v>
      </c>
      <c r="T244">
        <v>0</v>
      </c>
      <c r="U244">
        <v>2</v>
      </c>
      <c r="V244">
        <v>3.1</v>
      </c>
      <c r="W244">
        <v>3.1</v>
      </c>
      <c r="X244" t="s">
        <v>45</v>
      </c>
      <c r="Y244">
        <v>0</v>
      </c>
      <c r="Z244">
        <v>0</v>
      </c>
      <c r="AB244">
        <v>0</v>
      </c>
      <c r="AC244" t="s">
        <v>46</v>
      </c>
      <c r="AE244">
        <v>1</v>
      </c>
      <c r="AF244">
        <v>0</v>
      </c>
      <c r="AG244" t="s">
        <v>75</v>
      </c>
      <c r="AH244" t="s">
        <v>83</v>
      </c>
      <c r="AI244" t="s">
        <v>64</v>
      </c>
      <c r="AJ244" s="1" t="s">
        <v>168</v>
      </c>
      <c r="AK244">
        <v>0.25</v>
      </c>
      <c r="AL244">
        <v>0</v>
      </c>
    </row>
    <row r="245" spans="1:38" x14ac:dyDescent="0.35">
      <c r="A245" t="s">
        <v>417</v>
      </c>
      <c r="B245" t="s">
        <v>117</v>
      </c>
      <c r="C245" t="s">
        <v>197</v>
      </c>
      <c r="D245">
        <v>7</v>
      </c>
      <c r="E245" t="s">
        <v>67</v>
      </c>
      <c r="F245">
        <v>31</v>
      </c>
      <c r="G245" t="s">
        <v>68</v>
      </c>
      <c r="H245" t="s">
        <v>43</v>
      </c>
      <c r="I245">
        <v>4</v>
      </c>
      <c r="J245">
        <v>13.5</v>
      </c>
      <c r="K245">
        <v>10</v>
      </c>
      <c r="L245">
        <v>4</v>
      </c>
      <c r="M245">
        <v>12</v>
      </c>
      <c r="N245">
        <v>0</v>
      </c>
      <c r="O245" t="s">
        <v>70</v>
      </c>
      <c r="P245">
        <v>36300</v>
      </c>
      <c r="Q245">
        <v>13.6</v>
      </c>
      <c r="R245">
        <v>3.2</v>
      </c>
      <c r="S245">
        <v>0.6</v>
      </c>
      <c r="T245">
        <v>0</v>
      </c>
      <c r="U245">
        <v>4.0999999999999996</v>
      </c>
      <c r="V245">
        <v>3.2</v>
      </c>
      <c r="W245">
        <v>4.2</v>
      </c>
      <c r="X245" t="s">
        <v>45</v>
      </c>
      <c r="Y245">
        <v>0</v>
      </c>
      <c r="Z245">
        <v>0</v>
      </c>
      <c r="AB245">
        <v>0</v>
      </c>
      <c r="AC245" t="s">
        <v>46</v>
      </c>
      <c r="AE245">
        <v>1</v>
      </c>
      <c r="AF245">
        <v>0</v>
      </c>
      <c r="AG245" t="s">
        <v>75</v>
      </c>
      <c r="AH245" t="s">
        <v>83</v>
      </c>
      <c r="AI245" t="s">
        <v>49</v>
      </c>
      <c r="AJ245" s="1" t="s">
        <v>180</v>
      </c>
      <c r="AK245" s="1" t="s">
        <v>115</v>
      </c>
      <c r="AL245">
        <v>0</v>
      </c>
    </row>
    <row r="246" spans="1:38" x14ac:dyDescent="0.35">
      <c r="A246" t="s">
        <v>418</v>
      </c>
      <c r="B246" t="s">
        <v>39</v>
      </c>
      <c r="C246" t="s">
        <v>40</v>
      </c>
      <c r="D246">
        <v>4.9000000000000004</v>
      </c>
      <c r="E246" t="s">
        <v>110</v>
      </c>
      <c r="F246">
        <v>31</v>
      </c>
      <c r="G246" t="s">
        <v>68</v>
      </c>
      <c r="H246" t="s">
        <v>55</v>
      </c>
      <c r="I246">
        <v>3</v>
      </c>
      <c r="J246">
        <v>18.3</v>
      </c>
      <c r="K246">
        <v>5</v>
      </c>
      <c r="L246">
        <v>2</v>
      </c>
      <c r="M246">
        <v>12</v>
      </c>
      <c r="N246">
        <v>0</v>
      </c>
      <c r="O246" t="s">
        <v>70</v>
      </c>
      <c r="P246">
        <v>49100</v>
      </c>
      <c r="Q246">
        <v>5.3</v>
      </c>
      <c r="R246">
        <v>2.1</v>
      </c>
      <c r="S246">
        <v>0.4</v>
      </c>
      <c r="T246">
        <v>0</v>
      </c>
      <c r="U246">
        <v>2.1</v>
      </c>
      <c r="V246">
        <v>3.1</v>
      </c>
      <c r="W246">
        <v>1.8</v>
      </c>
      <c r="X246" t="s">
        <v>45</v>
      </c>
      <c r="Y246">
        <v>0</v>
      </c>
      <c r="Z246">
        <v>0</v>
      </c>
      <c r="AB246">
        <v>0</v>
      </c>
      <c r="AC246" t="s">
        <v>46</v>
      </c>
      <c r="AE246">
        <v>1</v>
      </c>
      <c r="AF246">
        <v>0</v>
      </c>
      <c r="AG246" t="s">
        <v>75</v>
      </c>
      <c r="AH246" t="s">
        <v>76</v>
      </c>
      <c r="AI246" t="s">
        <v>49</v>
      </c>
      <c r="AJ246" s="1" t="s">
        <v>419</v>
      </c>
      <c r="AK246">
        <v>0.25</v>
      </c>
      <c r="AL246">
        <v>0</v>
      </c>
    </row>
    <row r="247" spans="1:38" x14ac:dyDescent="0.35">
      <c r="A247" t="s">
        <v>420</v>
      </c>
      <c r="B247" t="s">
        <v>60</v>
      </c>
      <c r="C247" t="s">
        <v>107</v>
      </c>
      <c r="D247">
        <v>3.5</v>
      </c>
      <c r="E247" t="s">
        <v>110</v>
      </c>
      <c r="F247">
        <v>26</v>
      </c>
      <c r="G247" t="s">
        <v>42</v>
      </c>
      <c r="H247" t="s">
        <v>69</v>
      </c>
      <c r="I247">
        <v>2</v>
      </c>
      <c r="J247">
        <v>15.4</v>
      </c>
      <c r="K247">
        <v>10</v>
      </c>
      <c r="L247">
        <v>4</v>
      </c>
      <c r="M247">
        <v>12</v>
      </c>
      <c r="N247">
        <v>0</v>
      </c>
      <c r="O247" t="s">
        <v>44</v>
      </c>
      <c r="P247">
        <v>64000</v>
      </c>
      <c r="Q247">
        <v>4.9000000000000004</v>
      </c>
      <c r="R247">
        <v>2.6</v>
      </c>
      <c r="S247">
        <v>1.8</v>
      </c>
      <c r="T247">
        <v>0</v>
      </c>
      <c r="U247">
        <v>4.4000000000000004</v>
      </c>
      <c r="V247">
        <v>4.7</v>
      </c>
      <c r="W247">
        <v>3.8</v>
      </c>
      <c r="X247" t="s">
        <v>45</v>
      </c>
      <c r="Y247">
        <v>0</v>
      </c>
      <c r="Z247">
        <v>0</v>
      </c>
      <c r="AB247">
        <v>0</v>
      </c>
      <c r="AC247" t="s">
        <v>46</v>
      </c>
      <c r="AE247">
        <v>1</v>
      </c>
      <c r="AF247">
        <v>0</v>
      </c>
      <c r="AG247" t="s">
        <v>75</v>
      </c>
      <c r="AH247" t="s">
        <v>76</v>
      </c>
      <c r="AI247" t="s">
        <v>49</v>
      </c>
      <c r="AJ247" s="1" t="s">
        <v>185</v>
      </c>
      <c r="AK247" s="1" t="s">
        <v>84</v>
      </c>
      <c r="AL247">
        <v>0</v>
      </c>
    </row>
    <row r="248" spans="1:38" x14ac:dyDescent="0.35">
      <c r="A248" t="s">
        <v>421</v>
      </c>
      <c r="B248" t="s">
        <v>39</v>
      </c>
      <c r="C248" t="s">
        <v>66</v>
      </c>
      <c r="D248">
        <v>13.6</v>
      </c>
      <c r="E248" t="s">
        <v>110</v>
      </c>
      <c r="F248">
        <v>43</v>
      </c>
      <c r="G248" t="s">
        <v>42</v>
      </c>
      <c r="H248" t="s">
        <v>69</v>
      </c>
      <c r="I248">
        <v>5</v>
      </c>
      <c r="J248">
        <v>12.1</v>
      </c>
      <c r="K248">
        <v>6</v>
      </c>
      <c r="L248">
        <v>3</v>
      </c>
      <c r="M248">
        <v>12</v>
      </c>
      <c r="N248">
        <v>0</v>
      </c>
      <c r="O248" t="s">
        <v>44</v>
      </c>
      <c r="P248">
        <v>63800</v>
      </c>
      <c r="Q248">
        <v>6.1</v>
      </c>
      <c r="R248">
        <v>3.2</v>
      </c>
      <c r="S248">
        <v>0.5</v>
      </c>
      <c r="T248">
        <v>0</v>
      </c>
      <c r="U248">
        <v>3.4</v>
      </c>
      <c r="V248">
        <v>3.1</v>
      </c>
      <c r="W248">
        <v>3</v>
      </c>
      <c r="X248" t="s">
        <v>45</v>
      </c>
      <c r="Y248">
        <v>0</v>
      </c>
      <c r="Z248">
        <v>1</v>
      </c>
      <c r="AA248">
        <v>5.6</v>
      </c>
      <c r="AB248">
        <v>1</v>
      </c>
      <c r="AC248" t="s">
        <v>46</v>
      </c>
      <c r="AE248">
        <v>0</v>
      </c>
      <c r="AF248">
        <v>0</v>
      </c>
      <c r="AG248" t="s">
        <v>47</v>
      </c>
      <c r="AH248" t="s">
        <v>83</v>
      </c>
      <c r="AI248" t="s">
        <v>49</v>
      </c>
      <c r="AJ248" s="1" t="s">
        <v>100</v>
      </c>
      <c r="AK248" s="1" t="s">
        <v>127</v>
      </c>
      <c r="AL248">
        <v>0</v>
      </c>
    </row>
    <row r="249" spans="1:38" x14ac:dyDescent="0.35">
      <c r="A249" t="s">
        <v>422</v>
      </c>
      <c r="B249" t="s">
        <v>98</v>
      </c>
      <c r="C249" t="s">
        <v>148</v>
      </c>
      <c r="D249">
        <v>2.2000000000000002</v>
      </c>
      <c r="E249" t="s">
        <v>110</v>
      </c>
      <c r="F249">
        <v>31</v>
      </c>
      <c r="G249" t="s">
        <v>42</v>
      </c>
      <c r="H249" t="s">
        <v>69</v>
      </c>
      <c r="I249">
        <v>0</v>
      </c>
      <c r="J249">
        <v>2.2000000000000002</v>
      </c>
      <c r="K249">
        <v>9</v>
      </c>
      <c r="L249">
        <v>1</v>
      </c>
      <c r="M249">
        <v>12</v>
      </c>
      <c r="N249">
        <v>0</v>
      </c>
      <c r="O249" t="s">
        <v>44</v>
      </c>
      <c r="P249">
        <v>64900</v>
      </c>
      <c r="Q249">
        <v>8.1</v>
      </c>
      <c r="R249">
        <v>3</v>
      </c>
      <c r="S249">
        <v>0.4</v>
      </c>
      <c r="T249">
        <v>0</v>
      </c>
      <c r="U249">
        <v>3.3</v>
      </c>
      <c r="V249">
        <v>3.1</v>
      </c>
      <c r="W249">
        <v>1.9</v>
      </c>
      <c r="X249" t="s">
        <v>45</v>
      </c>
      <c r="Y249">
        <v>0</v>
      </c>
      <c r="Z249">
        <v>0</v>
      </c>
      <c r="AB249">
        <v>1</v>
      </c>
      <c r="AC249" t="s">
        <v>46</v>
      </c>
      <c r="AE249">
        <v>1</v>
      </c>
      <c r="AF249">
        <v>0</v>
      </c>
      <c r="AG249" t="s">
        <v>75</v>
      </c>
      <c r="AH249" t="s">
        <v>48</v>
      </c>
      <c r="AI249" t="s">
        <v>64</v>
      </c>
      <c r="AJ249" s="1" t="s">
        <v>170</v>
      </c>
      <c r="AK249">
        <v>0</v>
      </c>
      <c r="AL249">
        <v>0</v>
      </c>
    </row>
    <row r="250" spans="1:38" x14ac:dyDescent="0.35">
      <c r="A250" t="s">
        <v>423</v>
      </c>
      <c r="B250" t="s">
        <v>98</v>
      </c>
      <c r="C250" t="s">
        <v>148</v>
      </c>
      <c r="D250">
        <v>4.5</v>
      </c>
      <c r="E250" t="s">
        <v>62</v>
      </c>
      <c r="F250">
        <v>30</v>
      </c>
      <c r="G250" t="s">
        <v>42</v>
      </c>
      <c r="H250" t="s">
        <v>69</v>
      </c>
      <c r="I250">
        <v>1</v>
      </c>
      <c r="J250">
        <v>10.6</v>
      </c>
      <c r="K250">
        <v>9</v>
      </c>
      <c r="L250">
        <v>0</v>
      </c>
      <c r="M250">
        <v>12</v>
      </c>
      <c r="N250">
        <v>0</v>
      </c>
      <c r="O250" t="s">
        <v>56</v>
      </c>
      <c r="P250">
        <v>101200</v>
      </c>
      <c r="Q250">
        <v>1.6</v>
      </c>
      <c r="R250">
        <v>3.3</v>
      </c>
      <c r="S250">
        <v>0.2</v>
      </c>
      <c r="T250">
        <v>0</v>
      </c>
      <c r="U250">
        <v>3.6</v>
      </c>
      <c r="V250">
        <v>3.9</v>
      </c>
      <c r="W250">
        <v>2.6</v>
      </c>
      <c r="X250" t="s">
        <v>45</v>
      </c>
      <c r="Y250">
        <v>0</v>
      </c>
      <c r="Z250">
        <v>1</v>
      </c>
      <c r="AA250">
        <v>2.8</v>
      </c>
      <c r="AB250">
        <v>2</v>
      </c>
      <c r="AC250" t="s">
        <v>46</v>
      </c>
      <c r="AE250">
        <v>0</v>
      </c>
      <c r="AF250">
        <v>0</v>
      </c>
      <c r="AG250" t="s">
        <v>47</v>
      </c>
      <c r="AH250" t="s">
        <v>76</v>
      </c>
      <c r="AI250" t="s">
        <v>49</v>
      </c>
      <c r="AJ250" s="1" t="s">
        <v>86</v>
      </c>
      <c r="AK250">
        <v>8.3333333333333301E-2</v>
      </c>
      <c r="AL250">
        <v>0</v>
      </c>
    </row>
    <row r="251" spans="1:38" x14ac:dyDescent="0.35">
      <c r="A251" t="s">
        <v>424</v>
      </c>
      <c r="B251" t="s">
        <v>52</v>
      </c>
      <c r="C251" t="s">
        <v>93</v>
      </c>
      <c r="D251">
        <v>7.7</v>
      </c>
      <c r="E251" t="s">
        <v>67</v>
      </c>
      <c r="F251">
        <v>33</v>
      </c>
      <c r="G251" t="s">
        <v>54</v>
      </c>
      <c r="H251" t="s">
        <v>43</v>
      </c>
      <c r="I251">
        <v>2</v>
      </c>
      <c r="J251">
        <v>25.4</v>
      </c>
      <c r="K251">
        <v>4</v>
      </c>
      <c r="L251">
        <v>4</v>
      </c>
      <c r="M251">
        <v>12</v>
      </c>
      <c r="N251">
        <v>0</v>
      </c>
      <c r="O251" t="s">
        <v>70</v>
      </c>
      <c r="P251">
        <v>44100</v>
      </c>
      <c r="Q251">
        <v>10.9</v>
      </c>
      <c r="R251">
        <v>2</v>
      </c>
      <c r="S251">
        <v>0.8</v>
      </c>
      <c r="T251">
        <v>0</v>
      </c>
      <c r="U251">
        <v>2.6</v>
      </c>
      <c r="V251">
        <v>3</v>
      </c>
      <c r="W251">
        <v>3.4</v>
      </c>
      <c r="X251" t="s">
        <v>45</v>
      </c>
      <c r="Y251">
        <v>0</v>
      </c>
      <c r="Z251">
        <v>1</v>
      </c>
      <c r="AA251">
        <v>2</v>
      </c>
      <c r="AB251">
        <v>0</v>
      </c>
      <c r="AC251" t="s">
        <v>46</v>
      </c>
      <c r="AE251">
        <v>0</v>
      </c>
      <c r="AF251">
        <v>0</v>
      </c>
      <c r="AG251" t="s">
        <v>47</v>
      </c>
      <c r="AH251" t="s">
        <v>83</v>
      </c>
      <c r="AI251" t="s">
        <v>57</v>
      </c>
      <c r="AJ251">
        <v>3</v>
      </c>
      <c r="AK251" s="1" t="s">
        <v>84</v>
      </c>
      <c r="AL251">
        <v>0</v>
      </c>
    </row>
    <row r="252" spans="1:38" x14ac:dyDescent="0.35">
      <c r="A252" t="s">
        <v>425</v>
      </c>
      <c r="B252" t="s">
        <v>39</v>
      </c>
      <c r="C252" t="s">
        <v>66</v>
      </c>
      <c r="D252">
        <v>1.4</v>
      </c>
      <c r="E252" t="s">
        <v>110</v>
      </c>
      <c r="F252">
        <v>27</v>
      </c>
      <c r="G252" t="s">
        <v>42</v>
      </c>
      <c r="H252" t="s">
        <v>55</v>
      </c>
      <c r="I252">
        <v>5</v>
      </c>
      <c r="J252">
        <v>31.5</v>
      </c>
      <c r="K252">
        <v>3</v>
      </c>
      <c r="L252">
        <v>2</v>
      </c>
      <c r="M252">
        <v>12</v>
      </c>
      <c r="N252">
        <v>0</v>
      </c>
      <c r="O252" t="s">
        <v>70</v>
      </c>
      <c r="P252">
        <v>46500</v>
      </c>
      <c r="Q252">
        <v>7.3</v>
      </c>
      <c r="R252">
        <v>2.2000000000000002</v>
      </c>
      <c r="S252">
        <v>2.2999999999999998</v>
      </c>
      <c r="T252">
        <v>0</v>
      </c>
      <c r="U252">
        <v>3.4</v>
      </c>
      <c r="V252">
        <v>3.7</v>
      </c>
      <c r="W252">
        <v>3.5</v>
      </c>
      <c r="X252" t="s">
        <v>45</v>
      </c>
      <c r="Y252">
        <v>0</v>
      </c>
      <c r="Z252">
        <v>2</v>
      </c>
      <c r="AA252">
        <v>0.2</v>
      </c>
      <c r="AB252">
        <v>0</v>
      </c>
      <c r="AC252" t="s">
        <v>46</v>
      </c>
      <c r="AE252">
        <v>0</v>
      </c>
      <c r="AF252">
        <v>0</v>
      </c>
      <c r="AG252" t="s">
        <v>47</v>
      </c>
      <c r="AH252" t="s">
        <v>48</v>
      </c>
      <c r="AI252" t="s">
        <v>57</v>
      </c>
      <c r="AJ252" s="1" t="s">
        <v>122</v>
      </c>
      <c r="AK252" s="1" t="s">
        <v>127</v>
      </c>
      <c r="AL252">
        <v>0</v>
      </c>
    </row>
    <row r="253" spans="1:38" x14ac:dyDescent="0.35">
      <c r="A253" t="s">
        <v>426</v>
      </c>
      <c r="B253" t="s">
        <v>60</v>
      </c>
      <c r="C253" t="s">
        <v>61</v>
      </c>
      <c r="D253">
        <v>5.7</v>
      </c>
      <c r="E253" t="s">
        <v>110</v>
      </c>
      <c r="F253">
        <v>31</v>
      </c>
      <c r="G253" t="s">
        <v>42</v>
      </c>
      <c r="H253" t="s">
        <v>55</v>
      </c>
      <c r="I253">
        <v>6</v>
      </c>
      <c r="J253">
        <v>13.2</v>
      </c>
      <c r="K253">
        <v>14</v>
      </c>
      <c r="L253">
        <v>3</v>
      </c>
      <c r="M253">
        <v>12</v>
      </c>
      <c r="N253">
        <v>0</v>
      </c>
      <c r="O253" t="s">
        <v>44</v>
      </c>
      <c r="P253">
        <v>53800</v>
      </c>
      <c r="Q253">
        <v>11.4</v>
      </c>
      <c r="R253">
        <v>3.9</v>
      </c>
      <c r="S253">
        <v>2.6</v>
      </c>
      <c r="T253">
        <v>0</v>
      </c>
      <c r="U253">
        <v>2.2000000000000002</v>
      </c>
      <c r="V253">
        <v>2</v>
      </c>
      <c r="W253">
        <v>4</v>
      </c>
      <c r="X253" t="s">
        <v>45</v>
      </c>
      <c r="Y253">
        <v>0</v>
      </c>
      <c r="Z253">
        <v>0</v>
      </c>
      <c r="AB253">
        <v>0</v>
      </c>
      <c r="AC253" t="s">
        <v>46</v>
      </c>
      <c r="AE253">
        <v>1</v>
      </c>
      <c r="AF253">
        <v>0</v>
      </c>
      <c r="AG253" t="s">
        <v>75</v>
      </c>
      <c r="AH253" t="s">
        <v>83</v>
      </c>
      <c r="AI253" t="s">
        <v>49</v>
      </c>
      <c r="AJ253" s="1" t="s">
        <v>168</v>
      </c>
      <c r="AK253">
        <v>0.5</v>
      </c>
      <c r="AL253">
        <v>0</v>
      </c>
    </row>
    <row r="254" spans="1:38" x14ac:dyDescent="0.35">
      <c r="A254" t="s">
        <v>427</v>
      </c>
      <c r="B254" t="s">
        <v>52</v>
      </c>
      <c r="C254" t="s">
        <v>53</v>
      </c>
      <c r="D254">
        <v>11</v>
      </c>
      <c r="E254" t="s">
        <v>67</v>
      </c>
      <c r="F254">
        <v>37</v>
      </c>
      <c r="G254" t="s">
        <v>42</v>
      </c>
      <c r="H254" t="s">
        <v>43</v>
      </c>
      <c r="I254">
        <v>6</v>
      </c>
      <c r="J254">
        <v>1.6</v>
      </c>
      <c r="K254">
        <v>9</v>
      </c>
      <c r="L254">
        <v>4</v>
      </c>
      <c r="M254">
        <v>12</v>
      </c>
      <c r="N254">
        <v>0</v>
      </c>
      <c r="O254" t="s">
        <v>70</v>
      </c>
      <c r="P254">
        <v>42700</v>
      </c>
      <c r="Q254">
        <v>0</v>
      </c>
      <c r="R254">
        <v>2.4</v>
      </c>
      <c r="S254">
        <v>1</v>
      </c>
      <c r="T254">
        <v>0</v>
      </c>
      <c r="U254">
        <v>4.5</v>
      </c>
      <c r="V254">
        <v>2.1</v>
      </c>
      <c r="W254">
        <v>4</v>
      </c>
      <c r="X254" t="s">
        <v>45</v>
      </c>
      <c r="Y254">
        <v>0</v>
      </c>
      <c r="Z254">
        <v>0</v>
      </c>
      <c r="AB254">
        <v>1</v>
      </c>
      <c r="AC254" t="s">
        <v>46</v>
      </c>
      <c r="AE254">
        <v>1</v>
      </c>
      <c r="AF254">
        <v>0</v>
      </c>
      <c r="AG254" t="s">
        <v>75</v>
      </c>
      <c r="AH254" t="s">
        <v>83</v>
      </c>
      <c r="AI254" t="s">
        <v>64</v>
      </c>
      <c r="AJ254" s="1" t="s">
        <v>122</v>
      </c>
      <c r="AK254">
        <v>0.5</v>
      </c>
      <c r="AL254">
        <v>0</v>
      </c>
    </row>
    <row r="255" spans="1:38" x14ac:dyDescent="0.35">
      <c r="A255" t="s">
        <v>428</v>
      </c>
      <c r="B255" t="s">
        <v>98</v>
      </c>
      <c r="C255" t="s">
        <v>99</v>
      </c>
      <c r="D255">
        <v>3.7</v>
      </c>
      <c r="E255" t="s">
        <v>67</v>
      </c>
      <c r="F255">
        <v>29</v>
      </c>
      <c r="G255" t="s">
        <v>42</v>
      </c>
      <c r="H255" t="s">
        <v>55</v>
      </c>
      <c r="I255">
        <v>2</v>
      </c>
      <c r="J255">
        <v>13.4</v>
      </c>
      <c r="K255">
        <v>8</v>
      </c>
      <c r="L255">
        <v>0</v>
      </c>
      <c r="M255">
        <v>12</v>
      </c>
      <c r="N255">
        <v>0</v>
      </c>
      <c r="O255" t="s">
        <v>70</v>
      </c>
      <c r="P255">
        <v>41900</v>
      </c>
      <c r="Q255">
        <v>11.4</v>
      </c>
      <c r="R255">
        <v>2.6</v>
      </c>
      <c r="S255">
        <v>4.3</v>
      </c>
      <c r="T255">
        <v>0</v>
      </c>
      <c r="U255">
        <v>2.4</v>
      </c>
      <c r="V255">
        <v>3.3</v>
      </c>
      <c r="W255">
        <v>2.2000000000000002</v>
      </c>
      <c r="X255" t="s">
        <v>45</v>
      </c>
      <c r="Y255">
        <v>0</v>
      </c>
      <c r="Z255">
        <v>0</v>
      </c>
      <c r="AB255">
        <v>0</v>
      </c>
      <c r="AC255" t="s">
        <v>46</v>
      </c>
      <c r="AE255">
        <v>1</v>
      </c>
      <c r="AF255">
        <v>0</v>
      </c>
      <c r="AG255" t="s">
        <v>75</v>
      </c>
      <c r="AH255" t="s">
        <v>76</v>
      </c>
      <c r="AI255" t="s">
        <v>49</v>
      </c>
      <c r="AJ255" s="1" t="s">
        <v>259</v>
      </c>
      <c r="AK255" s="1" t="s">
        <v>84</v>
      </c>
      <c r="AL255">
        <v>0</v>
      </c>
    </row>
    <row r="256" spans="1:38" x14ac:dyDescent="0.35">
      <c r="A256" t="s">
        <v>429</v>
      </c>
      <c r="B256" t="s">
        <v>73</v>
      </c>
      <c r="C256" t="s">
        <v>113</v>
      </c>
      <c r="D256">
        <v>4.2</v>
      </c>
      <c r="E256" t="s">
        <v>67</v>
      </c>
      <c r="F256">
        <v>31</v>
      </c>
      <c r="G256" t="s">
        <v>42</v>
      </c>
      <c r="H256" t="s">
        <v>55</v>
      </c>
      <c r="I256">
        <v>6</v>
      </c>
      <c r="J256">
        <v>8.6999999999999993</v>
      </c>
      <c r="K256">
        <v>7</v>
      </c>
      <c r="L256">
        <v>5</v>
      </c>
      <c r="M256">
        <v>12</v>
      </c>
      <c r="N256">
        <v>0</v>
      </c>
      <c r="O256" t="s">
        <v>70</v>
      </c>
      <c r="P256">
        <v>39000</v>
      </c>
      <c r="Q256">
        <v>13.3</v>
      </c>
      <c r="R256">
        <v>3.3</v>
      </c>
      <c r="S256">
        <v>1.9</v>
      </c>
      <c r="T256">
        <v>0</v>
      </c>
      <c r="U256">
        <v>3.3</v>
      </c>
      <c r="V256">
        <v>3</v>
      </c>
      <c r="W256">
        <v>3.7</v>
      </c>
      <c r="X256" t="s">
        <v>45</v>
      </c>
      <c r="Y256">
        <v>1</v>
      </c>
      <c r="Z256">
        <v>2</v>
      </c>
      <c r="AA256">
        <v>1.2</v>
      </c>
      <c r="AB256">
        <v>0</v>
      </c>
      <c r="AC256" t="s">
        <v>46</v>
      </c>
      <c r="AE256">
        <v>0</v>
      </c>
      <c r="AF256">
        <v>0</v>
      </c>
      <c r="AG256" t="s">
        <v>47</v>
      </c>
      <c r="AH256" t="s">
        <v>76</v>
      </c>
      <c r="AI256" t="s">
        <v>64</v>
      </c>
      <c r="AJ256" s="1" t="s">
        <v>90</v>
      </c>
      <c r="AK256">
        <v>0.5</v>
      </c>
      <c r="AL256">
        <v>0</v>
      </c>
    </row>
    <row r="257" spans="1:38" x14ac:dyDescent="0.35">
      <c r="A257" t="s">
        <v>430</v>
      </c>
      <c r="B257" t="s">
        <v>39</v>
      </c>
      <c r="C257" t="s">
        <v>40</v>
      </c>
      <c r="D257">
        <v>2.2000000000000002</v>
      </c>
      <c r="E257" t="s">
        <v>67</v>
      </c>
      <c r="F257">
        <v>31</v>
      </c>
      <c r="G257" t="s">
        <v>68</v>
      </c>
      <c r="H257" t="s">
        <v>69</v>
      </c>
      <c r="I257">
        <v>4</v>
      </c>
      <c r="J257">
        <v>2</v>
      </c>
      <c r="K257">
        <v>7</v>
      </c>
      <c r="L257">
        <v>1</v>
      </c>
      <c r="M257">
        <v>12</v>
      </c>
      <c r="N257">
        <v>0</v>
      </c>
      <c r="O257" t="s">
        <v>70</v>
      </c>
      <c r="P257">
        <v>39700</v>
      </c>
      <c r="Q257">
        <v>9.8000000000000007</v>
      </c>
      <c r="R257">
        <v>2.4</v>
      </c>
      <c r="S257">
        <v>3.1</v>
      </c>
      <c r="T257">
        <v>0</v>
      </c>
      <c r="U257">
        <v>2.4</v>
      </c>
      <c r="V257">
        <v>2.5</v>
      </c>
      <c r="W257">
        <v>4</v>
      </c>
      <c r="X257" t="s">
        <v>45</v>
      </c>
      <c r="Y257">
        <v>0</v>
      </c>
      <c r="Z257">
        <v>0</v>
      </c>
      <c r="AB257">
        <v>1</v>
      </c>
      <c r="AC257" t="s">
        <v>46</v>
      </c>
      <c r="AE257">
        <v>1</v>
      </c>
      <c r="AF257">
        <v>0</v>
      </c>
      <c r="AG257" t="s">
        <v>75</v>
      </c>
      <c r="AH257" t="s">
        <v>48</v>
      </c>
      <c r="AI257" t="s">
        <v>64</v>
      </c>
      <c r="AJ257" s="1" t="s">
        <v>268</v>
      </c>
      <c r="AK257" s="1" t="s">
        <v>115</v>
      </c>
      <c r="AL257">
        <v>0</v>
      </c>
    </row>
    <row r="258" spans="1:38" x14ac:dyDescent="0.35">
      <c r="A258" t="s">
        <v>431</v>
      </c>
      <c r="B258" t="s">
        <v>39</v>
      </c>
      <c r="C258" t="s">
        <v>40</v>
      </c>
      <c r="D258">
        <v>5.2</v>
      </c>
      <c r="E258" t="s">
        <v>67</v>
      </c>
      <c r="F258">
        <v>26</v>
      </c>
      <c r="G258" t="s">
        <v>42</v>
      </c>
      <c r="H258" t="s">
        <v>55</v>
      </c>
      <c r="I258">
        <v>5</v>
      </c>
      <c r="J258">
        <v>3.5</v>
      </c>
      <c r="K258">
        <v>11</v>
      </c>
      <c r="L258">
        <v>3</v>
      </c>
      <c r="M258">
        <v>12</v>
      </c>
      <c r="N258">
        <v>0</v>
      </c>
      <c r="O258" t="s">
        <v>70</v>
      </c>
      <c r="P258">
        <v>41300</v>
      </c>
      <c r="Q258">
        <v>8.1</v>
      </c>
      <c r="R258">
        <v>4.2</v>
      </c>
      <c r="S258">
        <v>0.7</v>
      </c>
      <c r="T258">
        <v>0</v>
      </c>
      <c r="U258">
        <v>2.8</v>
      </c>
      <c r="V258">
        <v>3.3</v>
      </c>
      <c r="W258">
        <v>3.6</v>
      </c>
      <c r="X258" t="s">
        <v>45</v>
      </c>
      <c r="Y258">
        <v>0</v>
      </c>
      <c r="Z258">
        <v>1</v>
      </c>
      <c r="AA258">
        <v>3.3</v>
      </c>
      <c r="AB258">
        <v>0</v>
      </c>
      <c r="AC258" t="s">
        <v>46</v>
      </c>
      <c r="AE258">
        <v>0</v>
      </c>
      <c r="AF258">
        <v>0</v>
      </c>
      <c r="AG258" t="s">
        <v>47</v>
      </c>
      <c r="AH258" t="s">
        <v>83</v>
      </c>
      <c r="AI258" t="s">
        <v>64</v>
      </c>
      <c r="AJ258" s="1" t="s">
        <v>198</v>
      </c>
      <c r="AK258" s="1" t="s">
        <v>127</v>
      </c>
      <c r="AL258">
        <v>0</v>
      </c>
    </row>
    <row r="259" spans="1:38" x14ac:dyDescent="0.35">
      <c r="A259" t="s">
        <v>432</v>
      </c>
      <c r="B259" t="s">
        <v>73</v>
      </c>
      <c r="C259" t="s">
        <v>121</v>
      </c>
      <c r="D259">
        <v>2</v>
      </c>
      <c r="E259" t="s">
        <v>67</v>
      </c>
      <c r="F259">
        <v>24</v>
      </c>
      <c r="G259" t="s">
        <v>42</v>
      </c>
      <c r="H259" t="s">
        <v>55</v>
      </c>
      <c r="I259">
        <v>4</v>
      </c>
      <c r="J259">
        <v>4.2</v>
      </c>
      <c r="K259">
        <v>11</v>
      </c>
      <c r="L259">
        <v>2</v>
      </c>
      <c r="M259">
        <v>12</v>
      </c>
      <c r="N259">
        <v>0</v>
      </c>
      <c r="O259" t="s">
        <v>70</v>
      </c>
      <c r="P259">
        <v>36600</v>
      </c>
      <c r="Q259">
        <v>11.5</v>
      </c>
      <c r="R259">
        <v>2.1</v>
      </c>
      <c r="S259">
        <v>0.9</v>
      </c>
      <c r="T259">
        <v>0</v>
      </c>
      <c r="U259">
        <v>3</v>
      </c>
      <c r="V259">
        <v>3.4</v>
      </c>
      <c r="W259">
        <v>3.4</v>
      </c>
      <c r="X259" t="s">
        <v>45</v>
      </c>
      <c r="Y259">
        <v>1</v>
      </c>
      <c r="Z259">
        <v>2</v>
      </c>
      <c r="AA259">
        <v>1.4</v>
      </c>
      <c r="AB259">
        <v>1</v>
      </c>
      <c r="AC259" t="s">
        <v>46</v>
      </c>
      <c r="AE259">
        <v>0</v>
      </c>
      <c r="AF259">
        <v>0</v>
      </c>
      <c r="AG259" t="s">
        <v>47</v>
      </c>
      <c r="AH259" t="s">
        <v>48</v>
      </c>
      <c r="AI259" t="s">
        <v>64</v>
      </c>
      <c r="AJ259" s="1" t="s">
        <v>235</v>
      </c>
      <c r="AK259" s="1" t="s">
        <v>115</v>
      </c>
      <c r="AL259">
        <v>0</v>
      </c>
    </row>
    <row r="260" spans="1:38" x14ac:dyDescent="0.35">
      <c r="A260" t="s">
        <v>433</v>
      </c>
      <c r="B260" t="s">
        <v>73</v>
      </c>
      <c r="C260" t="s">
        <v>177</v>
      </c>
      <c r="D260">
        <v>3.5</v>
      </c>
      <c r="E260" t="s">
        <v>110</v>
      </c>
      <c r="F260">
        <v>23</v>
      </c>
      <c r="G260" t="s">
        <v>42</v>
      </c>
      <c r="H260" t="s">
        <v>69</v>
      </c>
      <c r="I260">
        <v>2</v>
      </c>
      <c r="J260">
        <v>16.5</v>
      </c>
      <c r="K260">
        <v>7</v>
      </c>
      <c r="L260">
        <v>0</v>
      </c>
      <c r="M260">
        <v>12</v>
      </c>
      <c r="N260">
        <v>0</v>
      </c>
      <c r="O260" t="s">
        <v>44</v>
      </c>
      <c r="P260">
        <v>50600</v>
      </c>
      <c r="Q260">
        <v>13.1</v>
      </c>
      <c r="R260">
        <v>3.2</v>
      </c>
      <c r="S260">
        <v>1</v>
      </c>
      <c r="T260">
        <v>0</v>
      </c>
      <c r="U260">
        <v>5</v>
      </c>
      <c r="V260">
        <v>2.6</v>
      </c>
      <c r="W260">
        <v>1.9</v>
      </c>
      <c r="X260" t="s">
        <v>45</v>
      </c>
      <c r="Y260">
        <v>0</v>
      </c>
      <c r="Z260">
        <v>1</v>
      </c>
      <c r="AA260">
        <v>1.4</v>
      </c>
      <c r="AB260">
        <v>0</v>
      </c>
      <c r="AC260" t="s">
        <v>46</v>
      </c>
      <c r="AE260">
        <v>0</v>
      </c>
      <c r="AF260">
        <v>0</v>
      </c>
      <c r="AG260" t="s">
        <v>47</v>
      </c>
      <c r="AH260" t="s">
        <v>76</v>
      </c>
      <c r="AI260" t="s">
        <v>49</v>
      </c>
      <c r="AJ260" s="1" t="s">
        <v>100</v>
      </c>
      <c r="AK260" s="1" t="s">
        <v>84</v>
      </c>
      <c r="AL260">
        <v>0</v>
      </c>
    </row>
    <row r="261" spans="1:38" x14ac:dyDescent="0.35">
      <c r="A261" t="s">
        <v>434</v>
      </c>
      <c r="B261" t="s">
        <v>117</v>
      </c>
      <c r="C261" t="s">
        <v>189</v>
      </c>
      <c r="D261">
        <v>1</v>
      </c>
      <c r="E261" t="s">
        <v>81</v>
      </c>
      <c r="F261">
        <v>30</v>
      </c>
      <c r="G261" t="s">
        <v>68</v>
      </c>
      <c r="H261" t="s">
        <v>43</v>
      </c>
      <c r="I261">
        <v>0</v>
      </c>
      <c r="J261">
        <v>30.5</v>
      </c>
      <c r="K261">
        <v>10</v>
      </c>
      <c r="L261">
        <v>3</v>
      </c>
      <c r="M261">
        <v>12</v>
      </c>
      <c r="N261">
        <v>0</v>
      </c>
      <c r="O261" t="s">
        <v>82</v>
      </c>
      <c r="P261">
        <v>25800</v>
      </c>
      <c r="Q261">
        <v>10.1</v>
      </c>
      <c r="R261">
        <v>2.5</v>
      </c>
      <c r="S261">
        <v>0.9</v>
      </c>
      <c r="T261">
        <v>0</v>
      </c>
      <c r="U261">
        <v>3.3</v>
      </c>
      <c r="V261">
        <v>2.7</v>
      </c>
      <c r="W261">
        <v>2.6</v>
      </c>
      <c r="X261" t="s">
        <v>45</v>
      </c>
      <c r="Y261">
        <v>0</v>
      </c>
      <c r="Z261">
        <v>0</v>
      </c>
      <c r="AB261">
        <v>0</v>
      </c>
      <c r="AC261" t="s">
        <v>46</v>
      </c>
      <c r="AE261">
        <v>1</v>
      </c>
      <c r="AF261">
        <v>0</v>
      </c>
      <c r="AG261" t="s">
        <v>75</v>
      </c>
      <c r="AH261" t="s">
        <v>95</v>
      </c>
      <c r="AI261" t="s">
        <v>57</v>
      </c>
      <c r="AJ261" s="1" t="s">
        <v>182</v>
      </c>
      <c r="AK261">
        <v>0</v>
      </c>
      <c r="AL261">
        <v>0</v>
      </c>
    </row>
    <row r="262" spans="1:38" x14ac:dyDescent="0.35">
      <c r="A262" t="s">
        <v>435</v>
      </c>
      <c r="B262" t="s">
        <v>73</v>
      </c>
      <c r="C262" t="s">
        <v>177</v>
      </c>
      <c r="D262">
        <v>0.2</v>
      </c>
      <c r="E262" t="s">
        <v>41</v>
      </c>
      <c r="F262">
        <v>27</v>
      </c>
      <c r="G262" t="s">
        <v>68</v>
      </c>
      <c r="H262" t="s">
        <v>94</v>
      </c>
      <c r="I262">
        <v>7</v>
      </c>
      <c r="J262">
        <v>14.7</v>
      </c>
      <c r="K262">
        <v>15</v>
      </c>
      <c r="L262">
        <v>2</v>
      </c>
      <c r="M262">
        <v>12</v>
      </c>
      <c r="N262">
        <v>0</v>
      </c>
      <c r="O262" t="s">
        <v>56</v>
      </c>
      <c r="P262">
        <v>79100</v>
      </c>
      <c r="Q262">
        <v>10.4</v>
      </c>
      <c r="R262">
        <v>3.3</v>
      </c>
      <c r="S262">
        <v>0</v>
      </c>
      <c r="T262">
        <v>0</v>
      </c>
      <c r="U262">
        <v>2.6</v>
      </c>
      <c r="V262">
        <v>3.3</v>
      </c>
      <c r="W262">
        <v>4.5</v>
      </c>
      <c r="X262" t="s">
        <v>89</v>
      </c>
      <c r="Y262">
        <v>1</v>
      </c>
      <c r="Z262">
        <v>0</v>
      </c>
      <c r="AB262">
        <v>1</v>
      </c>
      <c r="AC262" t="s">
        <v>46</v>
      </c>
      <c r="AE262">
        <v>1</v>
      </c>
      <c r="AF262">
        <v>0</v>
      </c>
      <c r="AG262" t="s">
        <v>75</v>
      </c>
      <c r="AH262" t="s">
        <v>95</v>
      </c>
      <c r="AI262" t="s">
        <v>49</v>
      </c>
      <c r="AJ262" s="1" t="s">
        <v>77</v>
      </c>
      <c r="AK262" s="1" t="s">
        <v>105</v>
      </c>
      <c r="AL262">
        <v>0</v>
      </c>
    </row>
    <row r="263" spans="1:38" x14ac:dyDescent="0.35">
      <c r="A263" t="s">
        <v>436</v>
      </c>
      <c r="B263" t="s">
        <v>60</v>
      </c>
      <c r="C263" t="s">
        <v>107</v>
      </c>
      <c r="D263">
        <v>2.6</v>
      </c>
      <c r="E263" t="s">
        <v>67</v>
      </c>
      <c r="F263">
        <v>31</v>
      </c>
      <c r="G263" t="s">
        <v>42</v>
      </c>
      <c r="H263" t="s">
        <v>63</v>
      </c>
      <c r="I263">
        <v>0</v>
      </c>
      <c r="J263">
        <v>16.899999999999999</v>
      </c>
      <c r="K263">
        <v>7</v>
      </c>
      <c r="L263">
        <v>1</v>
      </c>
      <c r="M263">
        <v>12</v>
      </c>
      <c r="N263">
        <v>0</v>
      </c>
      <c r="O263" t="s">
        <v>70</v>
      </c>
      <c r="P263">
        <v>37000</v>
      </c>
      <c r="Q263">
        <v>14.6</v>
      </c>
      <c r="R263">
        <v>2.8</v>
      </c>
      <c r="S263">
        <v>1.3</v>
      </c>
      <c r="T263">
        <v>0</v>
      </c>
      <c r="U263">
        <v>2.9</v>
      </c>
      <c r="V263">
        <v>2.2999999999999998</v>
      </c>
      <c r="W263">
        <v>3.2</v>
      </c>
      <c r="X263" t="s">
        <v>45</v>
      </c>
      <c r="Y263">
        <v>0</v>
      </c>
      <c r="Z263">
        <v>1</v>
      </c>
      <c r="AA263">
        <v>1.2</v>
      </c>
      <c r="AB263">
        <v>1</v>
      </c>
      <c r="AC263" t="s">
        <v>46</v>
      </c>
      <c r="AE263">
        <v>0</v>
      </c>
      <c r="AF263">
        <v>0</v>
      </c>
      <c r="AG263" t="s">
        <v>47</v>
      </c>
      <c r="AH263" t="s">
        <v>48</v>
      </c>
      <c r="AI263" t="s">
        <v>49</v>
      </c>
      <c r="AJ263" s="1" t="s">
        <v>102</v>
      </c>
      <c r="AK263">
        <v>0</v>
      </c>
      <c r="AL263">
        <v>0</v>
      </c>
    </row>
    <row r="264" spans="1:38" x14ac:dyDescent="0.35">
      <c r="A264" t="s">
        <v>437</v>
      </c>
      <c r="B264" t="s">
        <v>98</v>
      </c>
      <c r="C264" t="s">
        <v>148</v>
      </c>
      <c r="D264">
        <v>2.5</v>
      </c>
      <c r="E264" t="s">
        <v>110</v>
      </c>
      <c r="F264">
        <v>23</v>
      </c>
      <c r="G264" t="s">
        <v>54</v>
      </c>
      <c r="H264" t="s">
        <v>63</v>
      </c>
      <c r="I264">
        <v>4</v>
      </c>
      <c r="J264">
        <v>9.1999999999999993</v>
      </c>
      <c r="K264">
        <v>11</v>
      </c>
      <c r="L264">
        <v>2</v>
      </c>
      <c r="M264">
        <v>12</v>
      </c>
      <c r="N264">
        <v>0</v>
      </c>
      <c r="O264" t="s">
        <v>44</v>
      </c>
      <c r="P264">
        <v>54500</v>
      </c>
      <c r="Q264">
        <v>11</v>
      </c>
      <c r="R264">
        <v>3.2</v>
      </c>
      <c r="S264">
        <v>1.7</v>
      </c>
      <c r="T264">
        <v>0</v>
      </c>
      <c r="U264">
        <v>1.9</v>
      </c>
      <c r="V264">
        <v>2.7</v>
      </c>
      <c r="W264">
        <v>5</v>
      </c>
      <c r="X264" t="s">
        <v>45</v>
      </c>
      <c r="Y264">
        <v>0</v>
      </c>
      <c r="Z264">
        <v>0</v>
      </c>
      <c r="AB264">
        <v>0</v>
      </c>
      <c r="AC264" t="s">
        <v>46</v>
      </c>
      <c r="AE264">
        <v>1</v>
      </c>
      <c r="AF264">
        <v>0</v>
      </c>
      <c r="AG264" t="s">
        <v>75</v>
      </c>
      <c r="AH264" t="s">
        <v>48</v>
      </c>
      <c r="AI264" t="s">
        <v>64</v>
      </c>
      <c r="AJ264" s="1" t="s">
        <v>162</v>
      </c>
      <c r="AK264" s="1" t="s">
        <v>115</v>
      </c>
      <c r="AL264">
        <v>0</v>
      </c>
    </row>
    <row r="265" spans="1:38" x14ac:dyDescent="0.35">
      <c r="A265" t="s">
        <v>438</v>
      </c>
      <c r="B265" t="s">
        <v>73</v>
      </c>
      <c r="C265" t="s">
        <v>121</v>
      </c>
      <c r="D265">
        <v>2.8</v>
      </c>
      <c r="E265" t="s">
        <v>81</v>
      </c>
      <c r="F265">
        <v>36</v>
      </c>
      <c r="G265" t="s">
        <v>42</v>
      </c>
      <c r="H265" t="s">
        <v>43</v>
      </c>
      <c r="I265">
        <v>5</v>
      </c>
      <c r="J265">
        <v>5.9</v>
      </c>
      <c r="K265">
        <v>3</v>
      </c>
      <c r="L265">
        <v>1</v>
      </c>
      <c r="M265">
        <v>12</v>
      </c>
      <c r="N265">
        <v>0</v>
      </c>
      <c r="O265" t="s">
        <v>82</v>
      </c>
      <c r="P265">
        <v>27800</v>
      </c>
      <c r="Q265">
        <v>4.8</v>
      </c>
      <c r="R265">
        <v>4.3</v>
      </c>
      <c r="S265">
        <v>1.6</v>
      </c>
      <c r="T265">
        <v>0</v>
      </c>
      <c r="U265">
        <v>3.2</v>
      </c>
      <c r="V265">
        <v>3.7</v>
      </c>
      <c r="W265">
        <v>2.4</v>
      </c>
      <c r="X265" t="s">
        <v>45</v>
      </c>
      <c r="Y265">
        <v>0</v>
      </c>
      <c r="Z265">
        <v>0</v>
      </c>
      <c r="AB265">
        <v>0</v>
      </c>
      <c r="AC265" t="s">
        <v>46</v>
      </c>
      <c r="AE265">
        <v>1</v>
      </c>
      <c r="AF265">
        <v>0</v>
      </c>
      <c r="AG265" t="s">
        <v>75</v>
      </c>
      <c r="AH265" t="s">
        <v>48</v>
      </c>
      <c r="AI265" t="s">
        <v>64</v>
      </c>
      <c r="AJ265">
        <v>3.1</v>
      </c>
      <c r="AK265" s="1" t="s">
        <v>127</v>
      </c>
      <c r="AL265">
        <v>0</v>
      </c>
    </row>
    <row r="266" spans="1:38" x14ac:dyDescent="0.35">
      <c r="A266" t="s">
        <v>439</v>
      </c>
      <c r="B266" t="s">
        <v>60</v>
      </c>
      <c r="C266" t="s">
        <v>80</v>
      </c>
      <c r="D266">
        <v>6.1</v>
      </c>
      <c r="E266" t="s">
        <v>67</v>
      </c>
      <c r="F266">
        <v>30</v>
      </c>
      <c r="G266" t="s">
        <v>42</v>
      </c>
      <c r="H266" t="s">
        <v>55</v>
      </c>
      <c r="I266">
        <v>6</v>
      </c>
      <c r="J266">
        <v>15</v>
      </c>
      <c r="K266">
        <v>10</v>
      </c>
      <c r="L266">
        <v>0</v>
      </c>
      <c r="M266">
        <v>12</v>
      </c>
      <c r="N266">
        <v>0</v>
      </c>
      <c r="O266" t="s">
        <v>70</v>
      </c>
      <c r="P266">
        <v>45500</v>
      </c>
      <c r="Q266">
        <v>13.1</v>
      </c>
      <c r="R266">
        <v>2.6</v>
      </c>
      <c r="S266">
        <v>4.7</v>
      </c>
      <c r="T266">
        <v>0</v>
      </c>
      <c r="U266">
        <v>5</v>
      </c>
      <c r="V266">
        <v>3.2</v>
      </c>
      <c r="W266">
        <v>4.7</v>
      </c>
      <c r="X266" t="s">
        <v>45</v>
      </c>
      <c r="Y266">
        <v>0</v>
      </c>
      <c r="Z266">
        <v>1</v>
      </c>
      <c r="AA266">
        <v>3.5</v>
      </c>
      <c r="AB266">
        <v>0</v>
      </c>
      <c r="AC266" t="s">
        <v>46</v>
      </c>
      <c r="AE266">
        <v>0</v>
      </c>
      <c r="AF266">
        <v>0</v>
      </c>
      <c r="AG266" t="s">
        <v>47</v>
      </c>
      <c r="AH266" t="s">
        <v>83</v>
      </c>
      <c r="AI266" t="s">
        <v>49</v>
      </c>
      <c r="AJ266">
        <v>4.3</v>
      </c>
      <c r="AK266">
        <v>0.5</v>
      </c>
      <c r="AL266">
        <v>0</v>
      </c>
    </row>
    <row r="267" spans="1:38" x14ac:dyDescent="0.35">
      <c r="A267" t="s">
        <v>440</v>
      </c>
      <c r="B267" t="s">
        <v>73</v>
      </c>
      <c r="C267" t="s">
        <v>177</v>
      </c>
      <c r="D267">
        <v>7.2</v>
      </c>
      <c r="E267" t="s">
        <v>81</v>
      </c>
      <c r="F267">
        <v>34</v>
      </c>
      <c r="G267" t="s">
        <v>68</v>
      </c>
      <c r="H267" t="s">
        <v>69</v>
      </c>
      <c r="I267">
        <v>3</v>
      </c>
      <c r="J267">
        <v>12.2</v>
      </c>
      <c r="K267">
        <v>8</v>
      </c>
      <c r="L267">
        <v>3</v>
      </c>
      <c r="M267">
        <v>12</v>
      </c>
      <c r="N267">
        <v>0</v>
      </c>
      <c r="O267" t="s">
        <v>82</v>
      </c>
      <c r="P267">
        <v>23000</v>
      </c>
      <c r="Q267">
        <v>7.5</v>
      </c>
      <c r="R267">
        <v>2.6</v>
      </c>
      <c r="S267">
        <v>5</v>
      </c>
      <c r="T267">
        <v>0</v>
      </c>
      <c r="U267">
        <v>3.6</v>
      </c>
      <c r="V267">
        <v>2.8</v>
      </c>
      <c r="W267">
        <v>2.9</v>
      </c>
      <c r="X267" t="s">
        <v>45</v>
      </c>
      <c r="Y267">
        <v>0</v>
      </c>
      <c r="Z267">
        <v>0</v>
      </c>
      <c r="AB267">
        <v>0</v>
      </c>
      <c r="AC267" t="s">
        <v>46</v>
      </c>
      <c r="AE267">
        <v>1</v>
      </c>
      <c r="AF267">
        <v>0</v>
      </c>
      <c r="AG267" t="s">
        <v>75</v>
      </c>
      <c r="AH267" t="s">
        <v>83</v>
      </c>
      <c r="AI267" t="s">
        <v>49</v>
      </c>
      <c r="AJ267">
        <v>3.1</v>
      </c>
      <c r="AK267">
        <v>0.25</v>
      </c>
      <c r="AL267">
        <v>0</v>
      </c>
    </row>
    <row r="268" spans="1:38" x14ac:dyDescent="0.35">
      <c r="A268" t="s">
        <v>441</v>
      </c>
      <c r="B268" t="s">
        <v>98</v>
      </c>
      <c r="C268" t="s">
        <v>151</v>
      </c>
      <c r="D268">
        <v>4.5999999999999996</v>
      </c>
      <c r="E268" t="s">
        <v>110</v>
      </c>
      <c r="F268">
        <v>34</v>
      </c>
      <c r="G268" t="s">
        <v>54</v>
      </c>
      <c r="H268" t="s">
        <v>69</v>
      </c>
      <c r="I268">
        <v>6</v>
      </c>
      <c r="J268">
        <v>4.5999999999999996</v>
      </c>
      <c r="K268">
        <v>11</v>
      </c>
      <c r="L268">
        <v>3</v>
      </c>
      <c r="M268">
        <v>12</v>
      </c>
      <c r="N268">
        <v>0</v>
      </c>
      <c r="O268" t="s">
        <v>44</v>
      </c>
      <c r="P268">
        <v>56000</v>
      </c>
      <c r="Q268">
        <v>8.1</v>
      </c>
      <c r="R268">
        <v>2.9</v>
      </c>
      <c r="S268">
        <v>0.1</v>
      </c>
      <c r="T268">
        <v>0</v>
      </c>
      <c r="U268">
        <v>4.0999999999999996</v>
      </c>
      <c r="V268">
        <v>2.4</v>
      </c>
      <c r="W268">
        <v>4.0999999999999996</v>
      </c>
      <c r="X268" t="s">
        <v>45</v>
      </c>
      <c r="Y268">
        <v>0</v>
      </c>
      <c r="Z268">
        <v>0</v>
      </c>
      <c r="AB268">
        <v>0</v>
      </c>
      <c r="AC268" t="s">
        <v>46</v>
      </c>
      <c r="AE268">
        <v>1</v>
      </c>
      <c r="AF268">
        <v>0</v>
      </c>
      <c r="AG268" t="s">
        <v>75</v>
      </c>
      <c r="AH268" t="s">
        <v>76</v>
      </c>
      <c r="AI268" t="s">
        <v>64</v>
      </c>
      <c r="AJ268" s="1" t="s">
        <v>122</v>
      </c>
      <c r="AK268">
        <v>0.5</v>
      </c>
      <c r="AL268">
        <v>0</v>
      </c>
    </row>
    <row r="269" spans="1:38" x14ac:dyDescent="0.35">
      <c r="A269" t="s">
        <v>442</v>
      </c>
      <c r="B269" t="s">
        <v>73</v>
      </c>
      <c r="C269" t="s">
        <v>121</v>
      </c>
      <c r="D269">
        <v>5.8</v>
      </c>
      <c r="E269" t="s">
        <v>67</v>
      </c>
      <c r="F269">
        <v>28</v>
      </c>
      <c r="G269" t="s">
        <v>234</v>
      </c>
      <c r="H269" t="s">
        <v>69</v>
      </c>
      <c r="I269">
        <v>4</v>
      </c>
      <c r="J269">
        <v>11.6</v>
      </c>
      <c r="K269">
        <v>8</v>
      </c>
      <c r="L269">
        <v>3</v>
      </c>
      <c r="M269">
        <v>12</v>
      </c>
      <c r="N269">
        <v>0</v>
      </c>
      <c r="O269" t="s">
        <v>82</v>
      </c>
      <c r="P269">
        <v>34100</v>
      </c>
      <c r="Q269">
        <v>8.4</v>
      </c>
      <c r="R269">
        <v>4.5</v>
      </c>
      <c r="S269">
        <v>3.7</v>
      </c>
      <c r="T269">
        <v>0</v>
      </c>
      <c r="U269">
        <v>2.5</v>
      </c>
      <c r="V269">
        <v>2.2999999999999998</v>
      </c>
      <c r="W269">
        <v>3.2</v>
      </c>
      <c r="X269" t="s">
        <v>45</v>
      </c>
      <c r="Y269">
        <v>0</v>
      </c>
      <c r="Z269">
        <v>0</v>
      </c>
      <c r="AB269">
        <v>0</v>
      </c>
      <c r="AC269" t="s">
        <v>46</v>
      </c>
      <c r="AE269">
        <v>1</v>
      </c>
      <c r="AF269">
        <v>0</v>
      </c>
      <c r="AG269" t="s">
        <v>75</v>
      </c>
      <c r="AH269" t="s">
        <v>83</v>
      </c>
      <c r="AI269" t="s">
        <v>49</v>
      </c>
      <c r="AJ269" s="1" t="s">
        <v>230</v>
      </c>
      <c r="AK269" s="1" t="s">
        <v>115</v>
      </c>
      <c r="AL269">
        <v>0</v>
      </c>
    </row>
    <row r="270" spans="1:38" x14ac:dyDescent="0.35">
      <c r="A270" t="s">
        <v>443</v>
      </c>
      <c r="B270" t="s">
        <v>73</v>
      </c>
      <c r="C270" t="s">
        <v>177</v>
      </c>
      <c r="D270">
        <v>2</v>
      </c>
      <c r="E270" t="s">
        <v>62</v>
      </c>
      <c r="F270">
        <v>26</v>
      </c>
      <c r="G270" t="s">
        <v>42</v>
      </c>
      <c r="H270" t="s">
        <v>55</v>
      </c>
      <c r="I270">
        <v>4</v>
      </c>
      <c r="J270">
        <v>9.6999999999999993</v>
      </c>
      <c r="K270">
        <v>13</v>
      </c>
      <c r="L270">
        <v>2</v>
      </c>
      <c r="M270">
        <v>12</v>
      </c>
      <c r="N270">
        <v>0</v>
      </c>
      <c r="O270" t="s">
        <v>56</v>
      </c>
      <c r="P270">
        <v>99500</v>
      </c>
      <c r="Q270">
        <v>11.9</v>
      </c>
      <c r="R270">
        <v>3.1</v>
      </c>
      <c r="S270">
        <v>4.5</v>
      </c>
      <c r="T270">
        <v>0</v>
      </c>
      <c r="U270">
        <v>3.1</v>
      </c>
      <c r="V270">
        <v>3.1</v>
      </c>
      <c r="W270">
        <v>3.5</v>
      </c>
      <c r="X270" t="s">
        <v>45</v>
      </c>
      <c r="Y270">
        <v>0</v>
      </c>
      <c r="Z270">
        <v>2</v>
      </c>
      <c r="AA270">
        <v>1.1000000000000001</v>
      </c>
      <c r="AB270">
        <v>0</v>
      </c>
      <c r="AC270" t="s">
        <v>46</v>
      </c>
      <c r="AE270">
        <v>0</v>
      </c>
      <c r="AF270">
        <v>0</v>
      </c>
      <c r="AG270" t="s">
        <v>47</v>
      </c>
      <c r="AH270" t="s">
        <v>48</v>
      </c>
      <c r="AI270" t="s">
        <v>64</v>
      </c>
      <c r="AJ270" s="1" t="s">
        <v>198</v>
      </c>
      <c r="AK270" s="1" t="s">
        <v>115</v>
      </c>
      <c r="AL270">
        <v>0</v>
      </c>
    </row>
    <row r="271" spans="1:38" x14ac:dyDescent="0.35">
      <c r="A271" t="s">
        <v>444</v>
      </c>
      <c r="B271" t="s">
        <v>73</v>
      </c>
      <c r="C271" t="s">
        <v>74</v>
      </c>
      <c r="D271">
        <v>1.6</v>
      </c>
      <c r="E271" t="s">
        <v>67</v>
      </c>
      <c r="F271">
        <v>28</v>
      </c>
      <c r="G271" t="s">
        <v>42</v>
      </c>
      <c r="H271" t="s">
        <v>55</v>
      </c>
      <c r="I271">
        <v>3</v>
      </c>
      <c r="J271">
        <v>7.5</v>
      </c>
      <c r="K271">
        <v>12</v>
      </c>
      <c r="L271">
        <v>1</v>
      </c>
      <c r="M271">
        <v>12</v>
      </c>
      <c r="N271">
        <v>0</v>
      </c>
      <c r="O271" t="s">
        <v>70</v>
      </c>
      <c r="P271">
        <v>37300</v>
      </c>
      <c r="Q271">
        <v>15</v>
      </c>
      <c r="R271">
        <v>4.3</v>
      </c>
      <c r="S271">
        <v>0.1</v>
      </c>
      <c r="T271">
        <v>0</v>
      </c>
      <c r="U271">
        <v>3.5</v>
      </c>
      <c r="V271">
        <v>5</v>
      </c>
      <c r="W271">
        <v>3.9</v>
      </c>
      <c r="X271" t="s">
        <v>45</v>
      </c>
      <c r="Y271">
        <v>0</v>
      </c>
      <c r="Z271">
        <v>2</v>
      </c>
      <c r="AA271">
        <v>0.1</v>
      </c>
      <c r="AB271">
        <v>0</v>
      </c>
      <c r="AC271" t="s">
        <v>46</v>
      </c>
      <c r="AE271">
        <v>0</v>
      </c>
      <c r="AF271">
        <v>0</v>
      </c>
      <c r="AG271" t="s">
        <v>47</v>
      </c>
      <c r="AH271" t="s">
        <v>48</v>
      </c>
      <c r="AI271" t="s">
        <v>64</v>
      </c>
      <c r="AJ271" s="1" t="s">
        <v>201</v>
      </c>
      <c r="AK271">
        <v>0.25</v>
      </c>
      <c r="AL271">
        <v>0</v>
      </c>
    </row>
    <row r="272" spans="1:38" x14ac:dyDescent="0.35">
      <c r="A272" t="s">
        <v>445</v>
      </c>
      <c r="B272" t="s">
        <v>73</v>
      </c>
      <c r="C272" t="s">
        <v>113</v>
      </c>
      <c r="D272">
        <v>5.3</v>
      </c>
      <c r="E272" t="s">
        <v>110</v>
      </c>
      <c r="F272">
        <v>43</v>
      </c>
      <c r="G272" t="s">
        <v>68</v>
      </c>
      <c r="H272" t="s">
        <v>55</v>
      </c>
      <c r="I272">
        <v>5</v>
      </c>
      <c r="J272">
        <v>5.7</v>
      </c>
      <c r="K272">
        <v>11</v>
      </c>
      <c r="L272">
        <v>1</v>
      </c>
      <c r="M272">
        <v>12</v>
      </c>
      <c r="N272">
        <v>0</v>
      </c>
      <c r="O272" t="s">
        <v>70</v>
      </c>
      <c r="P272">
        <v>44900</v>
      </c>
      <c r="Q272">
        <v>8.1</v>
      </c>
      <c r="R272">
        <v>3</v>
      </c>
      <c r="S272">
        <v>2.2000000000000002</v>
      </c>
      <c r="T272">
        <v>0</v>
      </c>
      <c r="U272">
        <v>2.6</v>
      </c>
      <c r="V272">
        <v>3.7</v>
      </c>
      <c r="W272">
        <v>2.9</v>
      </c>
      <c r="X272" t="s">
        <v>45</v>
      </c>
      <c r="Y272">
        <v>0</v>
      </c>
      <c r="Z272">
        <v>1</v>
      </c>
      <c r="AA272">
        <v>2.4</v>
      </c>
      <c r="AB272">
        <v>0</v>
      </c>
      <c r="AC272" t="s">
        <v>46</v>
      </c>
      <c r="AE272">
        <v>0</v>
      </c>
      <c r="AF272">
        <v>0</v>
      </c>
      <c r="AG272" t="s">
        <v>47</v>
      </c>
      <c r="AH272" t="s">
        <v>83</v>
      </c>
      <c r="AI272" t="s">
        <v>64</v>
      </c>
      <c r="AJ272" s="1" t="s">
        <v>446</v>
      </c>
      <c r="AK272" s="1" t="s">
        <v>127</v>
      </c>
      <c r="AL272">
        <v>0</v>
      </c>
    </row>
    <row r="273" spans="1:38" x14ac:dyDescent="0.35">
      <c r="A273" t="s">
        <v>447</v>
      </c>
      <c r="B273" t="s">
        <v>73</v>
      </c>
      <c r="C273" t="s">
        <v>113</v>
      </c>
      <c r="D273">
        <v>1.4</v>
      </c>
      <c r="E273" t="s">
        <v>67</v>
      </c>
      <c r="F273">
        <v>29</v>
      </c>
      <c r="G273" t="s">
        <v>54</v>
      </c>
      <c r="H273" t="s">
        <v>55</v>
      </c>
      <c r="I273">
        <v>2</v>
      </c>
      <c r="J273">
        <v>13.2</v>
      </c>
      <c r="K273">
        <v>4</v>
      </c>
      <c r="L273">
        <v>0</v>
      </c>
      <c r="M273">
        <v>12</v>
      </c>
      <c r="N273">
        <v>0</v>
      </c>
      <c r="O273" t="s">
        <v>70</v>
      </c>
      <c r="P273">
        <v>39500</v>
      </c>
      <c r="Q273">
        <v>14.9</v>
      </c>
      <c r="R273">
        <v>4.3</v>
      </c>
      <c r="S273">
        <v>1.3</v>
      </c>
      <c r="T273">
        <v>0</v>
      </c>
      <c r="U273">
        <v>3.7</v>
      </c>
      <c r="V273">
        <v>2</v>
      </c>
      <c r="W273">
        <v>4</v>
      </c>
      <c r="X273" t="s">
        <v>45</v>
      </c>
      <c r="Y273">
        <v>0</v>
      </c>
      <c r="Z273">
        <v>1</v>
      </c>
      <c r="AA273">
        <v>0.1</v>
      </c>
      <c r="AB273">
        <v>1</v>
      </c>
      <c r="AC273" t="s">
        <v>46</v>
      </c>
      <c r="AE273">
        <v>0</v>
      </c>
      <c r="AF273">
        <v>0</v>
      </c>
      <c r="AG273" t="s">
        <v>47</v>
      </c>
      <c r="AH273" t="s">
        <v>48</v>
      </c>
      <c r="AI273" t="s">
        <v>49</v>
      </c>
      <c r="AJ273" s="1" t="s">
        <v>198</v>
      </c>
      <c r="AK273" s="1" t="s">
        <v>84</v>
      </c>
      <c r="AL273">
        <v>0</v>
      </c>
    </row>
    <row r="274" spans="1:38" x14ac:dyDescent="0.35">
      <c r="A274" t="s">
        <v>448</v>
      </c>
      <c r="B274" t="s">
        <v>73</v>
      </c>
      <c r="C274" t="s">
        <v>113</v>
      </c>
      <c r="D274">
        <v>1.3</v>
      </c>
      <c r="E274" t="s">
        <v>110</v>
      </c>
      <c r="F274">
        <v>34</v>
      </c>
      <c r="G274" t="s">
        <v>68</v>
      </c>
      <c r="H274" t="s">
        <v>55</v>
      </c>
      <c r="I274">
        <v>4</v>
      </c>
      <c r="J274">
        <v>6.1</v>
      </c>
      <c r="K274">
        <v>12</v>
      </c>
      <c r="L274">
        <v>2</v>
      </c>
      <c r="M274">
        <v>12</v>
      </c>
      <c r="N274">
        <v>0</v>
      </c>
      <c r="O274" t="s">
        <v>44</v>
      </c>
      <c r="P274">
        <v>53400</v>
      </c>
      <c r="Q274">
        <v>8.6999999999999993</v>
      </c>
      <c r="R274">
        <v>3.6</v>
      </c>
      <c r="S274">
        <v>4.3</v>
      </c>
      <c r="T274">
        <v>0</v>
      </c>
      <c r="U274">
        <v>3.9</v>
      </c>
      <c r="V274">
        <v>3.8</v>
      </c>
      <c r="W274">
        <v>3.2</v>
      </c>
      <c r="X274" t="s">
        <v>89</v>
      </c>
      <c r="Y274">
        <v>0</v>
      </c>
      <c r="Z274">
        <v>1</v>
      </c>
      <c r="AA274">
        <v>0.5</v>
      </c>
      <c r="AB274">
        <v>1</v>
      </c>
      <c r="AC274" t="s">
        <v>46</v>
      </c>
      <c r="AE274">
        <v>0</v>
      </c>
      <c r="AF274">
        <v>0</v>
      </c>
      <c r="AG274" t="s">
        <v>47</v>
      </c>
      <c r="AH274" t="s">
        <v>48</v>
      </c>
      <c r="AI274" t="s">
        <v>64</v>
      </c>
      <c r="AJ274" s="1" t="s">
        <v>187</v>
      </c>
      <c r="AK274" s="1" t="s">
        <v>115</v>
      </c>
      <c r="AL274">
        <v>0</v>
      </c>
    </row>
    <row r="275" spans="1:38" x14ac:dyDescent="0.35">
      <c r="A275" t="s">
        <v>449</v>
      </c>
      <c r="B275" t="s">
        <v>117</v>
      </c>
      <c r="C275" t="s">
        <v>118</v>
      </c>
      <c r="D275">
        <v>18.2</v>
      </c>
      <c r="E275" t="s">
        <v>67</v>
      </c>
      <c r="F275">
        <v>49</v>
      </c>
      <c r="G275" t="s">
        <v>54</v>
      </c>
      <c r="H275" t="s">
        <v>63</v>
      </c>
      <c r="I275">
        <v>5</v>
      </c>
      <c r="J275">
        <v>39.1</v>
      </c>
      <c r="K275">
        <v>7</v>
      </c>
      <c r="L275">
        <v>1</v>
      </c>
      <c r="M275">
        <v>12</v>
      </c>
      <c r="N275">
        <v>0</v>
      </c>
      <c r="O275" t="s">
        <v>70</v>
      </c>
      <c r="P275">
        <v>45900</v>
      </c>
      <c r="Q275">
        <v>13.6</v>
      </c>
      <c r="R275">
        <v>3.7</v>
      </c>
      <c r="S275">
        <v>4.0999999999999996</v>
      </c>
      <c r="T275">
        <v>0</v>
      </c>
      <c r="U275">
        <v>3.8</v>
      </c>
      <c r="V275">
        <v>2.5</v>
      </c>
      <c r="W275">
        <v>3.5</v>
      </c>
      <c r="X275" t="s">
        <v>45</v>
      </c>
      <c r="Y275">
        <v>0</v>
      </c>
      <c r="Z275">
        <v>0</v>
      </c>
      <c r="AB275">
        <v>1</v>
      </c>
      <c r="AC275" t="s">
        <v>46</v>
      </c>
      <c r="AE275">
        <v>1</v>
      </c>
      <c r="AF275">
        <v>0</v>
      </c>
      <c r="AG275" t="s">
        <v>75</v>
      </c>
      <c r="AH275" t="s">
        <v>83</v>
      </c>
      <c r="AI275" t="s">
        <v>57</v>
      </c>
      <c r="AJ275" s="1" t="s">
        <v>235</v>
      </c>
      <c r="AK275" s="1" t="s">
        <v>127</v>
      </c>
      <c r="AL275">
        <v>0</v>
      </c>
    </row>
    <row r="276" spans="1:38" x14ac:dyDescent="0.35">
      <c r="A276" t="s">
        <v>450</v>
      </c>
      <c r="B276" t="s">
        <v>39</v>
      </c>
      <c r="C276" t="s">
        <v>88</v>
      </c>
      <c r="D276">
        <v>3.9</v>
      </c>
      <c r="E276" t="s">
        <v>67</v>
      </c>
      <c r="F276">
        <v>31</v>
      </c>
      <c r="G276" t="s">
        <v>68</v>
      </c>
      <c r="H276" t="s">
        <v>55</v>
      </c>
      <c r="I276">
        <v>2</v>
      </c>
      <c r="J276">
        <v>14.3</v>
      </c>
      <c r="K276">
        <v>10</v>
      </c>
      <c r="L276">
        <v>0</v>
      </c>
      <c r="M276">
        <v>12</v>
      </c>
      <c r="N276">
        <v>0</v>
      </c>
      <c r="O276" t="s">
        <v>70</v>
      </c>
      <c r="P276">
        <v>38600</v>
      </c>
      <c r="Q276">
        <v>8.8000000000000007</v>
      </c>
      <c r="R276">
        <v>1.9</v>
      </c>
      <c r="S276">
        <v>8</v>
      </c>
      <c r="T276">
        <v>0</v>
      </c>
      <c r="U276">
        <v>3.2</v>
      </c>
      <c r="V276">
        <v>3.2</v>
      </c>
      <c r="W276">
        <v>1.3</v>
      </c>
      <c r="X276" t="s">
        <v>45</v>
      </c>
      <c r="Y276">
        <v>0</v>
      </c>
      <c r="Z276">
        <v>0</v>
      </c>
      <c r="AB276">
        <v>0</v>
      </c>
      <c r="AC276" t="s">
        <v>46</v>
      </c>
      <c r="AE276">
        <v>1</v>
      </c>
      <c r="AF276">
        <v>0</v>
      </c>
      <c r="AG276" t="s">
        <v>75</v>
      </c>
      <c r="AH276" t="s">
        <v>76</v>
      </c>
      <c r="AI276" t="s">
        <v>49</v>
      </c>
      <c r="AJ276" s="1" t="s">
        <v>119</v>
      </c>
      <c r="AK276" s="1" t="s">
        <v>84</v>
      </c>
      <c r="AL276">
        <v>0</v>
      </c>
    </row>
    <row r="277" spans="1:38" x14ac:dyDescent="0.35">
      <c r="A277" t="s">
        <v>451</v>
      </c>
      <c r="B277" t="s">
        <v>98</v>
      </c>
      <c r="C277" t="s">
        <v>99</v>
      </c>
      <c r="D277">
        <v>2.5</v>
      </c>
      <c r="E277" t="s">
        <v>81</v>
      </c>
      <c r="F277">
        <v>25</v>
      </c>
      <c r="G277" t="s">
        <v>42</v>
      </c>
      <c r="H277" t="s">
        <v>69</v>
      </c>
      <c r="I277">
        <v>3</v>
      </c>
      <c r="J277">
        <v>13.4</v>
      </c>
      <c r="K277">
        <v>14</v>
      </c>
      <c r="L277">
        <v>0</v>
      </c>
      <c r="M277">
        <v>12</v>
      </c>
      <c r="N277">
        <v>0</v>
      </c>
      <c r="O277" t="s">
        <v>82</v>
      </c>
      <c r="P277">
        <v>28800</v>
      </c>
      <c r="Q277">
        <v>6</v>
      </c>
      <c r="R277">
        <v>1.8</v>
      </c>
      <c r="S277">
        <v>2.2999999999999998</v>
      </c>
      <c r="T277">
        <v>0</v>
      </c>
      <c r="U277">
        <v>4.3</v>
      </c>
      <c r="V277">
        <v>2.7</v>
      </c>
      <c r="W277">
        <v>3.1</v>
      </c>
      <c r="X277" t="s">
        <v>45</v>
      </c>
      <c r="Y277">
        <v>0</v>
      </c>
      <c r="Z277">
        <v>0</v>
      </c>
      <c r="AB277">
        <v>0</v>
      </c>
      <c r="AC277" t="s">
        <v>46</v>
      </c>
      <c r="AE277">
        <v>1</v>
      </c>
      <c r="AF277">
        <v>0</v>
      </c>
      <c r="AG277" t="s">
        <v>75</v>
      </c>
      <c r="AH277" t="s">
        <v>48</v>
      </c>
      <c r="AI277" t="s">
        <v>49</v>
      </c>
      <c r="AJ277" s="1" t="s">
        <v>86</v>
      </c>
      <c r="AK277">
        <v>0.25</v>
      </c>
      <c r="AL277">
        <v>0</v>
      </c>
    </row>
    <row r="278" spans="1:38" x14ac:dyDescent="0.35">
      <c r="A278" t="s">
        <v>452</v>
      </c>
      <c r="B278" t="s">
        <v>98</v>
      </c>
      <c r="C278" t="s">
        <v>148</v>
      </c>
      <c r="D278">
        <v>2.2999999999999998</v>
      </c>
      <c r="E278" t="s">
        <v>81</v>
      </c>
      <c r="F278">
        <v>33</v>
      </c>
      <c r="G278" t="s">
        <v>54</v>
      </c>
      <c r="H278" t="s">
        <v>63</v>
      </c>
      <c r="I278">
        <v>1</v>
      </c>
      <c r="J278">
        <v>8.4</v>
      </c>
      <c r="K278">
        <v>12</v>
      </c>
      <c r="L278">
        <v>3</v>
      </c>
      <c r="M278">
        <v>12</v>
      </c>
      <c r="N278">
        <v>0</v>
      </c>
      <c r="O278" t="s">
        <v>82</v>
      </c>
      <c r="P278">
        <v>32100</v>
      </c>
      <c r="Q278">
        <v>15.7</v>
      </c>
      <c r="R278">
        <v>4.2</v>
      </c>
      <c r="S278">
        <v>1.9</v>
      </c>
      <c r="T278">
        <v>0</v>
      </c>
      <c r="U278">
        <v>3.1</v>
      </c>
      <c r="V278">
        <v>5</v>
      </c>
      <c r="W278">
        <v>4.4000000000000004</v>
      </c>
      <c r="X278" t="s">
        <v>45</v>
      </c>
      <c r="Y278">
        <v>0</v>
      </c>
      <c r="Z278">
        <v>0</v>
      </c>
      <c r="AB278">
        <v>0</v>
      </c>
      <c r="AC278" t="s">
        <v>46</v>
      </c>
      <c r="AE278">
        <v>1</v>
      </c>
      <c r="AF278">
        <v>0</v>
      </c>
      <c r="AG278" t="s">
        <v>75</v>
      </c>
      <c r="AH278" t="s">
        <v>48</v>
      </c>
      <c r="AI278" t="s">
        <v>64</v>
      </c>
      <c r="AJ278" s="1" t="s">
        <v>284</v>
      </c>
      <c r="AK278">
        <v>8.3333333333333301E-2</v>
      </c>
      <c r="AL278">
        <v>0</v>
      </c>
    </row>
    <row r="279" spans="1:38" x14ac:dyDescent="0.35">
      <c r="A279" t="s">
        <v>453</v>
      </c>
      <c r="B279" t="s">
        <v>117</v>
      </c>
      <c r="C279" t="s">
        <v>197</v>
      </c>
      <c r="D279">
        <v>1</v>
      </c>
      <c r="E279" t="s">
        <v>81</v>
      </c>
      <c r="F279">
        <v>21</v>
      </c>
      <c r="G279" t="s">
        <v>68</v>
      </c>
      <c r="H279" t="s">
        <v>43</v>
      </c>
      <c r="I279">
        <v>3</v>
      </c>
      <c r="J279">
        <v>6.9</v>
      </c>
      <c r="K279">
        <v>10</v>
      </c>
      <c r="L279">
        <v>0</v>
      </c>
      <c r="M279">
        <v>12</v>
      </c>
      <c r="N279">
        <v>0</v>
      </c>
      <c r="O279" t="s">
        <v>82</v>
      </c>
      <c r="P279">
        <v>26900</v>
      </c>
      <c r="Q279">
        <v>5.6</v>
      </c>
      <c r="R279">
        <v>4.2</v>
      </c>
      <c r="S279">
        <v>0.5</v>
      </c>
      <c r="T279">
        <v>0</v>
      </c>
      <c r="U279">
        <v>3</v>
      </c>
      <c r="V279">
        <v>2.2000000000000002</v>
      </c>
      <c r="W279">
        <v>4</v>
      </c>
      <c r="X279" t="s">
        <v>45</v>
      </c>
      <c r="Y279">
        <v>0</v>
      </c>
      <c r="Z279">
        <v>0</v>
      </c>
      <c r="AB279">
        <v>1</v>
      </c>
      <c r="AC279" t="s">
        <v>46</v>
      </c>
      <c r="AE279">
        <v>1</v>
      </c>
      <c r="AF279">
        <v>0</v>
      </c>
      <c r="AG279" t="s">
        <v>75</v>
      </c>
      <c r="AH279" t="s">
        <v>95</v>
      </c>
      <c r="AI279" t="s">
        <v>64</v>
      </c>
      <c r="AJ279" s="1" t="s">
        <v>159</v>
      </c>
      <c r="AK279">
        <v>0.25</v>
      </c>
      <c r="AL279">
        <v>0</v>
      </c>
    </row>
    <row r="280" spans="1:38" x14ac:dyDescent="0.35">
      <c r="A280" t="s">
        <v>454</v>
      </c>
      <c r="B280" t="s">
        <v>60</v>
      </c>
      <c r="C280" t="s">
        <v>61</v>
      </c>
      <c r="D280">
        <v>4.5</v>
      </c>
      <c r="E280" t="s">
        <v>62</v>
      </c>
      <c r="F280">
        <v>37</v>
      </c>
      <c r="G280" t="s">
        <v>54</v>
      </c>
      <c r="H280" t="s">
        <v>43</v>
      </c>
      <c r="I280">
        <v>3</v>
      </c>
      <c r="J280">
        <v>1.2</v>
      </c>
      <c r="K280">
        <v>8</v>
      </c>
      <c r="L280">
        <v>1</v>
      </c>
      <c r="M280">
        <v>12</v>
      </c>
      <c r="N280">
        <v>0</v>
      </c>
      <c r="O280" t="s">
        <v>293</v>
      </c>
      <c r="P280">
        <v>110500</v>
      </c>
      <c r="Q280">
        <v>5.4</v>
      </c>
      <c r="R280">
        <v>5</v>
      </c>
      <c r="S280">
        <v>0.7</v>
      </c>
      <c r="T280">
        <v>0</v>
      </c>
      <c r="U280">
        <v>4.5999999999999996</v>
      </c>
      <c r="V280">
        <v>3.5</v>
      </c>
      <c r="W280">
        <v>4.0999999999999996</v>
      </c>
      <c r="X280" t="s">
        <v>89</v>
      </c>
      <c r="Y280">
        <v>0</v>
      </c>
      <c r="Z280">
        <v>0</v>
      </c>
      <c r="AB280">
        <v>0</v>
      </c>
      <c r="AC280" t="s">
        <v>46</v>
      </c>
      <c r="AE280">
        <v>1</v>
      </c>
      <c r="AF280">
        <v>0</v>
      </c>
      <c r="AG280" t="s">
        <v>75</v>
      </c>
      <c r="AH280" t="s">
        <v>76</v>
      </c>
      <c r="AI280" t="s">
        <v>64</v>
      </c>
      <c r="AJ280" s="1" t="s">
        <v>222</v>
      </c>
      <c r="AK280">
        <v>0.25</v>
      </c>
      <c r="AL280">
        <v>0</v>
      </c>
    </row>
    <row r="281" spans="1:38" x14ac:dyDescent="0.35">
      <c r="A281" t="s">
        <v>455</v>
      </c>
      <c r="B281" t="s">
        <v>60</v>
      </c>
      <c r="C281" t="s">
        <v>107</v>
      </c>
      <c r="D281">
        <v>3</v>
      </c>
      <c r="E281" t="s">
        <v>67</v>
      </c>
      <c r="F281">
        <v>30</v>
      </c>
      <c r="G281" t="s">
        <v>42</v>
      </c>
      <c r="H281" t="s">
        <v>69</v>
      </c>
      <c r="I281">
        <v>2</v>
      </c>
      <c r="J281">
        <v>4.9000000000000004</v>
      </c>
      <c r="K281">
        <v>11</v>
      </c>
      <c r="L281">
        <v>2</v>
      </c>
      <c r="M281">
        <v>12</v>
      </c>
      <c r="N281">
        <v>0</v>
      </c>
      <c r="O281" t="s">
        <v>70</v>
      </c>
      <c r="P281">
        <v>38400</v>
      </c>
      <c r="Q281">
        <v>3</v>
      </c>
      <c r="R281">
        <v>1.9</v>
      </c>
      <c r="S281">
        <v>2</v>
      </c>
      <c r="T281">
        <v>0</v>
      </c>
      <c r="U281">
        <v>2.2999999999999998</v>
      </c>
      <c r="V281">
        <v>2.6</v>
      </c>
      <c r="W281">
        <v>3.4</v>
      </c>
      <c r="X281" t="s">
        <v>89</v>
      </c>
      <c r="Y281">
        <v>0</v>
      </c>
      <c r="Z281">
        <v>0</v>
      </c>
      <c r="AB281">
        <v>0</v>
      </c>
      <c r="AC281" t="s">
        <v>46</v>
      </c>
      <c r="AE281">
        <v>1</v>
      </c>
      <c r="AF281">
        <v>0</v>
      </c>
      <c r="AG281" t="s">
        <v>75</v>
      </c>
      <c r="AH281" t="s">
        <v>48</v>
      </c>
      <c r="AI281" t="s">
        <v>64</v>
      </c>
      <c r="AJ281" s="1" t="s">
        <v>170</v>
      </c>
      <c r="AK281" s="1" t="s">
        <v>84</v>
      </c>
      <c r="AL281">
        <v>0</v>
      </c>
    </row>
    <row r="282" spans="1:38" x14ac:dyDescent="0.35">
      <c r="A282" t="s">
        <v>456</v>
      </c>
      <c r="B282" t="s">
        <v>73</v>
      </c>
      <c r="C282" t="s">
        <v>74</v>
      </c>
      <c r="D282">
        <v>7</v>
      </c>
      <c r="E282" t="s">
        <v>81</v>
      </c>
      <c r="F282">
        <v>22</v>
      </c>
      <c r="G282" t="s">
        <v>68</v>
      </c>
      <c r="H282" t="s">
        <v>55</v>
      </c>
      <c r="I282">
        <v>2</v>
      </c>
      <c r="J282">
        <v>1.6</v>
      </c>
      <c r="K282">
        <v>5</v>
      </c>
      <c r="L282">
        <v>3</v>
      </c>
      <c r="M282">
        <v>12</v>
      </c>
      <c r="N282">
        <v>0</v>
      </c>
      <c r="O282" t="s">
        <v>82</v>
      </c>
      <c r="P282">
        <v>34800</v>
      </c>
      <c r="Q282">
        <v>13.1</v>
      </c>
      <c r="R282">
        <v>3.6</v>
      </c>
      <c r="S282">
        <v>0.7</v>
      </c>
      <c r="T282">
        <v>0</v>
      </c>
      <c r="U282">
        <v>1.8</v>
      </c>
      <c r="V282">
        <v>3.9</v>
      </c>
      <c r="W282">
        <v>4.7</v>
      </c>
      <c r="X282" t="s">
        <v>45</v>
      </c>
      <c r="Y282">
        <v>0</v>
      </c>
      <c r="Z282">
        <v>2</v>
      </c>
      <c r="AA282">
        <v>0.2</v>
      </c>
      <c r="AB282">
        <v>0</v>
      </c>
      <c r="AC282" t="s">
        <v>46</v>
      </c>
      <c r="AE282">
        <v>0</v>
      </c>
      <c r="AF282">
        <v>0</v>
      </c>
      <c r="AG282" t="s">
        <v>47</v>
      </c>
      <c r="AH282" t="s">
        <v>83</v>
      </c>
      <c r="AI282" t="s">
        <v>64</v>
      </c>
      <c r="AJ282" s="1" t="s">
        <v>77</v>
      </c>
      <c r="AK282" s="1" t="s">
        <v>84</v>
      </c>
      <c r="AL282">
        <v>0</v>
      </c>
    </row>
    <row r="283" spans="1:38" x14ac:dyDescent="0.35">
      <c r="A283" t="s">
        <v>457</v>
      </c>
      <c r="B283" t="s">
        <v>73</v>
      </c>
      <c r="C283" t="s">
        <v>113</v>
      </c>
      <c r="D283">
        <v>5.4</v>
      </c>
      <c r="E283" t="s">
        <v>62</v>
      </c>
      <c r="F283">
        <v>30</v>
      </c>
      <c r="G283" t="s">
        <v>42</v>
      </c>
      <c r="H283" t="s">
        <v>43</v>
      </c>
      <c r="I283">
        <v>3</v>
      </c>
      <c r="J283">
        <v>1.6</v>
      </c>
      <c r="K283">
        <v>9</v>
      </c>
      <c r="L283">
        <v>0</v>
      </c>
      <c r="M283">
        <v>12</v>
      </c>
      <c r="N283">
        <v>0</v>
      </c>
      <c r="O283" t="s">
        <v>56</v>
      </c>
      <c r="P283">
        <v>97000</v>
      </c>
      <c r="Q283">
        <v>14</v>
      </c>
      <c r="R283">
        <v>2.2999999999999998</v>
      </c>
      <c r="S283">
        <v>1.3</v>
      </c>
      <c r="T283">
        <v>0</v>
      </c>
      <c r="U283">
        <v>2.5</v>
      </c>
      <c r="V283">
        <v>3.5</v>
      </c>
      <c r="W283">
        <v>3.6</v>
      </c>
      <c r="X283" t="s">
        <v>45</v>
      </c>
      <c r="Y283">
        <v>0</v>
      </c>
      <c r="Z283">
        <v>1</v>
      </c>
      <c r="AA283">
        <v>0.5</v>
      </c>
      <c r="AB283">
        <v>0</v>
      </c>
      <c r="AC283" t="s">
        <v>46</v>
      </c>
      <c r="AE283">
        <v>0</v>
      </c>
      <c r="AF283">
        <v>0</v>
      </c>
      <c r="AG283" t="s">
        <v>47</v>
      </c>
      <c r="AH283" t="s">
        <v>83</v>
      </c>
      <c r="AI283" t="s">
        <v>64</v>
      </c>
      <c r="AJ283" s="1" t="s">
        <v>162</v>
      </c>
      <c r="AK283">
        <v>0.25</v>
      </c>
      <c r="AL283">
        <v>0</v>
      </c>
    </row>
    <row r="284" spans="1:38" x14ac:dyDescent="0.35">
      <c r="A284" t="s">
        <v>458</v>
      </c>
      <c r="B284" t="s">
        <v>73</v>
      </c>
      <c r="C284" t="s">
        <v>113</v>
      </c>
      <c r="D284">
        <v>2.9</v>
      </c>
      <c r="E284" t="s">
        <v>81</v>
      </c>
      <c r="F284">
        <v>32</v>
      </c>
      <c r="G284" t="s">
        <v>68</v>
      </c>
      <c r="H284" t="s">
        <v>94</v>
      </c>
      <c r="I284">
        <v>2</v>
      </c>
      <c r="J284">
        <v>3</v>
      </c>
      <c r="K284">
        <v>12</v>
      </c>
      <c r="L284">
        <v>2</v>
      </c>
      <c r="M284">
        <v>12</v>
      </c>
      <c r="N284">
        <v>0</v>
      </c>
      <c r="O284" t="s">
        <v>82</v>
      </c>
      <c r="P284">
        <v>26100</v>
      </c>
      <c r="Q284">
        <v>9.5</v>
      </c>
      <c r="R284">
        <v>2.5</v>
      </c>
      <c r="S284">
        <v>0.2</v>
      </c>
      <c r="T284">
        <v>0</v>
      </c>
      <c r="U284">
        <v>3.6</v>
      </c>
      <c r="V284">
        <v>4.3</v>
      </c>
      <c r="W284">
        <v>3.4</v>
      </c>
      <c r="X284" t="s">
        <v>45</v>
      </c>
      <c r="Y284">
        <v>1</v>
      </c>
      <c r="Z284">
        <v>0</v>
      </c>
      <c r="AB284">
        <v>0</v>
      </c>
      <c r="AC284" t="s">
        <v>46</v>
      </c>
      <c r="AE284">
        <v>1</v>
      </c>
      <c r="AF284">
        <v>0</v>
      </c>
      <c r="AG284" t="s">
        <v>75</v>
      </c>
      <c r="AH284" t="s">
        <v>48</v>
      </c>
      <c r="AI284" t="s">
        <v>64</v>
      </c>
      <c r="AJ284" s="1" t="s">
        <v>459</v>
      </c>
      <c r="AK284" s="1" t="s">
        <v>84</v>
      </c>
      <c r="AL284">
        <v>0</v>
      </c>
    </row>
    <row r="285" spans="1:38" x14ac:dyDescent="0.35">
      <c r="A285" t="s">
        <v>460</v>
      </c>
      <c r="B285" t="s">
        <v>98</v>
      </c>
      <c r="C285" t="s">
        <v>151</v>
      </c>
      <c r="D285">
        <v>0.5</v>
      </c>
      <c r="E285" t="s">
        <v>67</v>
      </c>
      <c r="F285">
        <v>26</v>
      </c>
      <c r="G285" t="s">
        <v>42</v>
      </c>
      <c r="H285" t="s">
        <v>69</v>
      </c>
      <c r="I285">
        <v>5</v>
      </c>
      <c r="J285">
        <v>23.5</v>
      </c>
      <c r="K285">
        <v>6</v>
      </c>
      <c r="L285">
        <v>2</v>
      </c>
      <c r="M285">
        <v>12</v>
      </c>
      <c r="N285">
        <v>0</v>
      </c>
      <c r="O285" t="s">
        <v>82</v>
      </c>
      <c r="P285">
        <v>33000</v>
      </c>
      <c r="Q285">
        <v>4.0999999999999996</v>
      </c>
      <c r="R285">
        <v>2.7</v>
      </c>
      <c r="S285">
        <v>1.4</v>
      </c>
      <c r="T285">
        <v>0</v>
      </c>
      <c r="U285">
        <v>4.5</v>
      </c>
      <c r="V285">
        <v>3.8</v>
      </c>
      <c r="W285">
        <v>4.0999999999999996</v>
      </c>
      <c r="X285" t="s">
        <v>45</v>
      </c>
      <c r="Y285">
        <v>0</v>
      </c>
      <c r="Z285">
        <v>1</v>
      </c>
      <c r="AA285">
        <v>0.4</v>
      </c>
      <c r="AB285">
        <v>0</v>
      </c>
      <c r="AC285" t="s">
        <v>46</v>
      </c>
      <c r="AE285">
        <v>0</v>
      </c>
      <c r="AF285">
        <v>0</v>
      </c>
      <c r="AG285" t="s">
        <v>47</v>
      </c>
      <c r="AH285" t="s">
        <v>95</v>
      </c>
      <c r="AI285" t="s">
        <v>57</v>
      </c>
      <c r="AJ285" s="1" t="s">
        <v>201</v>
      </c>
      <c r="AK285" s="1" t="s">
        <v>127</v>
      </c>
      <c r="AL285">
        <v>0</v>
      </c>
    </row>
    <row r="286" spans="1:38" x14ac:dyDescent="0.35">
      <c r="A286" t="s">
        <v>461</v>
      </c>
      <c r="B286" t="s">
        <v>117</v>
      </c>
      <c r="C286" t="s">
        <v>189</v>
      </c>
      <c r="D286">
        <v>3.9</v>
      </c>
      <c r="E286" t="s">
        <v>110</v>
      </c>
      <c r="F286">
        <v>33</v>
      </c>
      <c r="G286" t="s">
        <v>42</v>
      </c>
      <c r="H286" t="s">
        <v>94</v>
      </c>
      <c r="I286">
        <v>0</v>
      </c>
      <c r="J286">
        <v>23.4</v>
      </c>
      <c r="K286">
        <v>9</v>
      </c>
      <c r="L286">
        <v>3</v>
      </c>
      <c r="M286">
        <v>12</v>
      </c>
      <c r="N286">
        <v>0</v>
      </c>
      <c r="O286" t="s">
        <v>44</v>
      </c>
      <c r="P286">
        <v>53300</v>
      </c>
      <c r="Q286">
        <v>8</v>
      </c>
      <c r="R286">
        <v>3.5</v>
      </c>
      <c r="S286">
        <v>0.1</v>
      </c>
      <c r="T286">
        <v>0</v>
      </c>
      <c r="U286">
        <v>2.7</v>
      </c>
      <c r="V286">
        <v>2.6</v>
      </c>
      <c r="W286">
        <v>4.0999999999999996</v>
      </c>
      <c r="X286" t="s">
        <v>45</v>
      </c>
      <c r="Y286">
        <v>0</v>
      </c>
      <c r="Z286">
        <v>1</v>
      </c>
      <c r="AA286">
        <v>0.2</v>
      </c>
      <c r="AB286">
        <v>0</v>
      </c>
      <c r="AC286" t="s">
        <v>46</v>
      </c>
      <c r="AE286">
        <v>0</v>
      </c>
      <c r="AF286">
        <v>0</v>
      </c>
      <c r="AG286" t="s">
        <v>47</v>
      </c>
      <c r="AH286" t="s">
        <v>76</v>
      </c>
      <c r="AI286" t="s">
        <v>57</v>
      </c>
      <c r="AJ286" s="1" t="s">
        <v>50</v>
      </c>
      <c r="AK286">
        <v>0</v>
      </c>
      <c r="AL286">
        <v>0</v>
      </c>
    </row>
    <row r="287" spans="1:38" x14ac:dyDescent="0.35">
      <c r="A287" t="s">
        <v>462</v>
      </c>
      <c r="B287" t="s">
        <v>98</v>
      </c>
      <c r="C287" t="s">
        <v>151</v>
      </c>
      <c r="D287">
        <v>3.6</v>
      </c>
      <c r="E287" t="s">
        <v>41</v>
      </c>
      <c r="F287">
        <v>26</v>
      </c>
      <c r="G287" t="s">
        <v>42</v>
      </c>
      <c r="H287" t="s">
        <v>63</v>
      </c>
      <c r="I287">
        <v>3</v>
      </c>
      <c r="J287">
        <v>5</v>
      </c>
      <c r="K287">
        <v>7</v>
      </c>
      <c r="L287">
        <v>3</v>
      </c>
      <c r="M287">
        <v>12</v>
      </c>
      <c r="N287">
        <v>0</v>
      </c>
      <c r="O287" t="s">
        <v>44</v>
      </c>
      <c r="P287">
        <v>64900</v>
      </c>
      <c r="Q287">
        <v>6.8</v>
      </c>
      <c r="R287">
        <v>2.6</v>
      </c>
      <c r="S287">
        <v>3</v>
      </c>
      <c r="T287">
        <v>0</v>
      </c>
      <c r="U287">
        <v>4.9000000000000004</v>
      </c>
      <c r="V287">
        <v>5</v>
      </c>
      <c r="W287">
        <v>3.9</v>
      </c>
      <c r="X287" t="s">
        <v>45</v>
      </c>
      <c r="Y287">
        <v>0</v>
      </c>
      <c r="Z287">
        <v>0</v>
      </c>
      <c r="AB287">
        <v>0</v>
      </c>
      <c r="AC287" t="s">
        <v>46</v>
      </c>
      <c r="AE287">
        <v>1</v>
      </c>
      <c r="AF287">
        <v>0</v>
      </c>
      <c r="AG287" t="s">
        <v>75</v>
      </c>
      <c r="AH287" t="s">
        <v>76</v>
      </c>
      <c r="AI287" t="s">
        <v>64</v>
      </c>
      <c r="AJ287" s="1" t="s">
        <v>463</v>
      </c>
      <c r="AK287">
        <v>0.25</v>
      </c>
      <c r="AL287">
        <v>0</v>
      </c>
    </row>
    <row r="288" spans="1:38" x14ac:dyDescent="0.35">
      <c r="A288" t="s">
        <v>464</v>
      </c>
      <c r="B288" t="s">
        <v>73</v>
      </c>
      <c r="C288" t="s">
        <v>74</v>
      </c>
      <c r="D288">
        <v>0.4</v>
      </c>
      <c r="E288" t="s">
        <v>110</v>
      </c>
      <c r="F288">
        <v>21</v>
      </c>
      <c r="G288" t="s">
        <v>42</v>
      </c>
      <c r="H288" t="s">
        <v>43</v>
      </c>
      <c r="I288">
        <v>2</v>
      </c>
      <c r="J288">
        <v>2.2000000000000002</v>
      </c>
      <c r="K288">
        <v>7</v>
      </c>
      <c r="L288">
        <v>2</v>
      </c>
      <c r="M288">
        <v>12</v>
      </c>
      <c r="N288">
        <v>0</v>
      </c>
      <c r="O288" t="s">
        <v>44</v>
      </c>
      <c r="P288">
        <v>60800</v>
      </c>
      <c r="Q288">
        <v>3.9</v>
      </c>
      <c r="R288">
        <v>3.2</v>
      </c>
      <c r="S288">
        <v>1.4</v>
      </c>
      <c r="T288">
        <v>0</v>
      </c>
      <c r="U288">
        <v>3.3</v>
      </c>
      <c r="V288">
        <v>3.7</v>
      </c>
      <c r="W288">
        <v>3.1</v>
      </c>
      <c r="X288" t="s">
        <v>45</v>
      </c>
      <c r="Y288">
        <v>0</v>
      </c>
      <c r="Z288">
        <v>0</v>
      </c>
      <c r="AB288">
        <v>0</v>
      </c>
      <c r="AC288" t="s">
        <v>46</v>
      </c>
      <c r="AE288">
        <v>1</v>
      </c>
      <c r="AF288">
        <v>0</v>
      </c>
      <c r="AG288" t="s">
        <v>75</v>
      </c>
      <c r="AH288" t="s">
        <v>95</v>
      </c>
      <c r="AI288" t="s">
        <v>64</v>
      </c>
      <c r="AJ288" s="1" t="s">
        <v>86</v>
      </c>
      <c r="AK288" s="1" t="s">
        <v>84</v>
      </c>
      <c r="AL288">
        <v>0</v>
      </c>
    </row>
    <row r="289" spans="1:38" x14ac:dyDescent="0.35">
      <c r="A289" t="s">
        <v>465</v>
      </c>
      <c r="B289" t="s">
        <v>98</v>
      </c>
      <c r="C289" t="s">
        <v>151</v>
      </c>
      <c r="D289">
        <v>5</v>
      </c>
      <c r="E289" t="s">
        <v>67</v>
      </c>
      <c r="F289">
        <v>31</v>
      </c>
      <c r="G289" t="s">
        <v>234</v>
      </c>
      <c r="H289" t="s">
        <v>69</v>
      </c>
      <c r="I289">
        <v>5</v>
      </c>
      <c r="J289">
        <v>6.6</v>
      </c>
      <c r="K289">
        <v>12</v>
      </c>
      <c r="L289">
        <v>3</v>
      </c>
      <c r="M289">
        <v>12</v>
      </c>
      <c r="N289">
        <v>0</v>
      </c>
      <c r="O289" t="s">
        <v>70</v>
      </c>
      <c r="P289">
        <v>35600</v>
      </c>
      <c r="Q289">
        <v>6</v>
      </c>
      <c r="R289">
        <v>3.9</v>
      </c>
      <c r="S289">
        <v>0.6</v>
      </c>
      <c r="T289">
        <v>0</v>
      </c>
      <c r="U289">
        <v>3.2</v>
      </c>
      <c r="V289">
        <v>3.3</v>
      </c>
      <c r="W289">
        <v>3.6</v>
      </c>
      <c r="X289" t="s">
        <v>45</v>
      </c>
      <c r="Y289">
        <v>1</v>
      </c>
      <c r="Z289">
        <v>0</v>
      </c>
      <c r="AB289">
        <v>1</v>
      </c>
      <c r="AC289" t="s">
        <v>46</v>
      </c>
      <c r="AE289">
        <v>1</v>
      </c>
      <c r="AF289">
        <v>0</v>
      </c>
      <c r="AG289" t="s">
        <v>75</v>
      </c>
      <c r="AH289" t="s">
        <v>76</v>
      </c>
      <c r="AI289" t="s">
        <v>64</v>
      </c>
      <c r="AJ289" s="1" t="s">
        <v>86</v>
      </c>
      <c r="AK289" s="1" t="s">
        <v>127</v>
      </c>
      <c r="AL289">
        <v>0</v>
      </c>
    </row>
    <row r="290" spans="1:38" x14ac:dyDescent="0.35">
      <c r="A290" t="s">
        <v>466</v>
      </c>
      <c r="B290" t="s">
        <v>117</v>
      </c>
      <c r="C290" t="s">
        <v>189</v>
      </c>
      <c r="D290">
        <v>1.4</v>
      </c>
      <c r="E290" t="s">
        <v>62</v>
      </c>
      <c r="F290">
        <v>28</v>
      </c>
      <c r="G290" t="s">
        <v>54</v>
      </c>
      <c r="H290" t="s">
        <v>69</v>
      </c>
      <c r="I290">
        <v>2</v>
      </c>
      <c r="J290">
        <v>16.399999999999999</v>
      </c>
      <c r="K290">
        <v>6</v>
      </c>
      <c r="L290">
        <v>5</v>
      </c>
      <c r="M290">
        <v>12</v>
      </c>
      <c r="N290">
        <v>0</v>
      </c>
      <c r="O290" t="s">
        <v>56</v>
      </c>
      <c r="P290">
        <v>87100</v>
      </c>
      <c r="Q290">
        <v>10</v>
      </c>
      <c r="R290">
        <v>4.2</v>
      </c>
      <c r="S290">
        <v>1.1000000000000001</v>
      </c>
      <c r="T290">
        <v>0</v>
      </c>
      <c r="U290">
        <v>2.5</v>
      </c>
      <c r="V290">
        <v>3.4</v>
      </c>
      <c r="W290">
        <v>4.5</v>
      </c>
      <c r="X290" t="s">
        <v>45</v>
      </c>
      <c r="Y290">
        <v>0</v>
      </c>
      <c r="Z290">
        <v>1</v>
      </c>
      <c r="AA290">
        <v>0.3</v>
      </c>
      <c r="AB290">
        <v>0</v>
      </c>
      <c r="AC290" t="s">
        <v>46</v>
      </c>
      <c r="AE290">
        <v>0</v>
      </c>
      <c r="AF290">
        <v>0</v>
      </c>
      <c r="AG290" t="s">
        <v>47</v>
      </c>
      <c r="AH290" t="s">
        <v>48</v>
      </c>
      <c r="AI290" t="s">
        <v>49</v>
      </c>
      <c r="AJ290" s="1" t="s">
        <v>77</v>
      </c>
      <c r="AK290" s="1" t="s">
        <v>84</v>
      </c>
      <c r="AL290">
        <v>0</v>
      </c>
    </row>
    <row r="291" spans="1:38" x14ac:dyDescent="0.35">
      <c r="A291" t="s">
        <v>467</v>
      </c>
      <c r="B291" t="s">
        <v>73</v>
      </c>
      <c r="C291" t="s">
        <v>113</v>
      </c>
      <c r="D291">
        <v>7.3</v>
      </c>
      <c r="E291" t="s">
        <v>81</v>
      </c>
      <c r="F291">
        <v>32</v>
      </c>
      <c r="G291" t="s">
        <v>42</v>
      </c>
      <c r="H291" t="s">
        <v>69</v>
      </c>
      <c r="I291">
        <v>4</v>
      </c>
      <c r="J291">
        <v>20.100000000000001</v>
      </c>
      <c r="K291">
        <v>6</v>
      </c>
      <c r="L291">
        <v>2</v>
      </c>
      <c r="M291">
        <v>12</v>
      </c>
      <c r="N291">
        <v>0</v>
      </c>
      <c r="O291" t="s">
        <v>82</v>
      </c>
      <c r="P291">
        <v>32300</v>
      </c>
      <c r="Q291">
        <v>5.6</v>
      </c>
      <c r="R291">
        <v>3.8</v>
      </c>
      <c r="S291">
        <v>0.7</v>
      </c>
      <c r="T291">
        <v>0</v>
      </c>
      <c r="U291">
        <v>5</v>
      </c>
      <c r="V291">
        <v>3.8</v>
      </c>
      <c r="W291">
        <v>3.8</v>
      </c>
      <c r="X291" t="s">
        <v>45</v>
      </c>
      <c r="Y291">
        <v>0</v>
      </c>
      <c r="Z291">
        <v>0</v>
      </c>
      <c r="AB291">
        <v>2</v>
      </c>
      <c r="AC291" t="s">
        <v>46</v>
      </c>
      <c r="AE291">
        <v>1</v>
      </c>
      <c r="AF291">
        <v>0</v>
      </c>
      <c r="AG291" t="s">
        <v>75</v>
      </c>
      <c r="AH291" t="s">
        <v>83</v>
      </c>
      <c r="AI291" t="s">
        <v>57</v>
      </c>
      <c r="AJ291">
        <v>4.2</v>
      </c>
      <c r="AK291" s="1" t="s">
        <v>115</v>
      </c>
      <c r="AL291">
        <v>0</v>
      </c>
    </row>
    <row r="292" spans="1:38" x14ac:dyDescent="0.35">
      <c r="A292" t="s">
        <v>468</v>
      </c>
      <c r="B292" t="s">
        <v>60</v>
      </c>
      <c r="C292" t="s">
        <v>61</v>
      </c>
      <c r="D292">
        <v>3.5</v>
      </c>
      <c r="E292" t="s">
        <v>62</v>
      </c>
      <c r="F292">
        <v>34</v>
      </c>
      <c r="G292" t="s">
        <v>42</v>
      </c>
      <c r="H292" t="s">
        <v>69</v>
      </c>
      <c r="I292">
        <v>6</v>
      </c>
      <c r="J292">
        <v>11.4</v>
      </c>
      <c r="K292">
        <v>11</v>
      </c>
      <c r="L292">
        <v>2</v>
      </c>
      <c r="M292">
        <v>12</v>
      </c>
      <c r="N292">
        <v>0</v>
      </c>
      <c r="O292" t="s">
        <v>293</v>
      </c>
      <c r="P292">
        <v>111000</v>
      </c>
      <c r="Q292">
        <v>9.1999999999999993</v>
      </c>
      <c r="R292">
        <v>3.6</v>
      </c>
      <c r="S292">
        <v>0.5</v>
      </c>
      <c r="T292">
        <v>0</v>
      </c>
      <c r="U292">
        <v>3.2</v>
      </c>
      <c r="V292">
        <v>3.7</v>
      </c>
      <c r="W292">
        <v>2.2000000000000002</v>
      </c>
      <c r="X292" t="s">
        <v>45</v>
      </c>
      <c r="Y292">
        <v>0</v>
      </c>
      <c r="Z292">
        <v>0</v>
      </c>
      <c r="AB292">
        <v>0</v>
      </c>
      <c r="AC292" t="s">
        <v>46</v>
      </c>
      <c r="AE292">
        <v>1</v>
      </c>
      <c r="AF292">
        <v>0</v>
      </c>
      <c r="AG292" t="s">
        <v>75</v>
      </c>
      <c r="AH292" t="s">
        <v>76</v>
      </c>
      <c r="AI292" t="s">
        <v>49</v>
      </c>
      <c r="AJ292" s="1" t="s">
        <v>104</v>
      </c>
      <c r="AK292">
        <v>0.5</v>
      </c>
      <c r="AL292">
        <v>0</v>
      </c>
    </row>
    <row r="293" spans="1:38" x14ac:dyDescent="0.35">
      <c r="A293" t="s">
        <v>469</v>
      </c>
      <c r="B293" t="s">
        <v>73</v>
      </c>
      <c r="C293" t="s">
        <v>113</v>
      </c>
      <c r="D293">
        <v>2.2999999999999998</v>
      </c>
      <c r="E293" t="s">
        <v>41</v>
      </c>
      <c r="F293">
        <v>25</v>
      </c>
      <c r="G293" t="s">
        <v>42</v>
      </c>
      <c r="H293" t="s">
        <v>69</v>
      </c>
      <c r="I293">
        <v>3</v>
      </c>
      <c r="J293">
        <v>13.1</v>
      </c>
      <c r="K293">
        <v>5</v>
      </c>
      <c r="L293">
        <v>1</v>
      </c>
      <c r="M293">
        <v>12</v>
      </c>
      <c r="N293">
        <v>0</v>
      </c>
      <c r="O293" t="s">
        <v>56</v>
      </c>
      <c r="P293">
        <v>76500</v>
      </c>
      <c r="Q293">
        <v>0.9</v>
      </c>
      <c r="R293">
        <v>3.1</v>
      </c>
      <c r="S293">
        <v>0.8</v>
      </c>
      <c r="T293">
        <v>0</v>
      </c>
      <c r="U293">
        <v>2.1</v>
      </c>
      <c r="V293">
        <v>3.6</v>
      </c>
      <c r="W293">
        <v>2.9</v>
      </c>
      <c r="X293" t="s">
        <v>45</v>
      </c>
      <c r="Y293">
        <v>0</v>
      </c>
      <c r="Z293">
        <v>1</v>
      </c>
      <c r="AA293">
        <v>0.9</v>
      </c>
      <c r="AB293">
        <v>1</v>
      </c>
      <c r="AC293" t="s">
        <v>46</v>
      </c>
      <c r="AE293">
        <v>0</v>
      </c>
      <c r="AF293">
        <v>0</v>
      </c>
      <c r="AG293" t="s">
        <v>47</v>
      </c>
      <c r="AH293" t="s">
        <v>48</v>
      </c>
      <c r="AI293" t="s">
        <v>49</v>
      </c>
      <c r="AJ293" s="1" t="s">
        <v>182</v>
      </c>
      <c r="AK293">
        <v>0.25</v>
      </c>
      <c r="AL293">
        <v>0</v>
      </c>
    </row>
    <row r="294" spans="1:38" x14ac:dyDescent="0.35">
      <c r="A294" t="s">
        <v>470</v>
      </c>
      <c r="B294" t="s">
        <v>60</v>
      </c>
      <c r="C294" t="s">
        <v>80</v>
      </c>
      <c r="D294">
        <v>4.3</v>
      </c>
      <c r="E294" t="s">
        <v>62</v>
      </c>
      <c r="F294">
        <v>32</v>
      </c>
      <c r="G294" t="s">
        <v>42</v>
      </c>
      <c r="H294" t="s">
        <v>94</v>
      </c>
      <c r="I294">
        <v>2</v>
      </c>
      <c r="J294">
        <v>12.1</v>
      </c>
      <c r="K294">
        <v>4</v>
      </c>
      <c r="L294">
        <v>1</v>
      </c>
      <c r="M294">
        <v>12</v>
      </c>
      <c r="N294">
        <v>0</v>
      </c>
      <c r="O294" t="s">
        <v>293</v>
      </c>
      <c r="P294">
        <v>110800</v>
      </c>
      <c r="Q294">
        <v>14.7</v>
      </c>
      <c r="R294">
        <v>2.7</v>
      </c>
      <c r="S294">
        <v>0.8</v>
      </c>
      <c r="T294">
        <v>0</v>
      </c>
      <c r="U294">
        <v>5</v>
      </c>
      <c r="V294">
        <v>4.0999999999999996</v>
      </c>
      <c r="W294">
        <v>2.9</v>
      </c>
      <c r="X294" t="s">
        <v>45</v>
      </c>
      <c r="Y294">
        <v>0</v>
      </c>
      <c r="Z294">
        <v>1</v>
      </c>
      <c r="AA294">
        <v>2.2000000000000002</v>
      </c>
      <c r="AB294">
        <v>1</v>
      </c>
      <c r="AC294" t="s">
        <v>46</v>
      </c>
      <c r="AE294">
        <v>0</v>
      </c>
      <c r="AF294">
        <v>0</v>
      </c>
      <c r="AG294" t="s">
        <v>47</v>
      </c>
      <c r="AH294" t="s">
        <v>76</v>
      </c>
      <c r="AI294" t="s">
        <v>49</v>
      </c>
      <c r="AJ294">
        <v>4</v>
      </c>
      <c r="AK294" s="1" t="s">
        <v>84</v>
      </c>
      <c r="AL294">
        <v>0</v>
      </c>
    </row>
    <row r="295" spans="1:38" x14ac:dyDescent="0.35">
      <c r="A295" t="s">
        <v>471</v>
      </c>
      <c r="B295" t="s">
        <v>73</v>
      </c>
      <c r="C295" t="s">
        <v>121</v>
      </c>
      <c r="D295">
        <v>4.0999999999999996</v>
      </c>
      <c r="E295" t="s">
        <v>67</v>
      </c>
      <c r="F295">
        <v>30</v>
      </c>
      <c r="G295" t="s">
        <v>68</v>
      </c>
      <c r="H295" t="s">
        <v>55</v>
      </c>
      <c r="I295">
        <v>1</v>
      </c>
      <c r="J295">
        <v>1.7</v>
      </c>
      <c r="K295">
        <v>11</v>
      </c>
      <c r="L295">
        <v>0</v>
      </c>
      <c r="M295">
        <v>12</v>
      </c>
      <c r="N295">
        <v>0</v>
      </c>
      <c r="O295" t="s">
        <v>70</v>
      </c>
      <c r="P295">
        <v>38800</v>
      </c>
      <c r="Q295">
        <v>6.4</v>
      </c>
      <c r="R295">
        <v>3.7</v>
      </c>
      <c r="S295">
        <v>1</v>
      </c>
      <c r="T295">
        <v>0</v>
      </c>
      <c r="U295">
        <v>3.7</v>
      </c>
      <c r="V295">
        <v>4</v>
      </c>
      <c r="W295">
        <v>3.4</v>
      </c>
      <c r="X295" t="s">
        <v>45</v>
      </c>
      <c r="Y295">
        <v>1</v>
      </c>
      <c r="Z295">
        <v>1</v>
      </c>
      <c r="AA295">
        <v>3.3</v>
      </c>
      <c r="AB295">
        <v>0</v>
      </c>
      <c r="AC295" t="s">
        <v>46</v>
      </c>
      <c r="AE295">
        <v>0</v>
      </c>
      <c r="AF295">
        <v>0</v>
      </c>
      <c r="AG295" t="s">
        <v>47</v>
      </c>
      <c r="AH295" t="s">
        <v>76</v>
      </c>
      <c r="AI295" t="s">
        <v>64</v>
      </c>
      <c r="AJ295" s="1" t="s">
        <v>58</v>
      </c>
      <c r="AK295">
        <v>8.3333333333333301E-2</v>
      </c>
      <c r="AL295">
        <v>0</v>
      </c>
    </row>
    <row r="296" spans="1:38" x14ac:dyDescent="0.35">
      <c r="A296" t="s">
        <v>472</v>
      </c>
      <c r="B296" t="s">
        <v>60</v>
      </c>
      <c r="C296" t="s">
        <v>107</v>
      </c>
      <c r="D296">
        <v>4</v>
      </c>
      <c r="E296" t="s">
        <v>81</v>
      </c>
      <c r="F296">
        <v>24</v>
      </c>
      <c r="G296" t="s">
        <v>68</v>
      </c>
      <c r="H296" t="s">
        <v>69</v>
      </c>
      <c r="I296">
        <v>4</v>
      </c>
      <c r="J296">
        <v>2.4</v>
      </c>
      <c r="K296">
        <v>11</v>
      </c>
      <c r="L296">
        <v>3</v>
      </c>
      <c r="M296">
        <v>12</v>
      </c>
      <c r="N296">
        <v>0</v>
      </c>
      <c r="O296" t="s">
        <v>82</v>
      </c>
      <c r="P296">
        <v>28600</v>
      </c>
      <c r="Q296">
        <v>11.5</v>
      </c>
      <c r="R296">
        <v>2.2999999999999998</v>
      </c>
      <c r="S296">
        <v>0</v>
      </c>
      <c r="T296">
        <v>0</v>
      </c>
      <c r="U296">
        <v>4</v>
      </c>
      <c r="V296">
        <v>2.4</v>
      </c>
      <c r="W296">
        <v>1.7</v>
      </c>
      <c r="X296" t="s">
        <v>45</v>
      </c>
      <c r="Y296">
        <v>0</v>
      </c>
      <c r="Z296">
        <v>1</v>
      </c>
      <c r="AA296">
        <v>2.6</v>
      </c>
      <c r="AB296">
        <v>1</v>
      </c>
      <c r="AC296" t="s">
        <v>46</v>
      </c>
      <c r="AE296">
        <v>0</v>
      </c>
      <c r="AF296">
        <v>0</v>
      </c>
      <c r="AG296" t="s">
        <v>47</v>
      </c>
      <c r="AH296" t="s">
        <v>76</v>
      </c>
      <c r="AI296" t="s">
        <v>64</v>
      </c>
      <c r="AJ296" s="1" t="s">
        <v>96</v>
      </c>
      <c r="AK296" s="1" t="s">
        <v>115</v>
      </c>
      <c r="AL296">
        <v>0</v>
      </c>
    </row>
    <row r="297" spans="1:38" x14ac:dyDescent="0.35">
      <c r="A297" t="s">
        <v>473</v>
      </c>
      <c r="B297" t="s">
        <v>60</v>
      </c>
      <c r="C297" t="s">
        <v>107</v>
      </c>
      <c r="D297">
        <v>6.7</v>
      </c>
      <c r="E297" t="s">
        <v>110</v>
      </c>
      <c r="F297">
        <v>27</v>
      </c>
      <c r="G297" t="s">
        <v>68</v>
      </c>
      <c r="H297" t="s">
        <v>55</v>
      </c>
      <c r="I297">
        <v>4</v>
      </c>
      <c r="J297">
        <v>31.4</v>
      </c>
      <c r="K297">
        <v>9</v>
      </c>
      <c r="L297">
        <v>1</v>
      </c>
      <c r="M297">
        <v>12</v>
      </c>
      <c r="N297">
        <v>0</v>
      </c>
      <c r="O297" t="s">
        <v>44</v>
      </c>
      <c r="P297">
        <v>69100</v>
      </c>
      <c r="Q297">
        <v>8.8000000000000007</v>
      </c>
      <c r="R297">
        <v>3.3</v>
      </c>
      <c r="S297">
        <v>3.2</v>
      </c>
      <c r="T297">
        <v>0</v>
      </c>
      <c r="U297">
        <v>4.8</v>
      </c>
      <c r="V297">
        <v>5</v>
      </c>
      <c r="W297">
        <v>4.9000000000000004</v>
      </c>
      <c r="X297" t="s">
        <v>45</v>
      </c>
      <c r="Y297">
        <v>0</v>
      </c>
      <c r="Z297">
        <v>0</v>
      </c>
      <c r="AB297">
        <v>1</v>
      </c>
      <c r="AC297" t="s">
        <v>46</v>
      </c>
      <c r="AE297">
        <v>1</v>
      </c>
      <c r="AF297">
        <v>0</v>
      </c>
      <c r="AG297" t="s">
        <v>75</v>
      </c>
      <c r="AH297" t="s">
        <v>83</v>
      </c>
      <c r="AI297" t="s">
        <v>57</v>
      </c>
      <c r="AJ297">
        <v>4.9000000000000004</v>
      </c>
      <c r="AK297" s="1" t="s">
        <v>115</v>
      </c>
      <c r="AL297">
        <v>0</v>
      </c>
    </row>
    <row r="298" spans="1:38" x14ac:dyDescent="0.35">
      <c r="A298" t="s">
        <v>474</v>
      </c>
      <c r="B298" t="s">
        <v>60</v>
      </c>
      <c r="C298" t="s">
        <v>80</v>
      </c>
      <c r="D298">
        <v>4.5</v>
      </c>
      <c r="E298" t="s">
        <v>67</v>
      </c>
      <c r="F298">
        <v>31</v>
      </c>
      <c r="G298" t="s">
        <v>42</v>
      </c>
      <c r="H298" t="s">
        <v>69</v>
      </c>
      <c r="I298">
        <v>4</v>
      </c>
      <c r="J298">
        <v>11.4</v>
      </c>
      <c r="K298">
        <v>12</v>
      </c>
      <c r="L298">
        <v>4</v>
      </c>
      <c r="M298">
        <v>12</v>
      </c>
      <c r="N298">
        <v>0</v>
      </c>
      <c r="O298" t="s">
        <v>70</v>
      </c>
      <c r="P298">
        <v>47400</v>
      </c>
      <c r="Q298">
        <v>9.6</v>
      </c>
      <c r="R298">
        <v>2.2000000000000002</v>
      </c>
      <c r="S298">
        <v>3.2</v>
      </c>
      <c r="T298">
        <v>0</v>
      </c>
      <c r="U298">
        <v>3.9</v>
      </c>
      <c r="V298">
        <v>5</v>
      </c>
      <c r="W298">
        <v>2.7</v>
      </c>
      <c r="X298" t="s">
        <v>45</v>
      </c>
      <c r="Y298">
        <v>0</v>
      </c>
      <c r="Z298">
        <v>3</v>
      </c>
      <c r="AA298">
        <v>0.4</v>
      </c>
      <c r="AB298">
        <v>0</v>
      </c>
      <c r="AC298" t="s">
        <v>46</v>
      </c>
      <c r="AE298">
        <v>0</v>
      </c>
      <c r="AF298">
        <v>0</v>
      </c>
      <c r="AG298" t="s">
        <v>47</v>
      </c>
      <c r="AH298" t="s">
        <v>76</v>
      </c>
      <c r="AI298" t="s">
        <v>49</v>
      </c>
      <c r="AJ298" s="1" t="s">
        <v>475</v>
      </c>
      <c r="AK298" s="1" t="s">
        <v>115</v>
      </c>
      <c r="AL298">
        <v>0</v>
      </c>
    </row>
    <row r="299" spans="1:38" x14ac:dyDescent="0.35">
      <c r="A299" t="s">
        <v>476</v>
      </c>
      <c r="B299" t="s">
        <v>39</v>
      </c>
      <c r="C299" t="s">
        <v>66</v>
      </c>
      <c r="D299">
        <v>2.1</v>
      </c>
      <c r="E299" t="s">
        <v>110</v>
      </c>
      <c r="F299">
        <v>36</v>
      </c>
      <c r="G299" t="s">
        <v>42</v>
      </c>
      <c r="H299" t="s">
        <v>69</v>
      </c>
      <c r="I299">
        <v>4</v>
      </c>
      <c r="J299">
        <v>0.8</v>
      </c>
      <c r="K299">
        <v>12</v>
      </c>
      <c r="L299">
        <v>6</v>
      </c>
      <c r="M299">
        <v>12</v>
      </c>
      <c r="N299">
        <v>0</v>
      </c>
      <c r="O299" t="s">
        <v>44</v>
      </c>
      <c r="P299">
        <v>56500</v>
      </c>
      <c r="Q299">
        <v>3.5</v>
      </c>
      <c r="R299">
        <v>3.2</v>
      </c>
      <c r="S299">
        <v>1.2</v>
      </c>
      <c r="T299">
        <v>0</v>
      </c>
      <c r="U299">
        <v>4.2</v>
      </c>
      <c r="V299">
        <v>3.9</v>
      </c>
      <c r="W299">
        <v>2.8</v>
      </c>
      <c r="X299" t="s">
        <v>45</v>
      </c>
      <c r="Y299">
        <v>0</v>
      </c>
      <c r="Z299">
        <v>1</v>
      </c>
      <c r="AA299">
        <v>1.3</v>
      </c>
      <c r="AB299">
        <v>0</v>
      </c>
      <c r="AC299" t="s">
        <v>124</v>
      </c>
      <c r="AD299" s="2">
        <v>45661</v>
      </c>
      <c r="AE299">
        <v>0</v>
      </c>
      <c r="AF299">
        <v>0</v>
      </c>
      <c r="AG299" t="s">
        <v>47</v>
      </c>
      <c r="AH299" t="s">
        <v>48</v>
      </c>
      <c r="AI299" t="s">
        <v>64</v>
      </c>
      <c r="AJ299" s="1" t="s">
        <v>187</v>
      </c>
      <c r="AK299" s="1" t="s">
        <v>115</v>
      </c>
      <c r="AL299">
        <v>1</v>
      </c>
    </row>
    <row r="300" spans="1:38" x14ac:dyDescent="0.35">
      <c r="A300" t="s">
        <v>477</v>
      </c>
      <c r="B300" t="s">
        <v>39</v>
      </c>
      <c r="C300" t="s">
        <v>88</v>
      </c>
      <c r="D300">
        <v>3</v>
      </c>
      <c r="E300" t="s">
        <v>62</v>
      </c>
      <c r="F300">
        <v>31</v>
      </c>
      <c r="G300" t="s">
        <v>54</v>
      </c>
      <c r="H300" t="s">
        <v>94</v>
      </c>
      <c r="I300">
        <v>1</v>
      </c>
      <c r="J300">
        <v>13.7</v>
      </c>
      <c r="K300">
        <v>6</v>
      </c>
      <c r="L300">
        <v>2</v>
      </c>
      <c r="M300">
        <v>12</v>
      </c>
      <c r="N300">
        <v>0</v>
      </c>
      <c r="O300" t="s">
        <v>56</v>
      </c>
      <c r="P300">
        <v>109200</v>
      </c>
      <c r="Q300">
        <v>5</v>
      </c>
      <c r="R300">
        <v>2.2999999999999998</v>
      </c>
      <c r="S300">
        <v>5.0999999999999996</v>
      </c>
      <c r="T300">
        <v>0</v>
      </c>
      <c r="U300">
        <v>3.3</v>
      </c>
      <c r="V300">
        <v>3.2</v>
      </c>
      <c r="W300">
        <v>1.8</v>
      </c>
      <c r="X300" t="s">
        <v>89</v>
      </c>
      <c r="Y300">
        <v>0</v>
      </c>
      <c r="Z300">
        <v>1</v>
      </c>
      <c r="AA300">
        <v>1.8</v>
      </c>
      <c r="AB300">
        <v>0</v>
      </c>
      <c r="AC300" t="s">
        <v>46</v>
      </c>
      <c r="AE300">
        <v>0</v>
      </c>
      <c r="AF300">
        <v>0</v>
      </c>
      <c r="AG300" t="s">
        <v>47</v>
      </c>
      <c r="AH300" t="s">
        <v>48</v>
      </c>
      <c r="AI300" t="s">
        <v>49</v>
      </c>
      <c r="AJ300" s="1" t="s">
        <v>170</v>
      </c>
      <c r="AK300">
        <v>8.3333333333333301E-2</v>
      </c>
      <c r="AL300">
        <v>0</v>
      </c>
    </row>
    <row r="301" spans="1:38" x14ac:dyDescent="0.35">
      <c r="A301" t="s">
        <v>478</v>
      </c>
      <c r="B301" t="s">
        <v>39</v>
      </c>
      <c r="C301" t="s">
        <v>40</v>
      </c>
      <c r="D301">
        <v>9</v>
      </c>
      <c r="E301" t="s">
        <v>110</v>
      </c>
      <c r="F301">
        <v>28</v>
      </c>
      <c r="G301" t="s">
        <v>68</v>
      </c>
      <c r="H301" t="s">
        <v>43</v>
      </c>
      <c r="I301">
        <v>5</v>
      </c>
      <c r="J301">
        <v>4</v>
      </c>
      <c r="K301">
        <v>10</v>
      </c>
      <c r="L301">
        <v>3</v>
      </c>
      <c r="M301">
        <v>12</v>
      </c>
      <c r="N301">
        <v>0</v>
      </c>
      <c r="O301" t="s">
        <v>44</v>
      </c>
      <c r="P301">
        <v>63400</v>
      </c>
      <c r="Q301">
        <v>5</v>
      </c>
      <c r="R301">
        <v>2.8</v>
      </c>
      <c r="S301">
        <v>0.9</v>
      </c>
      <c r="T301">
        <v>0</v>
      </c>
      <c r="U301">
        <v>4</v>
      </c>
      <c r="V301">
        <v>3.3</v>
      </c>
      <c r="W301">
        <v>4.0999999999999996</v>
      </c>
      <c r="X301" t="s">
        <v>45</v>
      </c>
      <c r="Y301">
        <v>0</v>
      </c>
      <c r="Z301">
        <v>0</v>
      </c>
      <c r="AB301">
        <v>0</v>
      </c>
      <c r="AC301" t="s">
        <v>46</v>
      </c>
      <c r="AE301">
        <v>1</v>
      </c>
      <c r="AF301">
        <v>0</v>
      </c>
      <c r="AG301" t="s">
        <v>75</v>
      </c>
      <c r="AH301" t="s">
        <v>83</v>
      </c>
      <c r="AI301" t="s">
        <v>64</v>
      </c>
      <c r="AJ301" s="1" t="s">
        <v>397</v>
      </c>
      <c r="AK301" s="1" t="s">
        <v>127</v>
      </c>
      <c r="AL301">
        <v>0</v>
      </c>
    </row>
    <row r="302" spans="1:38" x14ac:dyDescent="0.35">
      <c r="A302" t="s">
        <v>479</v>
      </c>
      <c r="B302" t="s">
        <v>39</v>
      </c>
      <c r="C302" t="s">
        <v>88</v>
      </c>
      <c r="D302">
        <v>1.9</v>
      </c>
      <c r="E302" t="s">
        <v>67</v>
      </c>
      <c r="F302">
        <v>21</v>
      </c>
      <c r="G302" t="s">
        <v>42</v>
      </c>
      <c r="H302" t="s">
        <v>43</v>
      </c>
      <c r="I302">
        <v>1</v>
      </c>
      <c r="J302">
        <v>21.3</v>
      </c>
      <c r="K302">
        <v>7</v>
      </c>
      <c r="L302">
        <v>1</v>
      </c>
      <c r="M302">
        <v>12</v>
      </c>
      <c r="N302">
        <v>0</v>
      </c>
      <c r="O302" t="s">
        <v>82</v>
      </c>
      <c r="P302">
        <v>32500</v>
      </c>
      <c r="Q302">
        <v>8.1</v>
      </c>
      <c r="R302">
        <v>2.6</v>
      </c>
      <c r="S302">
        <v>1.3</v>
      </c>
      <c r="T302">
        <v>0</v>
      </c>
      <c r="U302">
        <v>3.3</v>
      </c>
      <c r="V302">
        <v>2.9</v>
      </c>
      <c r="W302">
        <v>3.3</v>
      </c>
      <c r="X302" t="s">
        <v>45</v>
      </c>
      <c r="Y302">
        <v>0</v>
      </c>
      <c r="Z302">
        <v>0</v>
      </c>
      <c r="AB302">
        <v>0</v>
      </c>
      <c r="AC302" t="s">
        <v>46</v>
      </c>
      <c r="AE302">
        <v>1</v>
      </c>
      <c r="AF302">
        <v>0</v>
      </c>
      <c r="AG302" t="s">
        <v>75</v>
      </c>
      <c r="AH302" t="s">
        <v>48</v>
      </c>
      <c r="AI302" t="s">
        <v>57</v>
      </c>
      <c r="AJ302" s="1" t="s">
        <v>100</v>
      </c>
      <c r="AK302">
        <v>8.3333333333333301E-2</v>
      </c>
      <c r="AL302">
        <v>0</v>
      </c>
    </row>
    <row r="303" spans="1:38" x14ac:dyDescent="0.35">
      <c r="A303" t="s">
        <v>480</v>
      </c>
      <c r="B303" t="s">
        <v>73</v>
      </c>
      <c r="C303" t="s">
        <v>177</v>
      </c>
      <c r="D303">
        <v>4.9000000000000004</v>
      </c>
      <c r="E303" t="s">
        <v>67</v>
      </c>
      <c r="F303">
        <v>34</v>
      </c>
      <c r="G303" t="s">
        <v>42</v>
      </c>
      <c r="H303" t="s">
        <v>55</v>
      </c>
      <c r="I303">
        <v>1</v>
      </c>
      <c r="J303">
        <v>19.7</v>
      </c>
      <c r="K303">
        <v>10</v>
      </c>
      <c r="L303">
        <v>2</v>
      </c>
      <c r="M303">
        <v>12</v>
      </c>
      <c r="N303">
        <v>0</v>
      </c>
      <c r="O303" t="s">
        <v>70</v>
      </c>
      <c r="P303">
        <v>39500</v>
      </c>
      <c r="Q303">
        <v>13.3</v>
      </c>
      <c r="R303">
        <v>2.5</v>
      </c>
      <c r="S303">
        <v>1.9</v>
      </c>
      <c r="T303">
        <v>0</v>
      </c>
      <c r="U303">
        <v>3.3</v>
      </c>
      <c r="V303">
        <v>3</v>
      </c>
      <c r="W303">
        <v>3.1</v>
      </c>
      <c r="X303" t="s">
        <v>45</v>
      </c>
      <c r="Y303">
        <v>0</v>
      </c>
      <c r="Z303">
        <v>1</v>
      </c>
      <c r="AA303">
        <v>3.5</v>
      </c>
      <c r="AB303">
        <v>0</v>
      </c>
      <c r="AC303" t="s">
        <v>46</v>
      </c>
      <c r="AE303">
        <v>0</v>
      </c>
      <c r="AF303">
        <v>0</v>
      </c>
      <c r="AG303" t="s">
        <v>47</v>
      </c>
      <c r="AH303" t="s">
        <v>76</v>
      </c>
      <c r="AI303" t="s">
        <v>49</v>
      </c>
      <c r="AJ303" s="1" t="s">
        <v>50</v>
      </c>
      <c r="AK303">
        <v>8.3333333333333301E-2</v>
      </c>
      <c r="AL303">
        <v>0</v>
      </c>
    </row>
    <row r="304" spans="1:38" x14ac:dyDescent="0.35">
      <c r="A304" t="s">
        <v>481</v>
      </c>
      <c r="B304" t="s">
        <v>117</v>
      </c>
      <c r="C304" t="s">
        <v>118</v>
      </c>
      <c r="D304">
        <v>6.8</v>
      </c>
      <c r="E304" t="s">
        <v>81</v>
      </c>
      <c r="F304">
        <v>32</v>
      </c>
      <c r="G304" t="s">
        <v>42</v>
      </c>
      <c r="H304" t="s">
        <v>55</v>
      </c>
      <c r="I304">
        <v>3</v>
      </c>
      <c r="J304">
        <v>15.7</v>
      </c>
      <c r="K304">
        <v>13</v>
      </c>
      <c r="L304">
        <v>2</v>
      </c>
      <c r="M304">
        <v>12</v>
      </c>
      <c r="N304">
        <v>0</v>
      </c>
      <c r="O304" t="s">
        <v>70</v>
      </c>
      <c r="P304">
        <v>35400</v>
      </c>
      <c r="Q304">
        <v>9.6999999999999993</v>
      </c>
      <c r="R304">
        <v>3.1</v>
      </c>
      <c r="S304">
        <v>1.3</v>
      </c>
      <c r="T304">
        <v>0</v>
      </c>
      <c r="U304">
        <v>3.4</v>
      </c>
      <c r="V304">
        <v>1.2</v>
      </c>
      <c r="W304">
        <v>3.4</v>
      </c>
      <c r="X304" t="s">
        <v>45</v>
      </c>
      <c r="Y304">
        <v>1</v>
      </c>
      <c r="Z304">
        <v>0</v>
      </c>
      <c r="AB304">
        <v>1</v>
      </c>
      <c r="AC304" t="s">
        <v>46</v>
      </c>
      <c r="AE304">
        <v>1</v>
      </c>
      <c r="AF304">
        <v>0</v>
      </c>
      <c r="AG304" t="s">
        <v>75</v>
      </c>
      <c r="AH304" t="s">
        <v>83</v>
      </c>
      <c r="AI304" t="s">
        <v>49</v>
      </c>
      <c r="AJ304" s="1" t="s">
        <v>230</v>
      </c>
      <c r="AK304">
        <v>0.25</v>
      </c>
      <c r="AL304">
        <v>0</v>
      </c>
    </row>
    <row r="305" spans="1:38" x14ac:dyDescent="0.35">
      <c r="A305" t="s">
        <v>482</v>
      </c>
      <c r="B305" t="s">
        <v>117</v>
      </c>
      <c r="C305" t="s">
        <v>189</v>
      </c>
      <c r="D305">
        <v>5.2</v>
      </c>
      <c r="E305" t="s">
        <v>81</v>
      </c>
      <c r="F305">
        <v>36</v>
      </c>
      <c r="G305" t="s">
        <v>68</v>
      </c>
      <c r="H305" t="s">
        <v>55</v>
      </c>
      <c r="I305">
        <v>1</v>
      </c>
      <c r="J305">
        <v>11.3</v>
      </c>
      <c r="K305">
        <v>13</v>
      </c>
      <c r="L305">
        <v>1</v>
      </c>
      <c r="M305">
        <v>12</v>
      </c>
      <c r="N305">
        <v>0</v>
      </c>
      <c r="O305" t="s">
        <v>82</v>
      </c>
      <c r="P305">
        <v>31900</v>
      </c>
      <c r="Q305">
        <v>4.4000000000000004</v>
      </c>
      <c r="R305">
        <v>1</v>
      </c>
      <c r="S305">
        <v>0.6</v>
      </c>
      <c r="T305">
        <v>0</v>
      </c>
      <c r="U305">
        <v>2.9</v>
      </c>
      <c r="V305">
        <v>4.5999999999999996</v>
      </c>
      <c r="W305">
        <v>3.4</v>
      </c>
      <c r="X305" t="s">
        <v>45</v>
      </c>
      <c r="Y305">
        <v>1</v>
      </c>
      <c r="Z305">
        <v>0</v>
      </c>
      <c r="AB305">
        <v>1</v>
      </c>
      <c r="AC305" t="s">
        <v>46</v>
      </c>
      <c r="AE305">
        <v>1</v>
      </c>
      <c r="AF305">
        <v>0</v>
      </c>
      <c r="AG305" t="s">
        <v>75</v>
      </c>
      <c r="AH305" t="s">
        <v>83</v>
      </c>
      <c r="AI305" t="s">
        <v>49</v>
      </c>
      <c r="AJ305" s="1" t="s">
        <v>190</v>
      </c>
      <c r="AK305">
        <v>8.3333333333333301E-2</v>
      </c>
      <c r="AL305">
        <v>0</v>
      </c>
    </row>
    <row r="306" spans="1:38" x14ac:dyDescent="0.35">
      <c r="A306" t="s">
        <v>483</v>
      </c>
      <c r="B306" t="s">
        <v>60</v>
      </c>
      <c r="C306" t="s">
        <v>107</v>
      </c>
      <c r="D306">
        <v>3.9</v>
      </c>
      <c r="E306" t="s">
        <v>81</v>
      </c>
      <c r="F306">
        <v>26</v>
      </c>
      <c r="G306" t="s">
        <v>68</v>
      </c>
      <c r="H306" t="s">
        <v>63</v>
      </c>
      <c r="I306">
        <v>0</v>
      </c>
      <c r="J306">
        <v>25.1</v>
      </c>
      <c r="K306">
        <v>8</v>
      </c>
      <c r="L306">
        <v>0</v>
      </c>
      <c r="M306">
        <v>12</v>
      </c>
      <c r="N306">
        <v>0</v>
      </c>
      <c r="O306" t="s">
        <v>82</v>
      </c>
      <c r="P306">
        <v>28600</v>
      </c>
      <c r="Q306">
        <v>8.3000000000000007</v>
      </c>
      <c r="R306">
        <v>1.6</v>
      </c>
      <c r="S306">
        <v>1.3</v>
      </c>
      <c r="T306">
        <v>0</v>
      </c>
      <c r="U306">
        <v>3.8</v>
      </c>
      <c r="V306">
        <v>4.3</v>
      </c>
      <c r="W306">
        <v>3</v>
      </c>
      <c r="X306" t="s">
        <v>45</v>
      </c>
      <c r="Y306">
        <v>0</v>
      </c>
      <c r="Z306">
        <v>0</v>
      </c>
      <c r="AB306">
        <v>1</v>
      </c>
      <c r="AC306" t="s">
        <v>46</v>
      </c>
      <c r="AE306">
        <v>1</v>
      </c>
      <c r="AF306">
        <v>0</v>
      </c>
      <c r="AG306" t="s">
        <v>75</v>
      </c>
      <c r="AH306" t="s">
        <v>76</v>
      </c>
      <c r="AI306" t="s">
        <v>57</v>
      </c>
      <c r="AJ306" s="1" t="s">
        <v>58</v>
      </c>
      <c r="AK306">
        <v>0</v>
      </c>
      <c r="AL306">
        <v>0</v>
      </c>
    </row>
    <row r="307" spans="1:38" x14ac:dyDescent="0.35">
      <c r="A307" t="s">
        <v>484</v>
      </c>
      <c r="B307" t="s">
        <v>52</v>
      </c>
      <c r="C307" t="s">
        <v>53</v>
      </c>
      <c r="D307">
        <v>4.4000000000000004</v>
      </c>
      <c r="E307" t="s">
        <v>41</v>
      </c>
      <c r="F307">
        <v>32</v>
      </c>
      <c r="G307" t="s">
        <v>68</v>
      </c>
      <c r="H307" t="s">
        <v>55</v>
      </c>
      <c r="I307">
        <v>9</v>
      </c>
      <c r="J307">
        <v>27</v>
      </c>
      <c r="K307">
        <v>12</v>
      </c>
      <c r="L307">
        <v>2</v>
      </c>
      <c r="M307">
        <v>12</v>
      </c>
      <c r="N307">
        <v>0</v>
      </c>
      <c r="O307" t="s">
        <v>56</v>
      </c>
      <c r="P307">
        <v>85600</v>
      </c>
      <c r="Q307">
        <v>7.7</v>
      </c>
      <c r="R307">
        <v>3.9</v>
      </c>
      <c r="S307">
        <v>0.2</v>
      </c>
      <c r="T307">
        <v>0</v>
      </c>
      <c r="U307">
        <v>3.8</v>
      </c>
      <c r="V307">
        <v>1.7</v>
      </c>
      <c r="W307">
        <v>1.8</v>
      </c>
      <c r="X307" t="s">
        <v>45</v>
      </c>
      <c r="Y307">
        <v>0</v>
      </c>
      <c r="Z307">
        <v>0</v>
      </c>
      <c r="AB307">
        <v>0</v>
      </c>
      <c r="AC307" t="s">
        <v>46</v>
      </c>
      <c r="AE307">
        <v>1</v>
      </c>
      <c r="AF307">
        <v>0</v>
      </c>
      <c r="AG307" t="s">
        <v>75</v>
      </c>
      <c r="AH307" t="s">
        <v>76</v>
      </c>
      <c r="AI307" t="s">
        <v>57</v>
      </c>
      <c r="AJ307" s="1" t="s">
        <v>359</v>
      </c>
      <c r="AK307">
        <v>0.75</v>
      </c>
      <c r="AL307">
        <v>0</v>
      </c>
    </row>
    <row r="308" spans="1:38" x14ac:dyDescent="0.35">
      <c r="A308" t="s">
        <v>485</v>
      </c>
      <c r="B308" t="s">
        <v>98</v>
      </c>
      <c r="C308" t="s">
        <v>148</v>
      </c>
      <c r="D308">
        <v>5.5</v>
      </c>
      <c r="E308" t="s">
        <v>110</v>
      </c>
      <c r="F308">
        <v>35</v>
      </c>
      <c r="G308" t="s">
        <v>54</v>
      </c>
      <c r="H308" t="s">
        <v>63</v>
      </c>
      <c r="I308">
        <v>1</v>
      </c>
      <c r="J308">
        <v>4.0999999999999996</v>
      </c>
      <c r="K308">
        <v>6</v>
      </c>
      <c r="L308">
        <v>1</v>
      </c>
      <c r="M308">
        <v>12</v>
      </c>
      <c r="N308">
        <v>0</v>
      </c>
      <c r="O308" t="s">
        <v>44</v>
      </c>
      <c r="P308">
        <v>57200</v>
      </c>
      <c r="Q308">
        <v>6.6</v>
      </c>
      <c r="R308">
        <v>3.3</v>
      </c>
      <c r="S308">
        <v>0.5</v>
      </c>
      <c r="T308">
        <v>0</v>
      </c>
      <c r="U308">
        <v>4</v>
      </c>
      <c r="V308">
        <v>3.3</v>
      </c>
      <c r="W308">
        <v>2.4</v>
      </c>
      <c r="X308" t="s">
        <v>45</v>
      </c>
      <c r="Y308">
        <v>1</v>
      </c>
      <c r="Z308">
        <v>1</v>
      </c>
      <c r="AA308">
        <v>0.9</v>
      </c>
      <c r="AB308">
        <v>0</v>
      </c>
      <c r="AC308" t="s">
        <v>46</v>
      </c>
      <c r="AE308">
        <v>0</v>
      </c>
      <c r="AF308">
        <v>0</v>
      </c>
      <c r="AG308" t="s">
        <v>47</v>
      </c>
      <c r="AH308" t="s">
        <v>83</v>
      </c>
      <c r="AI308" t="s">
        <v>64</v>
      </c>
      <c r="AJ308" s="1" t="s">
        <v>198</v>
      </c>
      <c r="AK308">
        <v>8.3333333333333301E-2</v>
      </c>
      <c r="AL308">
        <v>0</v>
      </c>
    </row>
    <row r="309" spans="1:38" x14ac:dyDescent="0.35">
      <c r="A309" t="s">
        <v>486</v>
      </c>
      <c r="B309" t="s">
        <v>39</v>
      </c>
      <c r="C309" t="s">
        <v>88</v>
      </c>
      <c r="D309">
        <v>1.9</v>
      </c>
      <c r="E309" t="s">
        <v>110</v>
      </c>
      <c r="F309">
        <v>26</v>
      </c>
      <c r="G309" t="s">
        <v>234</v>
      </c>
      <c r="H309" t="s">
        <v>55</v>
      </c>
      <c r="I309">
        <v>4</v>
      </c>
      <c r="J309">
        <v>15.6</v>
      </c>
      <c r="K309">
        <v>12</v>
      </c>
      <c r="L309">
        <v>2</v>
      </c>
      <c r="M309">
        <v>12</v>
      </c>
      <c r="N309">
        <v>0</v>
      </c>
      <c r="O309" t="s">
        <v>44</v>
      </c>
      <c r="P309">
        <v>56700</v>
      </c>
      <c r="Q309">
        <v>7.9</v>
      </c>
      <c r="R309">
        <v>2.5</v>
      </c>
      <c r="S309">
        <v>2.7</v>
      </c>
      <c r="T309">
        <v>0</v>
      </c>
      <c r="U309">
        <v>3.9</v>
      </c>
      <c r="V309">
        <v>3.2</v>
      </c>
      <c r="W309">
        <v>2.2999999999999998</v>
      </c>
      <c r="X309" t="s">
        <v>45</v>
      </c>
      <c r="Y309">
        <v>0</v>
      </c>
      <c r="Z309">
        <v>0</v>
      </c>
      <c r="AB309">
        <v>1</v>
      </c>
      <c r="AC309" t="s">
        <v>46</v>
      </c>
      <c r="AE309">
        <v>1</v>
      </c>
      <c r="AF309">
        <v>0</v>
      </c>
      <c r="AG309" t="s">
        <v>75</v>
      </c>
      <c r="AH309" t="s">
        <v>48</v>
      </c>
      <c r="AI309" t="s">
        <v>49</v>
      </c>
      <c r="AJ309" s="1" t="s">
        <v>487</v>
      </c>
      <c r="AK309" s="1" t="s">
        <v>115</v>
      </c>
      <c r="AL309">
        <v>0</v>
      </c>
    </row>
    <row r="310" spans="1:38" x14ac:dyDescent="0.35">
      <c r="A310" t="s">
        <v>488</v>
      </c>
      <c r="B310" t="s">
        <v>98</v>
      </c>
      <c r="C310" t="s">
        <v>148</v>
      </c>
      <c r="D310">
        <v>3.7</v>
      </c>
      <c r="E310" t="s">
        <v>67</v>
      </c>
      <c r="F310">
        <v>28</v>
      </c>
      <c r="G310" t="s">
        <v>42</v>
      </c>
      <c r="H310" t="s">
        <v>69</v>
      </c>
      <c r="I310">
        <v>4</v>
      </c>
      <c r="J310">
        <v>5.8</v>
      </c>
      <c r="K310">
        <v>14</v>
      </c>
      <c r="L310">
        <v>2</v>
      </c>
      <c r="M310">
        <v>12</v>
      </c>
      <c r="N310">
        <v>0</v>
      </c>
      <c r="O310" t="s">
        <v>70</v>
      </c>
      <c r="P310">
        <v>40700</v>
      </c>
      <c r="Q310">
        <v>11.1</v>
      </c>
      <c r="R310">
        <v>4.0999999999999996</v>
      </c>
      <c r="S310">
        <v>7.5</v>
      </c>
      <c r="T310">
        <v>0</v>
      </c>
      <c r="U310">
        <v>5</v>
      </c>
      <c r="V310">
        <v>3</v>
      </c>
      <c r="W310">
        <v>3.6</v>
      </c>
      <c r="X310" t="s">
        <v>45</v>
      </c>
      <c r="Y310">
        <v>0</v>
      </c>
      <c r="Z310">
        <v>0</v>
      </c>
      <c r="AB310">
        <v>1</v>
      </c>
      <c r="AC310" t="s">
        <v>46</v>
      </c>
      <c r="AE310">
        <v>1</v>
      </c>
      <c r="AF310">
        <v>0</v>
      </c>
      <c r="AG310" t="s">
        <v>75</v>
      </c>
      <c r="AH310" t="s">
        <v>76</v>
      </c>
      <c r="AI310" t="s">
        <v>64</v>
      </c>
      <c r="AJ310" s="1" t="s">
        <v>131</v>
      </c>
      <c r="AK310" s="1" t="s">
        <v>115</v>
      </c>
      <c r="AL310">
        <v>0</v>
      </c>
    </row>
    <row r="311" spans="1:38" x14ac:dyDescent="0.35">
      <c r="A311" t="s">
        <v>489</v>
      </c>
      <c r="B311" t="s">
        <v>73</v>
      </c>
      <c r="C311" t="s">
        <v>121</v>
      </c>
      <c r="D311">
        <v>13.6</v>
      </c>
      <c r="E311" t="s">
        <v>110</v>
      </c>
      <c r="F311">
        <v>40</v>
      </c>
      <c r="G311" t="s">
        <v>42</v>
      </c>
      <c r="H311" t="s">
        <v>69</v>
      </c>
      <c r="I311">
        <v>4</v>
      </c>
      <c r="J311">
        <v>3.5</v>
      </c>
      <c r="K311">
        <v>9</v>
      </c>
      <c r="L311">
        <v>4</v>
      </c>
      <c r="M311">
        <v>12</v>
      </c>
      <c r="N311">
        <v>0</v>
      </c>
      <c r="O311" t="s">
        <v>44</v>
      </c>
      <c r="P311">
        <v>65000</v>
      </c>
      <c r="Q311">
        <v>5.0999999999999996</v>
      </c>
      <c r="R311">
        <v>2.6</v>
      </c>
      <c r="S311">
        <v>0.6</v>
      </c>
      <c r="T311">
        <v>0</v>
      </c>
      <c r="U311">
        <v>4.2</v>
      </c>
      <c r="V311">
        <v>3.6</v>
      </c>
      <c r="W311">
        <v>4.0999999999999996</v>
      </c>
      <c r="X311" t="s">
        <v>45</v>
      </c>
      <c r="Y311">
        <v>0</v>
      </c>
      <c r="Z311">
        <v>0</v>
      </c>
      <c r="AB311">
        <v>0</v>
      </c>
      <c r="AC311" t="s">
        <v>46</v>
      </c>
      <c r="AE311">
        <v>1</v>
      </c>
      <c r="AF311">
        <v>0</v>
      </c>
      <c r="AG311" t="s">
        <v>75</v>
      </c>
      <c r="AH311" t="s">
        <v>83</v>
      </c>
      <c r="AI311" t="s">
        <v>64</v>
      </c>
      <c r="AJ311" s="1" t="s">
        <v>243</v>
      </c>
      <c r="AK311" s="1" t="s">
        <v>115</v>
      </c>
      <c r="AL311">
        <v>0</v>
      </c>
    </row>
    <row r="312" spans="1:38" x14ac:dyDescent="0.35">
      <c r="A312" t="s">
        <v>490</v>
      </c>
      <c r="B312" t="s">
        <v>52</v>
      </c>
      <c r="C312" t="s">
        <v>53</v>
      </c>
      <c r="D312">
        <v>5</v>
      </c>
      <c r="E312" t="s">
        <v>41</v>
      </c>
      <c r="F312">
        <v>33</v>
      </c>
      <c r="G312" t="s">
        <v>42</v>
      </c>
      <c r="H312" t="s">
        <v>69</v>
      </c>
      <c r="I312">
        <v>3</v>
      </c>
      <c r="J312">
        <v>27</v>
      </c>
      <c r="K312">
        <v>12</v>
      </c>
      <c r="L312">
        <v>3</v>
      </c>
      <c r="M312">
        <v>12</v>
      </c>
      <c r="N312">
        <v>0</v>
      </c>
      <c r="O312" t="s">
        <v>56</v>
      </c>
      <c r="P312">
        <v>78500</v>
      </c>
      <c r="Q312">
        <v>6.6</v>
      </c>
      <c r="R312">
        <v>2.7</v>
      </c>
      <c r="S312">
        <v>1</v>
      </c>
      <c r="T312">
        <v>0</v>
      </c>
      <c r="U312">
        <v>3.1</v>
      </c>
      <c r="V312">
        <v>1.6</v>
      </c>
      <c r="W312">
        <v>4.5999999999999996</v>
      </c>
      <c r="X312" t="s">
        <v>45</v>
      </c>
      <c r="Y312">
        <v>0</v>
      </c>
      <c r="Z312">
        <v>1</v>
      </c>
      <c r="AA312">
        <v>4.5</v>
      </c>
      <c r="AB312">
        <v>1</v>
      </c>
      <c r="AC312" t="s">
        <v>46</v>
      </c>
      <c r="AE312">
        <v>0</v>
      </c>
      <c r="AF312">
        <v>0</v>
      </c>
      <c r="AG312" t="s">
        <v>47</v>
      </c>
      <c r="AH312" t="s">
        <v>76</v>
      </c>
      <c r="AI312" t="s">
        <v>57</v>
      </c>
      <c r="AJ312">
        <v>3.1</v>
      </c>
      <c r="AK312">
        <v>0.25</v>
      </c>
      <c r="AL312">
        <v>0</v>
      </c>
    </row>
    <row r="313" spans="1:38" x14ac:dyDescent="0.35">
      <c r="A313" t="s">
        <v>491</v>
      </c>
      <c r="B313" t="s">
        <v>98</v>
      </c>
      <c r="C313" t="s">
        <v>148</v>
      </c>
      <c r="D313">
        <v>4</v>
      </c>
      <c r="E313" t="s">
        <v>41</v>
      </c>
      <c r="F313">
        <v>30</v>
      </c>
      <c r="G313" t="s">
        <v>42</v>
      </c>
      <c r="H313" t="s">
        <v>69</v>
      </c>
      <c r="I313">
        <v>9</v>
      </c>
      <c r="J313">
        <v>17.5</v>
      </c>
      <c r="K313">
        <v>7</v>
      </c>
      <c r="L313">
        <v>2</v>
      </c>
      <c r="M313">
        <v>12</v>
      </c>
      <c r="N313">
        <v>0</v>
      </c>
      <c r="O313" t="s">
        <v>56</v>
      </c>
      <c r="P313">
        <v>83300</v>
      </c>
      <c r="Q313">
        <v>11.9</v>
      </c>
      <c r="R313">
        <v>2.5</v>
      </c>
      <c r="S313">
        <v>1</v>
      </c>
      <c r="T313">
        <v>0</v>
      </c>
      <c r="U313">
        <v>3.7</v>
      </c>
      <c r="V313">
        <v>3.2</v>
      </c>
      <c r="W313">
        <v>2.1</v>
      </c>
      <c r="X313" t="s">
        <v>45</v>
      </c>
      <c r="Y313">
        <v>0</v>
      </c>
      <c r="Z313">
        <v>1</v>
      </c>
      <c r="AA313">
        <v>3.6</v>
      </c>
      <c r="AB313">
        <v>2</v>
      </c>
      <c r="AC313" t="s">
        <v>46</v>
      </c>
      <c r="AE313">
        <v>0</v>
      </c>
      <c r="AF313">
        <v>0</v>
      </c>
      <c r="AG313" t="s">
        <v>47</v>
      </c>
      <c r="AH313" t="s">
        <v>76</v>
      </c>
      <c r="AI313" t="s">
        <v>49</v>
      </c>
      <c r="AJ313">
        <v>3</v>
      </c>
      <c r="AK313">
        <v>0.75</v>
      </c>
      <c r="AL313">
        <v>0</v>
      </c>
    </row>
    <row r="314" spans="1:38" x14ac:dyDescent="0.35">
      <c r="A314" t="s">
        <v>492</v>
      </c>
      <c r="B314" t="s">
        <v>73</v>
      </c>
      <c r="C314" t="s">
        <v>121</v>
      </c>
      <c r="D314">
        <v>2.8</v>
      </c>
      <c r="E314" t="s">
        <v>110</v>
      </c>
      <c r="F314">
        <v>33</v>
      </c>
      <c r="G314" t="s">
        <v>42</v>
      </c>
      <c r="H314" t="s">
        <v>69</v>
      </c>
      <c r="I314">
        <v>3</v>
      </c>
      <c r="J314">
        <v>12</v>
      </c>
      <c r="K314">
        <v>9</v>
      </c>
      <c r="L314">
        <v>2</v>
      </c>
      <c r="M314">
        <v>12</v>
      </c>
      <c r="N314">
        <v>0</v>
      </c>
      <c r="O314" t="s">
        <v>44</v>
      </c>
      <c r="P314">
        <v>61700</v>
      </c>
      <c r="Q314">
        <v>9.9</v>
      </c>
      <c r="R314">
        <v>4.9000000000000004</v>
      </c>
      <c r="S314">
        <v>1.5</v>
      </c>
      <c r="T314">
        <v>0</v>
      </c>
      <c r="U314">
        <v>4.5999999999999996</v>
      </c>
      <c r="V314">
        <v>3.3</v>
      </c>
      <c r="W314">
        <v>3.9</v>
      </c>
      <c r="X314" t="s">
        <v>45</v>
      </c>
      <c r="Y314">
        <v>0</v>
      </c>
      <c r="Z314">
        <v>0</v>
      </c>
      <c r="AB314">
        <v>1</v>
      </c>
      <c r="AC314" t="s">
        <v>46</v>
      </c>
      <c r="AE314">
        <v>1</v>
      </c>
      <c r="AF314">
        <v>0</v>
      </c>
      <c r="AG314" t="s">
        <v>75</v>
      </c>
      <c r="AH314" t="s">
        <v>48</v>
      </c>
      <c r="AI314" t="s">
        <v>49</v>
      </c>
      <c r="AJ314" s="1" t="s">
        <v>493</v>
      </c>
      <c r="AK314">
        <v>0.25</v>
      </c>
      <c r="AL314">
        <v>0</v>
      </c>
    </row>
    <row r="315" spans="1:38" x14ac:dyDescent="0.35">
      <c r="A315" t="s">
        <v>494</v>
      </c>
      <c r="B315" t="s">
        <v>98</v>
      </c>
      <c r="C315" t="s">
        <v>148</v>
      </c>
      <c r="D315">
        <v>1.9</v>
      </c>
      <c r="E315" t="s">
        <v>41</v>
      </c>
      <c r="F315">
        <v>26</v>
      </c>
      <c r="G315" t="s">
        <v>42</v>
      </c>
      <c r="H315" t="s">
        <v>63</v>
      </c>
      <c r="I315">
        <v>7</v>
      </c>
      <c r="J315">
        <v>4.5</v>
      </c>
      <c r="K315">
        <v>9</v>
      </c>
      <c r="L315">
        <v>4</v>
      </c>
      <c r="M315">
        <v>12</v>
      </c>
      <c r="N315">
        <v>0</v>
      </c>
      <c r="O315" t="s">
        <v>44</v>
      </c>
      <c r="P315">
        <v>66200</v>
      </c>
      <c r="Q315">
        <v>13.1</v>
      </c>
      <c r="R315">
        <v>3.4</v>
      </c>
      <c r="S315">
        <v>3</v>
      </c>
      <c r="T315">
        <v>0</v>
      </c>
      <c r="U315">
        <v>2.4</v>
      </c>
      <c r="V315">
        <v>3.3</v>
      </c>
      <c r="W315">
        <v>2.9</v>
      </c>
      <c r="X315" t="s">
        <v>45</v>
      </c>
      <c r="Y315">
        <v>1</v>
      </c>
      <c r="Z315">
        <v>0</v>
      </c>
      <c r="AB315">
        <v>0</v>
      </c>
      <c r="AC315" t="s">
        <v>46</v>
      </c>
      <c r="AE315">
        <v>1</v>
      </c>
      <c r="AF315">
        <v>0</v>
      </c>
      <c r="AG315" t="s">
        <v>75</v>
      </c>
      <c r="AH315" t="s">
        <v>48</v>
      </c>
      <c r="AI315" t="s">
        <v>64</v>
      </c>
      <c r="AJ315" s="1" t="s">
        <v>182</v>
      </c>
      <c r="AK315" s="1" t="s">
        <v>105</v>
      </c>
      <c r="AL315">
        <v>0</v>
      </c>
    </row>
    <row r="316" spans="1:38" x14ac:dyDescent="0.35">
      <c r="A316" t="s">
        <v>495</v>
      </c>
      <c r="B316" t="s">
        <v>98</v>
      </c>
      <c r="C316" t="s">
        <v>148</v>
      </c>
      <c r="D316">
        <v>4.5</v>
      </c>
      <c r="E316" t="s">
        <v>67</v>
      </c>
      <c r="F316">
        <v>25</v>
      </c>
      <c r="G316" t="s">
        <v>42</v>
      </c>
      <c r="H316" t="s">
        <v>69</v>
      </c>
      <c r="I316">
        <v>4</v>
      </c>
      <c r="J316">
        <v>27.5</v>
      </c>
      <c r="K316">
        <v>9</v>
      </c>
      <c r="L316">
        <v>3</v>
      </c>
      <c r="M316">
        <v>12</v>
      </c>
      <c r="N316">
        <v>0</v>
      </c>
      <c r="O316" t="s">
        <v>70</v>
      </c>
      <c r="P316">
        <v>41100</v>
      </c>
      <c r="Q316">
        <v>13.7</v>
      </c>
      <c r="R316">
        <v>3.4</v>
      </c>
      <c r="S316">
        <v>1.4</v>
      </c>
      <c r="T316">
        <v>0</v>
      </c>
      <c r="U316">
        <v>5</v>
      </c>
      <c r="V316">
        <v>2</v>
      </c>
      <c r="W316">
        <v>5</v>
      </c>
      <c r="X316" t="s">
        <v>45</v>
      </c>
      <c r="Y316">
        <v>0</v>
      </c>
      <c r="Z316">
        <v>1</v>
      </c>
      <c r="AA316">
        <v>1.2</v>
      </c>
      <c r="AB316">
        <v>0</v>
      </c>
      <c r="AC316" t="s">
        <v>46</v>
      </c>
      <c r="AE316">
        <v>0</v>
      </c>
      <c r="AF316">
        <v>0</v>
      </c>
      <c r="AG316" t="s">
        <v>47</v>
      </c>
      <c r="AH316" t="s">
        <v>76</v>
      </c>
      <c r="AI316" t="s">
        <v>57</v>
      </c>
      <c r="AJ316">
        <v>4</v>
      </c>
      <c r="AK316" s="1" t="s">
        <v>115</v>
      </c>
      <c r="AL316">
        <v>0</v>
      </c>
    </row>
    <row r="317" spans="1:38" x14ac:dyDescent="0.35">
      <c r="A317" t="s">
        <v>496</v>
      </c>
      <c r="B317" t="s">
        <v>98</v>
      </c>
      <c r="C317" t="s">
        <v>148</v>
      </c>
      <c r="D317">
        <v>4.7</v>
      </c>
      <c r="E317" t="s">
        <v>67</v>
      </c>
      <c r="F317">
        <v>39</v>
      </c>
      <c r="G317" t="s">
        <v>42</v>
      </c>
      <c r="H317" t="s">
        <v>55</v>
      </c>
      <c r="I317">
        <v>7</v>
      </c>
      <c r="J317">
        <v>4</v>
      </c>
      <c r="K317">
        <v>7</v>
      </c>
      <c r="L317">
        <v>3</v>
      </c>
      <c r="M317">
        <v>12</v>
      </c>
      <c r="N317">
        <v>0</v>
      </c>
      <c r="O317" t="s">
        <v>70</v>
      </c>
      <c r="P317">
        <v>45600</v>
      </c>
      <c r="Q317">
        <v>2.6</v>
      </c>
      <c r="R317">
        <v>3.6</v>
      </c>
      <c r="S317">
        <v>0.3</v>
      </c>
      <c r="T317">
        <v>0</v>
      </c>
      <c r="U317">
        <v>3.3</v>
      </c>
      <c r="V317">
        <v>3.6</v>
      </c>
      <c r="W317">
        <v>4.5</v>
      </c>
      <c r="X317" t="s">
        <v>45</v>
      </c>
      <c r="Y317">
        <v>1</v>
      </c>
      <c r="Z317">
        <v>1</v>
      </c>
      <c r="AA317">
        <v>2.2000000000000002</v>
      </c>
      <c r="AB317">
        <v>1</v>
      </c>
      <c r="AC317" t="s">
        <v>124</v>
      </c>
      <c r="AD317" s="2">
        <v>45685</v>
      </c>
      <c r="AE317">
        <v>0</v>
      </c>
      <c r="AF317">
        <v>0</v>
      </c>
      <c r="AG317" t="s">
        <v>47</v>
      </c>
      <c r="AH317" t="s">
        <v>76</v>
      </c>
      <c r="AI317" t="s">
        <v>64</v>
      </c>
      <c r="AJ317" s="1" t="s">
        <v>347</v>
      </c>
      <c r="AK317" s="1" t="s">
        <v>105</v>
      </c>
      <c r="AL317">
        <v>1</v>
      </c>
    </row>
    <row r="318" spans="1:38" x14ac:dyDescent="0.35">
      <c r="A318" t="s">
        <v>497</v>
      </c>
      <c r="B318" t="s">
        <v>98</v>
      </c>
      <c r="C318" t="s">
        <v>148</v>
      </c>
      <c r="D318">
        <v>3.5</v>
      </c>
      <c r="E318" t="s">
        <v>41</v>
      </c>
      <c r="F318">
        <v>27</v>
      </c>
      <c r="G318" t="s">
        <v>68</v>
      </c>
      <c r="H318" t="s">
        <v>55</v>
      </c>
      <c r="I318">
        <v>3</v>
      </c>
      <c r="J318">
        <v>3.1</v>
      </c>
      <c r="K318">
        <v>7</v>
      </c>
      <c r="L318">
        <v>0</v>
      </c>
      <c r="M318">
        <v>12</v>
      </c>
      <c r="N318">
        <v>0</v>
      </c>
      <c r="O318" t="s">
        <v>44</v>
      </c>
      <c r="P318">
        <v>70400</v>
      </c>
      <c r="Q318">
        <v>9.1999999999999993</v>
      </c>
      <c r="R318">
        <v>1.5</v>
      </c>
      <c r="S318">
        <v>0.7</v>
      </c>
      <c r="T318">
        <v>0</v>
      </c>
      <c r="U318">
        <v>4.0999999999999996</v>
      </c>
      <c r="V318">
        <v>4.2</v>
      </c>
      <c r="W318">
        <v>4.8</v>
      </c>
      <c r="X318" t="s">
        <v>45</v>
      </c>
      <c r="Y318">
        <v>0</v>
      </c>
      <c r="Z318">
        <v>0</v>
      </c>
      <c r="AB318">
        <v>0</v>
      </c>
      <c r="AC318" t="s">
        <v>46</v>
      </c>
      <c r="AE318">
        <v>1</v>
      </c>
      <c r="AF318">
        <v>0</v>
      </c>
      <c r="AG318" t="s">
        <v>75</v>
      </c>
      <c r="AH318" t="s">
        <v>76</v>
      </c>
      <c r="AI318" t="s">
        <v>64</v>
      </c>
      <c r="AJ318" s="1" t="s">
        <v>498</v>
      </c>
      <c r="AK318">
        <v>0.25</v>
      </c>
      <c r="AL318">
        <v>0</v>
      </c>
    </row>
    <row r="319" spans="1:38" x14ac:dyDescent="0.35">
      <c r="A319" t="s">
        <v>499</v>
      </c>
      <c r="B319" t="s">
        <v>39</v>
      </c>
      <c r="C319" t="s">
        <v>66</v>
      </c>
      <c r="D319">
        <v>17.100000000000001</v>
      </c>
      <c r="E319" t="s">
        <v>67</v>
      </c>
      <c r="F319">
        <v>41</v>
      </c>
      <c r="G319" t="s">
        <v>68</v>
      </c>
      <c r="H319" t="s">
        <v>69</v>
      </c>
      <c r="I319">
        <v>3</v>
      </c>
      <c r="J319">
        <v>9.6999999999999993</v>
      </c>
      <c r="K319">
        <v>9</v>
      </c>
      <c r="L319">
        <v>2</v>
      </c>
      <c r="M319">
        <v>12</v>
      </c>
      <c r="N319">
        <v>0</v>
      </c>
      <c r="O319" t="s">
        <v>70</v>
      </c>
      <c r="P319">
        <v>39300</v>
      </c>
      <c r="Q319">
        <v>6</v>
      </c>
      <c r="R319">
        <v>2.7</v>
      </c>
      <c r="S319">
        <v>1.7</v>
      </c>
      <c r="T319">
        <v>0</v>
      </c>
      <c r="U319">
        <v>3.3</v>
      </c>
      <c r="V319">
        <v>3.6</v>
      </c>
      <c r="W319">
        <v>4</v>
      </c>
      <c r="X319" t="s">
        <v>89</v>
      </c>
      <c r="Y319">
        <v>0</v>
      </c>
      <c r="Z319">
        <v>0</v>
      </c>
      <c r="AB319">
        <v>0</v>
      </c>
      <c r="AC319" t="s">
        <v>46</v>
      </c>
      <c r="AE319">
        <v>1</v>
      </c>
      <c r="AF319">
        <v>0</v>
      </c>
      <c r="AG319" t="s">
        <v>75</v>
      </c>
      <c r="AH319" t="s">
        <v>83</v>
      </c>
      <c r="AI319" t="s">
        <v>64</v>
      </c>
      <c r="AJ319" s="1" t="s">
        <v>190</v>
      </c>
      <c r="AK319">
        <v>0.25</v>
      </c>
      <c r="AL319">
        <v>0</v>
      </c>
    </row>
    <row r="320" spans="1:38" x14ac:dyDescent="0.35">
      <c r="A320" t="s">
        <v>500</v>
      </c>
      <c r="B320" t="s">
        <v>98</v>
      </c>
      <c r="C320" t="s">
        <v>151</v>
      </c>
      <c r="D320">
        <v>2.1</v>
      </c>
      <c r="E320" t="s">
        <v>67</v>
      </c>
      <c r="F320">
        <v>28</v>
      </c>
      <c r="G320" t="s">
        <v>42</v>
      </c>
      <c r="H320" t="s">
        <v>43</v>
      </c>
      <c r="I320">
        <v>1</v>
      </c>
      <c r="J320">
        <v>16.399999999999999</v>
      </c>
      <c r="K320">
        <v>12</v>
      </c>
      <c r="L320">
        <v>0</v>
      </c>
      <c r="M320">
        <v>12</v>
      </c>
      <c r="N320">
        <v>0</v>
      </c>
      <c r="O320" t="s">
        <v>82</v>
      </c>
      <c r="P320">
        <v>33900</v>
      </c>
      <c r="Q320">
        <v>3.2</v>
      </c>
      <c r="R320">
        <v>3.6</v>
      </c>
      <c r="S320">
        <v>0.9</v>
      </c>
      <c r="T320">
        <v>0</v>
      </c>
      <c r="U320">
        <v>3.3</v>
      </c>
      <c r="V320">
        <v>3</v>
      </c>
      <c r="W320">
        <v>3.7</v>
      </c>
      <c r="X320" t="s">
        <v>45</v>
      </c>
      <c r="Y320">
        <v>0</v>
      </c>
      <c r="Z320">
        <v>0</v>
      </c>
      <c r="AB320">
        <v>0</v>
      </c>
      <c r="AC320" t="s">
        <v>46</v>
      </c>
      <c r="AE320">
        <v>1</v>
      </c>
      <c r="AF320">
        <v>0</v>
      </c>
      <c r="AG320" t="s">
        <v>75</v>
      </c>
      <c r="AH320" t="s">
        <v>48</v>
      </c>
      <c r="AI320" t="s">
        <v>49</v>
      </c>
      <c r="AJ320" s="1" t="s">
        <v>90</v>
      </c>
      <c r="AK320">
        <v>8.3333333333333301E-2</v>
      </c>
      <c r="AL320">
        <v>0</v>
      </c>
    </row>
    <row r="321" spans="1:38" x14ac:dyDescent="0.35">
      <c r="A321" t="s">
        <v>501</v>
      </c>
      <c r="B321" t="s">
        <v>60</v>
      </c>
      <c r="C321" t="s">
        <v>107</v>
      </c>
      <c r="D321">
        <v>1.7</v>
      </c>
      <c r="E321" t="s">
        <v>67</v>
      </c>
      <c r="F321">
        <v>28</v>
      </c>
      <c r="G321" t="s">
        <v>42</v>
      </c>
      <c r="H321" t="s">
        <v>43</v>
      </c>
      <c r="I321">
        <v>2</v>
      </c>
      <c r="J321">
        <v>7.2</v>
      </c>
      <c r="K321">
        <v>2</v>
      </c>
      <c r="L321">
        <v>6</v>
      </c>
      <c r="M321">
        <v>12</v>
      </c>
      <c r="N321">
        <v>0</v>
      </c>
      <c r="O321" t="s">
        <v>82</v>
      </c>
      <c r="P321">
        <v>34200</v>
      </c>
      <c r="Q321">
        <v>4.8</v>
      </c>
      <c r="R321">
        <v>3.2</v>
      </c>
      <c r="S321">
        <v>0.9</v>
      </c>
      <c r="T321">
        <v>0</v>
      </c>
      <c r="U321">
        <v>2.1</v>
      </c>
      <c r="V321">
        <v>5</v>
      </c>
      <c r="W321">
        <v>3.1</v>
      </c>
      <c r="X321" t="s">
        <v>45</v>
      </c>
      <c r="Y321">
        <v>0</v>
      </c>
      <c r="Z321">
        <v>0</v>
      </c>
      <c r="AB321">
        <v>0</v>
      </c>
      <c r="AC321" t="s">
        <v>46</v>
      </c>
      <c r="AE321">
        <v>1</v>
      </c>
      <c r="AF321">
        <v>0</v>
      </c>
      <c r="AG321" t="s">
        <v>75</v>
      </c>
      <c r="AH321" t="s">
        <v>48</v>
      </c>
      <c r="AI321" t="s">
        <v>64</v>
      </c>
      <c r="AJ321">
        <v>3.4</v>
      </c>
      <c r="AK321" s="1" t="s">
        <v>84</v>
      </c>
      <c r="AL321">
        <v>0</v>
      </c>
    </row>
    <row r="322" spans="1:38" x14ac:dyDescent="0.35">
      <c r="A322" t="s">
        <v>502</v>
      </c>
      <c r="B322" t="s">
        <v>60</v>
      </c>
      <c r="C322" t="s">
        <v>80</v>
      </c>
      <c r="D322">
        <v>2.8</v>
      </c>
      <c r="E322" t="s">
        <v>67</v>
      </c>
      <c r="F322">
        <v>27</v>
      </c>
      <c r="G322" t="s">
        <v>68</v>
      </c>
      <c r="H322" t="s">
        <v>69</v>
      </c>
      <c r="I322">
        <v>6</v>
      </c>
      <c r="J322">
        <v>11.1</v>
      </c>
      <c r="K322">
        <v>11</v>
      </c>
      <c r="L322">
        <v>2</v>
      </c>
      <c r="M322">
        <v>12</v>
      </c>
      <c r="N322">
        <v>0</v>
      </c>
      <c r="O322" t="s">
        <v>70</v>
      </c>
      <c r="P322">
        <v>36300</v>
      </c>
      <c r="Q322">
        <v>6.8</v>
      </c>
      <c r="R322">
        <v>5</v>
      </c>
      <c r="S322">
        <v>0.9</v>
      </c>
      <c r="T322">
        <v>0</v>
      </c>
      <c r="U322">
        <v>4.0999999999999996</v>
      </c>
      <c r="V322">
        <v>2.4</v>
      </c>
      <c r="W322">
        <v>2.9</v>
      </c>
      <c r="X322" t="s">
        <v>45</v>
      </c>
      <c r="Y322">
        <v>0</v>
      </c>
      <c r="Z322">
        <v>0</v>
      </c>
      <c r="AB322">
        <v>1</v>
      </c>
      <c r="AC322" t="s">
        <v>46</v>
      </c>
      <c r="AE322">
        <v>1</v>
      </c>
      <c r="AF322">
        <v>0</v>
      </c>
      <c r="AG322" t="s">
        <v>75</v>
      </c>
      <c r="AH322" t="s">
        <v>48</v>
      </c>
      <c r="AI322" t="s">
        <v>49</v>
      </c>
      <c r="AJ322" s="1" t="s">
        <v>50</v>
      </c>
      <c r="AK322">
        <v>0.5</v>
      </c>
      <c r="AL322">
        <v>0</v>
      </c>
    </row>
    <row r="323" spans="1:38" x14ac:dyDescent="0.35">
      <c r="A323" t="s">
        <v>503</v>
      </c>
      <c r="B323" t="s">
        <v>52</v>
      </c>
      <c r="C323" t="s">
        <v>53</v>
      </c>
      <c r="D323">
        <v>3.6</v>
      </c>
      <c r="E323" t="s">
        <v>110</v>
      </c>
      <c r="F323">
        <v>30</v>
      </c>
      <c r="G323" t="s">
        <v>54</v>
      </c>
      <c r="H323" t="s">
        <v>43</v>
      </c>
      <c r="I323">
        <v>7</v>
      </c>
      <c r="J323">
        <v>5.8</v>
      </c>
      <c r="K323">
        <v>15</v>
      </c>
      <c r="L323">
        <v>2</v>
      </c>
      <c r="M323">
        <v>12</v>
      </c>
      <c r="N323">
        <v>0</v>
      </c>
      <c r="O323" t="s">
        <v>70</v>
      </c>
      <c r="P323">
        <v>48500</v>
      </c>
      <c r="Q323">
        <v>6.8</v>
      </c>
      <c r="R323">
        <v>2.7</v>
      </c>
      <c r="S323">
        <v>3.3</v>
      </c>
      <c r="T323">
        <v>0</v>
      </c>
      <c r="U323">
        <v>2.1</v>
      </c>
      <c r="V323">
        <v>3.9</v>
      </c>
      <c r="W323">
        <v>2.8</v>
      </c>
      <c r="X323" t="s">
        <v>45</v>
      </c>
      <c r="Y323">
        <v>0</v>
      </c>
      <c r="Z323">
        <v>1</v>
      </c>
      <c r="AA323">
        <v>2.4</v>
      </c>
      <c r="AB323">
        <v>0</v>
      </c>
      <c r="AC323" t="s">
        <v>46</v>
      </c>
      <c r="AE323">
        <v>0</v>
      </c>
      <c r="AF323">
        <v>0</v>
      </c>
      <c r="AG323" t="s">
        <v>47</v>
      </c>
      <c r="AH323" t="s">
        <v>76</v>
      </c>
      <c r="AI323" t="s">
        <v>64</v>
      </c>
      <c r="AJ323" s="1" t="s">
        <v>141</v>
      </c>
      <c r="AK323" s="1" t="s">
        <v>105</v>
      </c>
      <c r="AL323">
        <v>0</v>
      </c>
    </row>
    <row r="324" spans="1:38" x14ac:dyDescent="0.35">
      <c r="A324" t="s">
        <v>504</v>
      </c>
      <c r="B324" t="s">
        <v>98</v>
      </c>
      <c r="C324" t="s">
        <v>99</v>
      </c>
      <c r="D324">
        <v>1.9</v>
      </c>
      <c r="E324" t="s">
        <v>110</v>
      </c>
      <c r="F324">
        <v>28</v>
      </c>
      <c r="G324" t="s">
        <v>42</v>
      </c>
      <c r="H324" t="s">
        <v>94</v>
      </c>
      <c r="I324">
        <v>5</v>
      </c>
      <c r="J324">
        <v>6.4</v>
      </c>
      <c r="K324">
        <v>10</v>
      </c>
      <c r="L324">
        <v>2</v>
      </c>
      <c r="M324">
        <v>12</v>
      </c>
      <c r="N324">
        <v>0</v>
      </c>
      <c r="O324" t="s">
        <v>44</v>
      </c>
      <c r="P324">
        <v>58400</v>
      </c>
      <c r="Q324">
        <v>5.6</v>
      </c>
      <c r="R324">
        <v>4</v>
      </c>
      <c r="S324">
        <v>0.3</v>
      </c>
      <c r="T324">
        <v>0</v>
      </c>
      <c r="U324">
        <v>2</v>
      </c>
      <c r="V324">
        <v>3.4</v>
      </c>
      <c r="W324">
        <v>3.9</v>
      </c>
      <c r="X324" t="s">
        <v>45</v>
      </c>
      <c r="Y324">
        <v>0</v>
      </c>
      <c r="Z324">
        <v>1</v>
      </c>
      <c r="AA324">
        <v>0.9</v>
      </c>
      <c r="AB324">
        <v>0</v>
      </c>
      <c r="AC324" t="s">
        <v>46</v>
      </c>
      <c r="AE324">
        <v>0</v>
      </c>
      <c r="AF324">
        <v>0</v>
      </c>
      <c r="AG324" t="s">
        <v>47</v>
      </c>
      <c r="AH324" t="s">
        <v>48</v>
      </c>
      <c r="AI324" t="s">
        <v>64</v>
      </c>
      <c r="AJ324">
        <v>3.1</v>
      </c>
      <c r="AK324" s="1" t="s">
        <v>127</v>
      </c>
      <c r="AL324">
        <v>0</v>
      </c>
    </row>
    <row r="325" spans="1:38" x14ac:dyDescent="0.35">
      <c r="A325" t="s">
        <v>505</v>
      </c>
      <c r="B325" t="s">
        <v>117</v>
      </c>
      <c r="C325" t="s">
        <v>118</v>
      </c>
      <c r="D325">
        <v>4.4000000000000004</v>
      </c>
      <c r="E325" t="s">
        <v>67</v>
      </c>
      <c r="F325">
        <v>31</v>
      </c>
      <c r="G325" t="s">
        <v>54</v>
      </c>
      <c r="H325" t="s">
        <v>69</v>
      </c>
      <c r="I325">
        <v>5</v>
      </c>
      <c r="J325">
        <v>33.9</v>
      </c>
      <c r="K325">
        <v>9</v>
      </c>
      <c r="L325">
        <v>3</v>
      </c>
      <c r="M325">
        <v>12</v>
      </c>
      <c r="N325">
        <v>0</v>
      </c>
      <c r="O325" t="s">
        <v>70</v>
      </c>
      <c r="P325">
        <v>38100</v>
      </c>
      <c r="Q325">
        <v>7.9</v>
      </c>
      <c r="R325">
        <v>3.9</v>
      </c>
      <c r="S325">
        <v>2.4</v>
      </c>
      <c r="T325">
        <v>0</v>
      </c>
      <c r="U325">
        <v>4.3</v>
      </c>
      <c r="V325">
        <v>5</v>
      </c>
      <c r="W325">
        <v>4.5999999999999996</v>
      </c>
      <c r="X325" t="s">
        <v>45</v>
      </c>
      <c r="Y325">
        <v>0</v>
      </c>
      <c r="Z325">
        <v>0</v>
      </c>
      <c r="AB325">
        <v>1</v>
      </c>
      <c r="AC325" t="s">
        <v>46</v>
      </c>
      <c r="AE325">
        <v>1</v>
      </c>
      <c r="AF325">
        <v>0</v>
      </c>
      <c r="AG325" t="s">
        <v>75</v>
      </c>
      <c r="AH325" t="s">
        <v>76</v>
      </c>
      <c r="AI325" t="s">
        <v>57</v>
      </c>
      <c r="AJ325" s="1" t="s">
        <v>506</v>
      </c>
      <c r="AK325" s="1" t="s">
        <v>127</v>
      </c>
      <c r="AL325">
        <v>0</v>
      </c>
    </row>
    <row r="326" spans="1:38" x14ac:dyDescent="0.35">
      <c r="A326" t="s">
        <v>507</v>
      </c>
      <c r="B326" t="s">
        <v>60</v>
      </c>
      <c r="C326" t="s">
        <v>107</v>
      </c>
      <c r="D326">
        <v>4.7</v>
      </c>
      <c r="E326" t="s">
        <v>81</v>
      </c>
      <c r="F326">
        <v>21</v>
      </c>
      <c r="G326" t="s">
        <v>42</v>
      </c>
      <c r="H326" t="s">
        <v>69</v>
      </c>
      <c r="I326">
        <v>4</v>
      </c>
      <c r="J326">
        <v>9</v>
      </c>
      <c r="K326">
        <v>11</v>
      </c>
      <c r="L326">
        <v>3</v>
      </c>
      <c r="M326">
        <v>12</v>
      </c>
      <c r="N326">
        <v>0</v>
      </c>
      <c r="O326" t="s">
        <v>82</v>
      </c>
      <c r="P326">
        <v>33500</v>
      </c>
      <c r="Q326">
        <v>17.8</v>
      </c>
      <c r="R326">
        <v>3.3</v>
      </c>
      <c r="S326">
        <v>0.7</v>
      </c>
      <c r="T326">
        <v>0</v>
      </c>
      <c r="U326">
        <v>4.9000000000000004</v>
      </c>
      <c r="V326">
        <v>3.5</v>
      </c>
      <c r="W326">
        <v>3.1</v>
      </c>
      <c r="X326" t="s">
        <v>45</v>
      </c>
      <c r="Y326">
        <v>0</v>
      </c>
      <c r="Z326">
        <v>1</v>
      </c>
      <c r="AA326">
        <v>1.1000000000000001</v>
      </c>
      <c r="AB326">
        <v>0</v>
      </c>
      <c r="AC326" t="s">
        <v>46</v>
      </c>
      <c r="AE326">
        <v>0</v>
      </c>
      <c r="AF326">
        <v>0</v>
      </c>
      <c r="AG326" t="s">
        <v>47</v>
      </c>
      <c r="AH326" t="s">
        <v>76</v>
      </c>
      <c r="AI326" t="s">
        <v>64</v>
      </c>
      <c r="AJ326" s="1" t="s">
        <v>180</v>
      </c>
      <c r="AK326" s="1" t="s">
        <v>115</v>
      </c>
      <c r="AL326">
        <v>0</v>
      </c>
    </row>
    <row r="327" spans="1:38" x14ac:dyDescent="0.35">
      <c r="A327" t="s">
        <v>508</v>
      </c>
      <c r="B327" t="s">
        <v>39</v>
      </c>
      <c r="C327" t="s">
        <v>40</v>
      </c>
      <c r="D327">
        <v>5.9</v>
      </c>
      <c r="E327" t="s">
        <v>41</v>
      </c>
      <c r="F327">
        <v>39</v>
      </c>
      <c r="G327" t="s">
        <v>42</v>
      </c>
      <c r="H327" t="s">
        <v>69</v>
      </c>
      <c r="I327">
        <v>5</v>
      </c>
      <c r="J327">
        <v>26.3</v>
      </c>
      <c r="K327">
        <v>6</v>
      </c>
      <c r="L327">
        <v>1</v>
      </c>
      <c r="M327">
        <v>12</v>
      </c>
      <c r="N327">
        <v>0</v>
      </c>
      <c r="O327" t="s">
        <v>44</v>
      </c>
      <c r="P327">
        <v>64000</v>
      </c>
      <c r="Q327">
        <v>1.1000000000000001</v>
      </c>
      <c r="R327">
        <v>3.5</v>
      </c>
      <c r="S327">
        <v>1.4</v>
      </c>
      <c r="T327">
        <v>0</v>
      </c>
      <c r="U327">
        <v>2.7</v>
      </c>
      <c r="V327">
        <v>3.7</v>
      </c>
      <c r="W327">
        <v>2.8</v>
      </c>
      <c r="X327" t="s">
        <v>45</v>
      </c>
      <c r="Y327">
        <v>0</v>
      </c>
      <c r="Z327">
        <v>1</v>
      </c>
      <c r="AA327">
        <v>0.3</v>
      </c>
      <c r="AB327">
        <v>0</v>
      </c>
      <c r="AC327" t="s">
        <v>46</v>
      </c>
      <c r="AE327">
        <v>0</v>
      </c>
      <c r="AF327">
        <v>0</v>
      </c>
      <c r="AG327" t="s">
        <v>47</v>
      </c>
      <c r="AH327" t="s">
        <v>83</v>
      </c>
      <c r="AI327" t="s">
        <v>57</v>
      </c>
      <c r="AJ327" s="1" t="s">
        <v>159</v>
      </c>
      <c r="AK327" s="1" t="s">
        <v>127</v>
      </c>
      <c r="AL327">
        <v>0</v>
      </c>
    </row>
    <row r="328" spans="1:38" x14ac:dyDescent="0.35">
      <c r="A328" t="s">
        <v>509</v>
      </c>
      <c r="B328" t="s">
        <v>39</v>
      </c>
      <c r="C328" t="s">
        <v>66</v>
      </c>
      <c r="D328">
        <v>2.5</v>
      </c>
      <c r="E328" t="s">
        <v>67</v>
      </c>
      <c r="F328">
        <v>28</v>
      </c>
      <c r="G328" t="s">
        <v>42</v>
      </c>
      <c r="H328" t="s">
        <v>94</v>
      </c>
      <c r="I328">
        <v>1</v>
      </c>
      <c r="J328">
        <v>1.5</v>
      </c>
      <c r="K328">
        <v>9</v>
      </c>
      <c r="L328">
        <v>1</v>
      </c>
      <c r="M328">
        <v>12</v>
      </c>
      <c r="N328">
        <v>0</v>
      </c>
      <c r="O328" t="s">
        <v>70</v>
      </c>
      <c r="P328">
        <v>36700</v>
      </c>
      <c r="Q328">
        <v>12.5</v>
      </c>
      <c r="R328">
        <v>2.9</v>
      </c>
      <c r="S328">
        <v>2.1</v>
      </c>
      <c r="T328">
        <v>0</v>
      </c>
      <c r="U328">
        <v>4.2</v>
      </c>
      <c r="V328">
        <v>3.7</v>
      </c>
      <c r="W328">
        <v>2.2000000000000002</v>
      </c>
      <c r="X328" t="s">
        <v>45</v>
      </c>
      <c r="Y328">
        <v>0</v>
      </c>
      <c r="Z328">
        <v>0</v>
      </c>
      <c r="AB328">
        <v>0</v>
      </c>
      <c r="AC328" t="s">
        <v>46</v>
      </c>
      <c r="AE328">
        <v>1</v>
      </c>
      <c r="AF328">
        <v>0</v>
      </c>
      <c r="AG328" t="s">
        <v>75</v>
      </c>
      <c r="AH328" t="s">
        <v>48</v>
      </c>
      <c r="AI328" t="s">
        <v>64</v>
      </c>
      <c r="AJ328" s="1" t="s">
        <v>510</v>
      </c>
      <c r="AK328">
        <v>8.3333333333333301E-2</v>
      </c>
      <c r="AL328">
        <v>0</v>
      </c>
    </row>
    <row r="329" spans="1:38" x14ac:dyDescent="0.35">
      <c r="A329" t="s">
        <v>511</v>
      </c>
      <c r="B329" t="s">
        <v>117</v>
      </c>
      <c r="C329" t="s">
        <v>197</v>
      </c>
      <c r="D329">
        <v>8.5</v>
      </c>
      <c r="E329" t="s">
        <v>62</v>
      </c>
      <c r="F329">
        <v>37</v>
      </c>
      <c r="G329" t="s">
        <v>42</v>
      </c>
      <c r="H329" t="s">
        <v>69</v>
      </c>
      <c r="I329">
        <v>4</v>
      </c>
      <c r="J329">
        <v>21.6</v>
      </c>
      <c r="K329">
        <v>10</v>
      </c>
      <c r="L329">
        <v>4</v>
      </c>
      <c r="M329">
        <v>12</v>
      </c>
      <c r="N329">
        <v>0</v>
      </c>
      <c r="O329" t="s">
        <v>56</v>
      </c>
      <c r="P329">
        <v>105600</v>
      </c>
      <c r="Q329">
        <v>7.9</v>
      </c>
      <c r="R329">
        <v>1.4</v>
      </c>
      <c r="S329">
        <v>1.1000000000000001</v>
      </c>
      <c r="T329">
        <v>0</v>
      </c>
      <c r="U329">
        <v>4</v>
      </c>
      <c r="V329">
        <v>2.2000000000000002</v>
      </c>
      <c r="W329">
        <v>3.4</v>
      </c>
      <c r="X329" t="s">
        <v>45</v>
      </c>
      <c r="Y329">
        <v>1</v>
      </c>
      <c r="Z329">
        <v>0</v>
      </c>
      <c r="AB329">
        <v>0</v>
      </c>
      <c r="AC329" t="s">
        <v>46</v>
      </c>
      <c r="AE329">
        <v>1</v>
      </c>
      <c r="AF329">
        <v>0</v>
      </c>
      <c r="AG329" t="s">
        <v>75</v>
      </c>
      <c r="AH329" t="s">
        <v>83</v>
      </c>
      <c r="AI329" t="s">
        <v>57</v>
      </c>
      <c r="AJ329" s="1" t="s">
        <v>162</v>
      </c>
      <c r="AK329" s="1" t="s">
        <v>115</v>
      </c>
      <c r="AL329">
        <v>0</v>
      </c>
    </row>
    <row r="330" spans="1:38" x14ac:dyDescent="0.35">
      <c r="A330" t="s">
        <v>512</v>
      </c>
      <c r="B330" t="s">
        <v>39</v>
      </c>
      <c r="C330" t="s">
        <v>88</v>
      </c>
      <c r="D330">
        <v>5.6</v>
      </c>
      <c r="E330" t="s">
        <v>81</v>
      </c>
      <c r="F330">
        <v>26</v>
      </c>
      <c r="G330" t="s">
        <v>42</v>
      </c>
      <c r="H330" t="s">
        <v>63</v>
      </c>
      <c r="I330">
        <v>7</v>
      </c>
      <c r="J330">
        <v>4.7</v>
      </c>
      <c r="K330">
        <v>5</v>
      </c>
      <c r="L330">
        <v>3</v>
      </c>
      <c r="M330">
        <v>12</v>
      </c>
      <c r="N330">
        <v>0</v>
      </c>
      <c r="O330" t="s">
        <v>82</v>
      </c>
      <c r="P330">
        <v>32400</v>
      </c>
      <c r="Q330">
        <v>6.2</v>
      </c>
      <c r="R330">
        <v>3.5</v>
      </c>
      <c r="S330">
        <v>2.8</v>
      </c>
      <c r="T330">
        <v>0</v>
      </c>
      <c r="U330">
        <v>3.2</v>
      </c>
      <c r="V330">
        <v>2.4</v>
      </c>
      <c r="W330">
        <v>4.4000000000000004</v>
      </c>
      <c r="X330" t="s">
        <v>45</v>
      </c>
      <c r="Y330">
        <v>0</v>
      </c>
      <c r="Z330">
        <v>1</v>
      </c>
      <c r="AA330">
        <v>0.2</v>
      </c>
      <c r="AB330">
        <v>1</v>
      </c>
      <c r="AC330" t="s">
        <v>124</v>
      </c>
      <c r="AD330" s="2">
        <v>46021</v>
      </c>
      <c r="AE330">
        <v>0</v>
      </c>
      <c r="AF330">
        <v>0</v>
      </c>
      <c r="AG330" t="s">
        <v>47</v>
      </c>
      <c r="AH330" t="s">
        <v>83</v>
      </c>
      <c r="AI330" t="s">
        <v>64</v>
      </c>
      <c r="AJ330" s="1" t="s">
        <v>90</v>
      </c>
      <c r="AK330" s="1" t="s">
        <v>105</v>
      </c>
      <c r="AL330">
        <v>1</v>
      </c>
    </row>
    <row r="331" spans="1:38" x14ac:dyDescent="0.35">
      <c r="A331" t="s">
        <v>513</v>
      </c>
      <c r="B331" t="s">
        <v>98</v>
      </c>
      <c r="C331" t="s">
        <v>148</v>
      </c>
      <c r="D331">
        <v>2.1</v>
      </c>
      <c r="E331" t="s">
        <v>110</v>
      </c>
      <c r="F331">
        <v>26</v>
      </c>
      <c r="G331" t="s">
        <v>42</v>
      </c>
      <c r="H331" t="s">
        <v>55</v>
      </c>
      <c r="I331">
        <v>4</v>
      </c>
      <c r="J331">
        <v>17.8</v>
      </c>
      <c r="K331">
        <v>6</v>
      </c>
      <c r="L331">
        <v>1</v>
      </c>
      <c r="M331">
        <v>12</v>
      </c>
      <c r="N331">
        <v>0</v>
      </c>
      <c r="O331" t="s">
        <v>44</v>
      </c>
      <c r="P331">
        <v>59200</v>
      </c>
      <c r="Q331">
        <v>0</v>
      </c>
      <c r="R331">
        <v>3.6</v>
      </c>
      <c r="S331">
        <v>4.3</v>
      </c>
      <c r="T331">
        <v>0</v>
      </c>
      <c r="U331">
        <v>4.5</v>
      </c>
      <c r="V331">
        <v>3</v>
      </c>
      <c r="W331">
        <v>4.4000000000000004</v>
      </c>
      <c r="X331" t="s">
        <v>45</v>
      </c>
      <c r="Y331">
        <v>0</v>
      </c>
      <c r="Z331">
        <v>0</v>
      </c>
      <c r="AB331">
        <v>0</v>
      </c>
      <c r="AC331" t="s">
        <v>46</v>
      </c>
      <c r="AE331">
        <v>1</v>
      </c>
      <c r="AF331">
        <v>0</v>
      </c>
      <c r="AG331" t="s">
        <v>75</v>
      </c>
      <c r="AH331" t="s">
        <v>48</v>
      </c>
      <c r="AI331" t="s">
        <v>49</v>
      </c>
      <c r="AJ331" s="1" t="s">
        <v>243</v>
      </c>
      <c r="AK331" s="1" t="s">
        <v>115</v>
      </c>
      <c r="AL331">
        <v>0</v>
      </c>
    </row>
    <row r="332" spans="1:38" x14ac:dyDescent="0.35">
      <c r="A332" t="s">
        <v>514</v>
      </c>
      <c r="B332" t="s">
        <v>39</v>
      </c>
      <c r="C332" t="s">
        <v>88</v>
      </c>
      <c r="D332">
        <v>1.9</v>
      </c>
      <c r="E332" t="s">
        <v>110</v>
      </c>
      <c r="F332">
        <v>25</v>
      </c>
      <c r="G332" t="s">
        <v>54</v>
      </c>
      <c r="H332" t="s">
        <v>69</v>
      </c>
      <c r="I332">
        <v>4</v>
      </c>
      <c r="J332">
        <v>4.7</v>
      </c>
      <c r="K332">
        <v>7</v>
      </c>
      <c r="L332">
        <v>1</v>
      </c>
      <c r="M332">
        <v>12</v>
      </c>
      <c r="N332">
        <v>0</v>
      </c>
      <c r="O332" t="s">
        <v>70</v>
      </c>
      <c r="P332">
        <v>48600</v>
      </c>
      <c r="Q332">
        <v>11.1</v>
      </c>
      <c r="R332">
        <v>3.7</v>
      </c>
      <c r="S332">
        <v>4.9000000000000004</v>
      </c>
      <c r="T332">
        <v>0</v>
      </c>
      <c r="U332">
        <v>3.2</v>
      </c>
      <c r="V332">
        <v>4.0999999999999996</v>
      </c>
      <c r="W332">
        <v>4.5</v>
      </c>
      <c r="X332" t="s">
        <v>45</v>
      </c>
      <c r="Y332">
        <v>0</v>
      </c>
      <c r="Z332">
        <v>0</v>
      </c>
      <c r="AB332">
        <v>0</v>
      </c>
      <c r="AC332" t="s">
        <v>46</v>
      </c>
      <c r="AE332">
        <v>1</v>
      </c>
      <c r="AF332">
        <v>0</v>
      </c>
      <c r="AG332" t="s">
        <v>75</v>
      </c>
      <c r="AH332" t="s">
        <v>48</v>
      </c>
      <c r="AI332" t="s">
        <v>64</v>
      </c>
      <c r="AJ332" s="1" t="s">
        <v>219</v>
      </c>
      <c r="AK332" s="1" t="s">
        <v>115</v>
      </c>
      <c r="AL332">
        <v>0</v>
      </c>
    </row>
    <row r="333" spans="1:38" x14ac:dyDescent="0.35">
      <c r="A333" t="s">
        <v>515</v>
      </c>
      <c r="B333" t="s">
        <v>73</v>
      </c>
      <c r="C333" t="s">
        <v>74</v>
      </c>
      <c r="D333">
        <v>3</v>
      </c>
      <c r="E333" t="s">
        <v>41</v>
      </c>
      <c r="F333">
        <v>35</v>
      </c>
      <c r="G333" t="s">
        <v>42</v>
      </c>
      <c r="H333" t="s">
        <v>69</v>
      </c>
      <c r="I333">
        <v>1</v>
      </c>
      <c r="J333">
        <v>6.8</v>
      </c>
      <c r="K333">
        <v>7</v>
      </c>
      <c r="L333">
        <v>3</v>
      </c>
      <c r="M333">
        <v>12</v>
      </c>
      <c r="N333">
        <v>0</v>
      </c>
      <c r="O333" t="s">
        <v>56</v>
      </c>
      <c r="P333">
        <v>79500</v>
      </c>
      <c r="Q333">
        <v>2.2000000000000002</v>
      </c>
      <c r="R333">
        <v>3.3</v>
      </c>
      <c r="S333">
        <v>1.8</v>
      </c>
      <c r="T333">
        <v>0</v>
      </c>
      <c r="U333">
        <v>3.8</v>
      </c>
      <c r="V333">
        <v>3.4</v>
      </c>
      <c r="W333">
        <v>3.7</v>
      </c>
      <c r="X333" t="s">
        <v>45</v>
      </c>
      <c r="Y333">
        <v>0</v>
      </c>
      <c r="Z333">
        <v>0</v>
      </c>
      <c r="AB333">
        <v>0</v>
      </c>
      <c r="AC333" t="s">
        <v>46</v>
      </c>
      <c r="AE333">
        <v>1</v>
      </c>
      <c r="AF333">
        <v>0</v>
      </c>
      <c r="AG333" t="s">
        <v>75</v>
      </c>
      <c r="AH333" t="s">
        <v>48</v>
      </c>
      <c r="AI333" t="s">
        <v>64</v>
      </c>
      <c r="AJ333" s="1" t="s">
        <v>187</v>
      </c>
      <c r="AK333">
        <v>8.3333333333333301E-2</v>
      </c>
      <c r="AL333">
        <v>0</v>
      </c>
    </row>
    <row r="334" spans="1:38" x14ac:dyDescent="0.35">
      <c r="A334" t="s">
        <v>516</v>
      </c>
      <c r="B334" t="s">
        <v>39</v>
      </c>
      <c r="C334" t="s">
        <v>88</v>
      </c>
      <c r="D334">
        <v>4.7</v>
      </c>
      <c r="E334" t="s">
        <v>81</v>
      </c>
      <c r="F334">
        <v>28</v>
      </c>
      <c r="G334" t="s">
        <v>42</v>
      </c>
      <c r="H334" t="s">
        <v>43</v>
      </c>
      <c r="I334">
        <v>4</v>
      </c>
      <c r="J334">
        <v>3.4</v>
      </c>
      <c r="K334">
        <v>7</v>
      </c>
      <c r="L334">
        <v>2</v>
      </c>
      <c r="M334">
        <v>12</v>
      </c>
      <c r="N334">
        <v>0</v>
      </c>
      <c r="O334" t="s">
        <v>82</v>
      </c>
      <c r="P334">
        <v>23300</v>
      </c>
      <c r="Q334">
        <v>11.3</v>
      </c>
      <c r="R334">
        <v>4.0999999999999996</v>
      </c>
      <c r="S334">
        <v>0.7</v>
      </c>
      <c r="T334">
        <v>0</v>
      </c>
      <c r="U334">
        <v>3.3</v>
      </c>
      <c r="V334">
        <v>3</v>
      </c>
      <c r="W334">
        <v>3.5</v>
      </c>
      <c r="X334" t="s">
        <v>45</v>
      </c>
      <c r="Y334">
        <v>1</v>
      </c>
      <c r="Z334">
        <v>1</v>
      </c>
      <c r="AA334">
        <v>3.9</v>
      </c>
      <c r="AB334">
        <v>0</v>
      </c>
      <c r="AC334" t="s">
        <v>46</v>
      </c>
      <c r="AE334">
        <v>0</v>
      </c>
      <c r="AF334">
        <v>0</v>
      </c>
      <c r="AG334" t="s">
        <v>47</v>
      </c>
      <c r="AH334" t="s">
        <v>76</v>
      </c>
      <c r="AI334" t="s">
        <v>64</v>
      </c>
      <c r="AJ334" s="1" t="s">
        <v>235</v>
      </c>
      <c r="AK334" s="1" t="s">
        <v>115</v>
      </c>
      <c r="AL334">
        <v>0</v>
      </c>
    </row>
    <row r="335" spans="1:38" x14ac:dyDescent="0.35">
      <c r="A335" t="s">
        <v>517</v>
      </c>
      <c r="B335" t="s">
        <v>60</v>
      </c>
      <c r="C335" t="s">
        <v>107</v>
      </c>
      <c r="D335">
        <v>5.2</v>
      </c>
      <c r="E335" t="s">
        <v>41</v>
      </c>
      <c r="F335">
        <v>34</v>
      </c>
      <c r="G335" t="s">
        <v>42</v>
      </c>
      <c r="H335" t="s">
        <v>55</v>
      </c>
      <c r="I335">
        <v>2</v>
      </c>
      <c r="J335">
        <v>18.100000000000001</v>
      </c>
      <c r="K335">
        <v>7</v>
      </c>
      <c r="L335">
        <v>3</v>
      </c>
      <c r="M335">
        <v>12</v>
      </c>
      <c r="N335">
        <v>0</v>
      </c>
      <c r="O335" t="s">
        <v>56</v>
      </c>
      <c r="P335">
        <v>81000</v>
      </c>
      <c r="Q335">
        <v>15</v>
      </c>
      <c r="R335">
        <v>2.4</v>
      </c>
      <c r="S335">
        <v>0.2</v>
      </c>
      <c r="T335">
        <v>0</v>
      </c>
      <c r="U335">
        <v>2.2000000000000002</v>
      </c>
      <c r="V335">
        <v>4.4000000000000004</v>
      </c>
      <c r="W335">
        <v>3.4</v>
      </c>
      <c r="X335" t="s">
        <v>45</v>
      </c>
      <c r="Y335">
        <v>1</v>
      </c>
      <c r="Z335">
        <v>3</v>
      </c>
      <c r="AA335">
        <v>2.5</v>
      </c>
      <c r="AB335">
        <v>0</v>
      </c>
      <c r="AC335" t="s">
        <v>46</v>
      </c>
      <c r="AE335">
        <v>0</v>
      </c>
      <c r="AF335">
        <v>0</v>
      </c>
      <c r="AG335" t="s">
        <v>47</v>
      </c>
      <c r="AH335" t="s">
        <v>83</v>
      </c>
      <c r="AI335" t="s">
        <v>49</v>
      </c>
      <c r="AJ335" s="1" t="s">
        <v>90</v>
      </c>
      <c r="AK335" s="1" t="s">
        <v>84</v>
      </c>
      <c r="AL335">
        <v>0</v>
      </c>
    </row>
    <row r="336" spans="1:38" x14ac:dyDescent="0.35">
      <c r="A336" t="s">
        <v>518</v>
      </c>
      <c r="B336" t="s">
        <v>73</v>
      </c>
      <c r="C336" t="s">
        <v>121</v>
      </c>
      <c r="D336">
        <v>5.6</v>
      </c>
      <c r="E336" t="s">
        <v>110</v>
      </c>
      <c r="F336">
        <v>29</v>
      </c>
      <c r="G336" t="s">
        <v>54</v>
      </c>
      <c r="H336" t="s">
        <v>43</v>
      </c>
      <c r="I336">
        <v>3</v>
      </c>
      <c r="J336">
        <v>20.2</v>
      </c>
      <c r="K336">
        <v>12</v>
      </c>
      <c r="L336">
        <v>1</v>
      </c>
      <c r="M336">
        <v>12</v>
      </c>
      <c r="N336">
        <v>0</v>
      </c>
      <c r="O336" t="s">
        <v>70</v>
      </c>
      <c r="P336">
        <v>46000</v>
      </c>
      <c r="Q336">
        <v>2.9</v>
      </c>
      <c r="R336">
        <v>4.5</v>
      </c>
      <c r="S336">
        <v>0.4</v>
      </c>
      <c r="T336">
        <v>0</v>
      </c>
      <c r="U336">
        <v>4.4000000000000004</v>
      </c>
      <c r="V336">
        <v>1.4</v>
      </c>
      <c r="W336">
        <v>2.5</v>
      </c>
      <c r="X336" t="s">
        <v>45</v>
      </c>
      <c r="Y336">
        <v>0</v>
      </c>
      <c r="Z336">
        <v>0</v>
      </c>
      <c r="AB336">
        <v>1</v>
      </c>
      <c r="AC336" t="s">
        <v>46</v>
      </c>
      <c r="AE336">
        <v>1</v>
      </c>
      <c r="AF336">
        <v>0</v>
      </c>
      <c r="AG336" t="s">
        <v>75</v>
      </c>
      <c r="AH336" t="s">
        <v>83</v>
      </c>
      <c r="AI336" t="s">
        <v>57</v>
      </c>
      <c r="AJ336" s="1" t="s">
        <v>170</v>
      </c>
      <c r="AK336">
        <v>0.25</v>
      </c>
      <c r="AL336">
        <v>0</v>
      </c>
    </row>
    <row r="337" spans="1:38" x14ac:dyDescent="0.35">
      <c r="A337" t="s">
        <v>519</v>
      </c>
      <c r="B337" t="s">
        <v>39</v>
      </c>
      <c r="C337" t="s">
        <v>66</v>
      </c>
      <c r="D337">
        <v>13</v>
      </c>
      <c r="E337" t="s">
        <v>110</v>
      </c>
      <c r="F337">
        <v>37</v>
      </c>
      <c r="G337" t="s">
        <v>42</v>
      </c>
      <c r="H337" t="s">
        <v>43</v>
      </c>
      <c r="I337">
        <v>3</v>
      </c>
      <c r="J337">
        <v>4.9000000000000004</v>
      </c>
      <c r="K337">
        <v>4</v>
      </c>
      <c r="L337">
        <v>3</v>
      </c>
      <c r="M337">
        <v>12</v>
      </c>
      <c r="N337">
        <v>0</v>
      </c>
      <c r="O337" t="s">
        <v>44</v>
      </c>
      <c r="P337">
        <v>63800</v>
      </c>
      <c r="Q337">
        <v>12.7</v>
      </c>
      <c r="R337">
        <v>2.2999999999999998</v>
      </c>
      <c r="S337">
        <v>3.9</v>
      </c>
      <c r="T337">
        <v>0</v>
      </c>
      <c r="U337">
        <v>3.8</v>
      </c>
      <c r="V337">
        <v>2</v>
      </c>
      <c r="W337">
        <v>3</v>
      </c>
      <c r="X337" t="s">
        <v>45</v>
      </c>
      <c r="Y337">
        <v>0</v>
      </c>
      <c r="Z337">
        <v>2</v>
      </c>
      <c r="AA337">
        <v>6.7</v>
      </c>
      <c r="AB337">
        <v>0</v>
      </c>
      <c r="AC337" t="s">
        <v>46</v>
      </c>
      <c r="AE337">
        <v>0</v>
      </c>
      <c r="AF337">
        <v>0</v>
      </c>
      <c r="AG337" t="s">
        <v>47</v>
      </c>
      <c r="AH337" t="s">
        <v>83</v>
      </c>
      <c r="AI337" t="s">
        <v>64</v>
      </c>
      <c r="AJ337" s="1" t="s">
        <v>141</v>
      </c>
      <c r="AK337">
        <v>0.25</v>
      </c>
      <c r="AL337">
        <v>0</v>
      </c>
    </row>
    <row r="338" spans="1:38" x14ac:dyDescent="0.35">
      <c r="A338" t="s">
        <v>520</v>
      </c>
      <c r="B338" t="s">
        <v>73</v>
      </c>
      <c r="C338" t="s">
        <v>113</v>
      </c>
      <c r="D338">
        <v>0.7</v>
      </c>
      <c r="E338" t="s">
        <v>67</v>
      </c>
      <c r="F338">
        <v>26</v>
      </c>
      <c r="G338" t="s">
        <v>42</v>
      </c>
      <c r="H338" t="s">
        <v>63</v>
      </c>
      <c r="I338">
        <v>3</v>
      </c>
      <c r="J338">
        <v>2</v>
      </c>
      <c r="K338">
        <v>9</v>
      </c>
      <c r="L338">
        <v>5</v>
      </c>
      <c r="M338">
        <v>12</v>
      </c>
      <c r="N338">
        <v>0</v>
      </c>
      <c r="O338" t="s">
        <v>70</v>
      </c>
      <c r="P338">
        <v>43100</v>
      </c>
      <c r="Q338">
        <v>8.1</v>
      </c>
      <c r="R338">
        <v>3.1</v>
      </c>
      <c r="S338">
        <v>1.8</v>
      </c>
      <c r="T338">
        <v>0</v>
      </c>
      <c r="U338">
        <v>3.2</v>
      </c>
      <c r="V338">
        <v>1</v>
      </c>
      <c r="W338">
        <v>3.4</v>
      </c>
      <c r="X338" t="s">
        <v>89</v>
      </c>
      <c r="Y338">
        <v>1</v>
      </c>
      <c r="Z338">
        <v>1</v>
      </c>
      <c r="AA338">
        <v>0.2</v>
      </c>
      <c r="AB338">
        <v>0</v>
      </c>
      <c r="AC338" t="s">
        <v>46</v>
      </c>
      <c r="AE338">
        <v>0</v>
      </c>
      <c r="AF338">
        <v>0</v>
      </c>
      <c r="AG338" t="s">
        <v>47</v>
      </c>
      <c r="AH338" t="s">
        <v>95</v>
      </c>
      <c r="AI338" t="s">
        <v>64</v>
      </c>
      <c r="AJ338" s="1" t="s">
        <v>111</v>
      </c>
      <c r="AK338">
        <v>0.25</v>
      </c>
      <c r="AL338">
        <v>0</v>
      </c>
    </row>
    <row r="339" spans="1:38" x14ac:dyDescent="0.35">
      <c r="A339" t="s">
        <v>521</v>
      </c>
      <c r="B339" t="s">
        <v>39</v>
      </c>
      <c r="C339" t="s">
        <v>40</v>
      </c>
      <c r="D339">
        <v>3.4</v>
      </c>
      <c r="E339" t="s">
        <v>81</v>
      </c>
      <c r="F339">
        <v>35</v>
      </c>
      <c r="G339" t="s">
        <v>54</v>
      </c>
      <c r="H339" t="s">
        <v>55</v>
      </c>
      <c r="I339">
        <v>4</v>
      </c>
      <c r="J339">
        <v>26</v>
      </c>
      <c r="K339">
        <v>10</v>
      </c>
      <c r="L339">
        <v>0</v>
      </c>
      <c r="M339">
        <v>12</v>
      </c>
      <c r="N339">
        <v>0</v>
      </c>
      <c r="O339" t="s">
        <v>82</v>
      </c>
      <c r="P339">
        <v>31600</v>
      </c>
      <c r="Q339">
        <v>0</v>
      </c>
      <c r="R339">
        <v>3.8</v>
      </c>
      <c r="S339">
        <v>1.1000000000000001</v>
      </c>
      <c r="T339">
        <v>0</v>
      </c>
      <c r="U339">
        <v>5</v>
      </c>
      <c r="V339">
        <v>4.3</v>
      </c>
      <c r="W339">
        <v>2.5</v>
      </c>
      <c r="X339" t="s">
        <v>45</v>
      </c>
      <c r="Y339">
        <v>0</v>
      </c>
      <c r="Z339">
        <v>3</v>
      </c>
      <c r="AA339">
        <v>1.5</v>
      </c>
      <c r="AB339">
        <v>0</v>
      </c>
      <c r="AC339" t="s">
        <v>46</v>
      </c>
      <c r="AE339">
        <v>0</v>
      </c>
      <c r="AF339">
        <v>0</v>
      </c>
      <c r="AG339" t="s">
        <v>47</v>
      </c>
      <c r="AH339" t="s">
        <v>76</v>
      </c>
      <c r="AI339" t="s">
        <v>57</v>
      </c>
      <c r="AJ339" s="1" t="s">
        <v>219</v>
      </c>
      <c r="AK339" s="1" t="s">
        <v>115</v>
      </c>
      <c r="AL339">
        <v>0</v>
      </c>
    </row>
    <row r="340" spans="1:38" x14ac:dyDescent="0.35">
      <c r="A340" t="s">
        <v>522</v>
      </c>
      <c r="B340" t="s">
        <v>73</v>
      </c>
      <c r="C340" t="s">
        <v>177</v>
      </c>
      <c r="D340">
        <v>12.4</v>
      </c>
      <c r="E340" t="s">
        <v>67</v>
      </c>
      <c r="F340">
        <v>31</v>
      </c>
      <c r="G340" t="s">
        <v>42</v>
      </c>
      <c r="H340" t="s">
        <v>55</v>
      </c>
      <c r="I340">
        <v>4</v>
      </c>
      <c r="J340">
        <v>5.5</v>
      </c>
      <c r="K340">
        <v>13</v>
      </c>
      <c r="L340">
        <v>1</v>
      </c>
      <c r="M340">
        <v>12</v>
      </c>
      <c r="N340">
        <v>0</v>
      </c>
      <c r="O340" t="s">
        <v>70</v>
      </c>
      <c r="P340">
        <v>35300</v>
      </c>
      <c r="Q340">
        <v>3.2</v>
      </c>
      <c r="R340">
        <v>2.7</v>
      </c>
      <c r="S340">
        <v>0.2</v>
      </c>
      <c r="T340">
        <v>0</v>
      </c>
      <c r="U340">
        <v>5</v>
      </c>
      <c r="V340">
        <v>3.1</v>
      </c>
      <c r="W340">
        <v>3.4</v>
      </c>
      <c r="X340" t="s">
        <v>45</v>
      </c>
      <c r="Y340">
        <v>0</v>
      </c>
      <c r="Z340">
        <v>0</v>
      </c>
      <c r="AB340">
        <v>0</v>
      </c>
      <c r="AC340" t="s">
        <v>46</v>
      </c>
      <c r="AE340">
        <v>1</v>
      </c>
      <c r="AF340">
        <v>0</v>
      </c>
      <c r="AG340" t="s">
        <v>75</v>
      </c>
      <c r="AH340" t="s">
        <v>83</v>
      </c>
      <c r="AI340" t="s">
        <v>64</v>
      </c>
      <c r="AJ340" s="1" t="s">
        <v>180</v>
      </c>
      <c r="AK340" s="1" t="s">
        <v>115</v>
      </c>
      <c r="AL340">
        <v>0</v>
      </c>
    </row>
    <row r="341" spans="1:38" x14ac:dyDescent="0.35">
      <c r="A341" t="s">
        <v>523</v>
      </c>
      <c r="B341" t="s">
        <v>60</v>
      </c>
      <c r="C341" t="s">
        <v>80</v>
      </c>
      <c r="D341">
        <v>6.1</v>
      </c>
      <c r="E341" t="s">
        <v>67</v>
      </c>
      <c r="F341">
        <v>27</v>
      </c>
      <c r="G341" t="s">
        <v>42</v>
      </c>
      <c r="H341" t="s">
        <v>69</v>
      </c>
      <c r="I341">
        <v>2</v>
      </c>
      <c r="J341">
        <v>8.6</v>
      </c>
      <c r="K341">
        <v>9</v>
      </c>
      <c r="L341">
        <v>1</v>
      </c>
      <c r="M341">
        <v>12</v>
      </c>
      <c r="N341">
        <v>0</v>
      </c>
      <c r="O341" t="s">
        <v>70</v>
      </c>
      <c r="P341">
        <v>38200</v>
      </c>
      <c r="Q341">
        <v>8.6999999999999993</v>
      </c>
      <c r="R341">
        <v>3.9</v>
      </c>
      <c r="S341">
        <v>0.9</v>
      </c>
      <c r="T341">
        <v>0</v>
      </c>
      <c r="U341">
        <v>3.7</v>
      </c>
      <c r="V341">
        <v>4.0999999999999996</v>
      </c>
      <c r="W341">
        <v>3.9</v>
      </c>
      <c r="X341" t="s">
        <v>89</v>
      </c>
      <c r="Y341">
        <v>0</v>
      </c>
      <c r="Z341">
        <v>1</v>
      </c>
      <c r="AA341">
        <v>2.2000000000000002</v>
      </c>
      <c r="AB341">
        <v>0</v>
      </c>
      <c r="AC341" t="s">
        <v>46</v>
      </c>
      <c r="AE341">
        <v>0</v>
      </c>
      <c r="AF341">
        <v>0</v>
      </c>
      <c r="AG341" t="s">
        <v>47</v>
      </c>
      <c r="AH341" t="s">
        <v>83</v>
      </c>
      <c r="AI341" t="s">
        <v>64</v>
      </c>
      <c r="AJ341">
        <v>3.9</v>
      </c>
      <c r="AK341" s="1" t="s">
        <v>84</v>
      </c>
      <c r="AL341">
        <v>0</v>
      </c>
    </row>
    <row r="342" spans="1:38" x14ac:dyDescent="0.35">
      <c r="A342" t="s">
        <v>524</v>
      </c>
      <c r="B342" t="s">
        <v>73</v>
      </c>
      <c r="C342" t="s">
        <v>113</v>
      </c>
      <c r="D342">
        <v>1.6</v>
      </c>
      <c r="E342" t="s">
        <v>67</v>
      </c>
      <c r="F342">
        <v>21</v>
      </c>
      <c r="G342" t="s">
        <v>42</v>
      </c>
      <c r="H342" t="s">
        <v>43</v>
      </c>
      <c r="I342">
        <v>6</v>
      </c>
      <c r="J342">
        <v>4.0999999999999996</v>
      </c>
      <c r="K342">
        <v>11</v>
      </c>
      <c r="L342">
        <v>0</v>
      </c>
      <c r="M342">
        <v>12</v>
      </c>
      <c r="N342">
        <v>0</v>
      </c>
      <c r="O342" t="s">
        <v>70</v>
      </c>
      <c r="P342">
        <v>41300</v>
      </c>
      <c r="Q342">
        <v>9.6</v>
      </c>
      <c r="R342">
        <v>2.9</v>
      </c>
      <c r="S342">
        <v>3.8</v>
      </c>
      <c r="T342">
        <v>0</v>
      </c>
      <c r="U342">
        <v>2</v>
      </c>
      <c r="V342">
        <v>3.1</v>
      </c>
      <c r="W342">
        <v>3.5</v>
      </c>
      <c r="X342" t="s">
        <v>45</v>
      </c>
      <c r="Y342">
        <v>0</v>
      </c>
      <c r="Z342">
        <v>1</v>
      </c>
      <c r="AA342">
        <v>0.3</v>
      </c>
      <c r="AB342">
        <v>1</v>
      </c>
      <c r="AC342" t="s">
        <v>46</v>
      </c>
      <c r="AE342">
        <v>0</v>
      </c>
      <c r="AF342">
        <v>0</v>
      </c>
      <c r="AG342" t="s">
        <v>47</v>
      </c>
      <c r="AH342" t="s">
        <v>48</v>
      </c>
      <c r="AI342" t="s">
        <v>64</v>
      </c>
      <c r="AJ342" s="1" t="s">
        <v>182</v>
      </c>
      <c r="AK342">
        <v>0.5</v>
      </c>
      <c r="AL342">
        <v>0</v>
      </c>
    </row>
    <row r="343" spans="1:38" x14ac:dyDescent="0.35">
      <c r="A343" t="s">
        <v>525</v>
      </c>
      <c r="B343" t="s">
        <v>60</v>
      </c>
      <c r="C343" t="s">
        <v>61</v>
      </c>
      <c r="D343">
        <v>4.2</v>
      </c>
      <c r="E343" t="s">
        <v>110</v>
      </c>
      <c r="F343">
        <v>26</v>
      </c>
      <c r="G343" t="s">
        <v>68</v>
      </c>
      <c r="H343" t="s">
        <v>55</v>
      </c>
      <c r="I343">
        <v>2</v>
      </c>
      <c r="J343">
        <v>16.8</v>
      </c>
      <c r="K343">
        <v>9</v>
      </c>
      <c r="L343">
        <v>2</v>
      </c>
      <c r="M343">
        <v>12</v>
      </c>
      <c r="N343">
        <v>0</v>
      </c>
      <c r="O343" t="s">
        <v>44</v>
      </c>
      <c r="P343">
        <v>58200</v>
      </c>
      <c r="Q343">
        <v>1.7</v>
      </c>
      <c r="R343">
        <v>3.3</v>
      </c>
      <c r="S343">
        <v>1.4</v>
      </c>
      <c r="T343">
        <v>0</v>
      </c>
      <c r="U343">
        <v>3.2</v>
      </c>
      <c r="V343">
        <v>3.3</v>
      </c>
      <c r="W343">
        <v>4.3</v>
      </c>
      <c r="X343" t="s">
        <v>45</v>
      </c>
      <c r="Y343">
        <v>1</v>
      </c>
      <c r="Z343">
        <v>1</v>
      </c>
      <c r="AA343">
        <v>0.5</v>
      </c>
      <c r="AB343">
        <v>0</v>
      </c>
      <c r="AC343" t="s">
        <v>46</v>
      </c>
      <c r="AE343">
        <v>0</v>
      </c>
      <c r="AF343">
        <v>0</v>
      </c>
      <c r="AG343" t="s">
        <v>47</v>
      </c>
      <c r="AH343" t="s">
        <v>76</v>
      </c>
      <c r="AI343" t="s">
        <v>49</v>
      </c>
      <c r="AJ343">
        <v>3.6</v>
      </c>
      <c r="AK343" s="1" t="s">
        <v>84</v>
      </c>
      <c r="AL343">
        <v>0</v>
      </c>
    </row>
    <row r="344" spans="1:38" x14ac:dyDescent="0.35">
      <c r="A344" t="s">
        <v>526</v>
      </c>
      <c r="B344" t="s">
        <v>39</v>
      </c>
      <c r="C344" t="s">
        <v>66</v>
      </c>
      <c r="D344">
        <v>3.3</v>
      </c>
      <c r="E344" t="s">
        <v>67</v>
      </c>
      <c r="F344">
        <v>26</v>
      </c>
      <c r="G344" t="s">
        <v>42</v>
      </c>
      <c r="H344" t="s">
        <v>69</v>
      </c>
      <c r="I344">
        <v>1</v>
      </c>
      <c r="J344">
        <v>17.100000000000001</v>
      </c>
      <c r="K344">
        <v>8</v>
      </c>
      <c r="L344">
        <v>2</v>
      </c>
      <c r="M344">
        <v>12</v>
      </c>
      <c r="N344">
        <v>0</v>
      </c>
      <c r="O344" t="s">
        <v>70</v>
      </c>
      <c r="P344">
        <v>40000</v>
      </c>
      <c r="Q344">
        <v>8.1</v>
      </c>
      <c r="R344">
        <v>3</v>
      </c>
      <c r="S344">
        <v>1</v>
      </c>
      <c r="T344">
        <v>0</v>
      </c>
      <c r="U344">
        <v>2.6</v>
      </c>
      <c r="V344">
        <v>3.1</v>
      </c>
      <c r="W344">
        <v>4.5999999999999996</v>
      </c>
      <c r="X344" t="s">
        <v>45</v>
      </c>
      <c r="Y344">
        <v>0</v>
      </c>
      <c r="Z344">
        <v>2</v>
      </c>
      <c r="AA344">
        <v>2.9</v>
      </c>
      <c r="AB344">
        <v>1</v>
      </c>
      <c r="AC344" t="s">
        <v>46</v>
      </c>
      <c r="AE344">
        <v>0</v>
      </c>
      <c r="AF344">
        <v>0</v>
      </c>
      <c r="AG344" t="s">
        <v>47</v>
      </c>
      <c r="AH344" t="s">
        <v>76</v>
      </c>
      <c r="AI344" t="s">
        <v>49</v>
      </c>
      <c r="AJ344" s="1" t="s">
        <v>174</v>
      </c>
      <c r="AK344">
        <v>8.3333333333333301E-2</v>
      </c>
      <c r="AL344">
        <v>0</v>
      </c>
    </row>
    <row r="345" spans="1:38" x14ac:dyDescent="0.35">
      <c r="A345" t="s">
        <v>527</v>
      </c>
      <c r="B345" t="s">
        <v>117</v>
      </c>
      <c r="C345" t="s">
        <v>189</v>
      </c>
      <c r="D345">
        <v>3.2</v>
      </c>
      <c r="E345" t="s">
        <v>81</v>
      </c>
      <c r="F345">
        <v>23</v>
      </c>
      <c r="G345" t="s">
        <v>68</v>
      </c>
      <c r="H345" t="s">
        <v>43</v>
      </c>
      <c r="I345">
        <v>2</v>
      </c>
      <c r="J345">
        <v>29.1</v>
      </c>
      <c r="K345">
        <v>13</v>
      </c>
      <c r="L345">
        <v>1</v>
      </c>
      <c r="M345">
        <v>12</v>
      </c>
      <c r="N345">
        <v>0</v>
      </c>
      <c r="O345" t="s">
        <v>82</v>
      </c>
      <c r="P345">
        <v>21000</v>
      </c>
      <c r="Q345">
        <v>11.3</v>
      </c>
      <c r="R345">
        <v>2.7</v>
      </c>
      <c r="S345">
        <v>0.6</v>
      </c>
      <c r="T345">
        <v>0</v>
      </c>
      <c r="U345">
        <v>3.4</v>
      </c>
      <c r="V345">
        <v>3.6</v>
      </c>
      <c r="W345">
        <v>3.8</v>
      </c>
      <c r="X345" t="s">
        <v>45</v>
      </c>
      <c r="Y345">
        <v>0</v>
      </c>
      <c r="Z345">
        <v>1</v>
      </c>
      <c r="AA345">
        <v>0</v>
      </c>
      <c r="AB345">
        <v>1</v>
      </c>
      <c r="AC345" t="s">
        <v>46</v>
      </c>
      <c r="AE345">
        <v>0</v>
      </c>
      <c r="AF345">
        <v>0</v>
      </c>
      <c r="AG345" t="s">
        <v>47</v>
      </c>
      <c r="AH345" t="s">
        <v>76</v>
      </c>
      <c r="AI345" t="s">
        <v>57</v>
      </c>
      <c r="AJ345">
        <v>3.6</v>
      </c>
      <c r="AK345" s="1" t="s">
        <v>84</v>
      </c>
      <c r="AL345">
        <v>0</v>
      </c>
    </row>
    <row r="346" spans="1:38" x14ac:dyDescent="0.35">
      <c r="A346" t="s">
        <v>528</v>
      </c>
      <c r="B346" t="s">
        <v>39</v>
      </c>
      <c r="C346" t="s">
        <v>66</v>
      </c>
      <c r="D346">
        <v>2.4</v>
      </c>
      <c r="E346" t="s">
        <v>81</v>
      </c>
      <c r="F346">
        <v>25</v>
      </c>
      <c r="G346" t="s">
        <v>42</v>
      </c>
      <c r="H346" t="s">
        <v>55</v>
      </c>
      <c r="I346">
        <v>3</v>
      </c>
      <c r="J346">
        <v>22.1</v>
      </c>
      <c r="K346">
        <v>6</v>
      </c>
      <c r="L346">
        <v>4</v>
      </c>
      <c r="M346">
        <v>12</v>
      </c>
      <c r="N346">
        <v>0</v>
      </c>
      <c r="O346" t="s">
        <v>82</v>
      </c>
      <c r="P346">
        <v>32200</v>
      </c>
      <c r="Q346">
        <v>12</v>
      </c>
      <c r="R346">
        <v>5</v>
      </c>
      <c r="S346">
        <v>0.9</v>
      </c>
      <c r="T346">
        <v>0</v>
      </c>
      <c r="U346">
        <v>2.5</v>
      </c>
      <c r="V346">
        <v>3.4</v>
      </c>
      <c r="W346">
        <v>4.5</v>
      </c>
      <c r="X346" t="s">
        <v>45</v>
      </c>
      <c r="Y346">
        <v>0</v>
      </c>
      <c r="Z346">
        <v>1</v>
      </c>
      <c r="AB346">
        <v>0</v>
      </c>
      <c r="AC346" t="s">
        <v>46</v>
      </c>
      <c r="AE346">
        <v>1</v>
      </c>
      <c r="AF346">
        <v>0</v>
      </c>
      <c r="AG346" t="s">
        <v>47</v>
      </c>
      <c r="AH346" t="s">
        <v>48</v>
      </c>
      <c r="AI346" t="s">
        <v>57</v>
      </c>
      <c r="AJ346" s="1" t="s">
        <v>77</v>
      </c>
      <c r="AK346">
        <v>0.25</v>
      </c>
      <c r="AL346">
        <v>0</v>
      </c>
    </row>
    <row r="347" spans="1:38" x14ac:dyDescent="0.35">
      <c r="A347" t="s">
        <v>529</v>
      </c>
      <c r="B347" t="s">
        <v>39</v>
      </c>
      <c r="C347" t="s">
        <v>88</v>
      </c>
      <c r="D347">
        <v>4</v>
      </c>
      <c r="E347" t="s">
        <v>81</v>
      </c>
      <c r="F347">
        <v>22</v>
      </c>
      <c r="G347" t="s">
        <v>42</v>
      </c>
      <c r="H347" t="s">
        <v>69</v>
      </c>
      <c r="I347">
        <v>4</v>
      </c>
      <c r="J347">
        <v>21</v>
      </c>
      <c r="K347">
        <v>9</v>
      </c>
      <c r="L347">
        <v>1</v>
      </c>
      <c r="M347">
        <v>12</v>
      </c>
      <c r="N347">
        <v>0</v>
      </c>
      <c r="O347" t="s">
        <v>82</v>
      </c>
      <c r="P347">
        <v>33600</v>
      </c>
      <c r="Q347">
        <v>6.3</v>
      </c>
      <c r="R347">
        <v>2.4</v>
      </c>
      <c r="S347">
        <v>0.7</v>
      </c>
      <c r="T347">
        <v>0</v>
      </c>
      <c r="U347">
        <v>2.2000000000000002</v>
      </c>
      <c r="V347">
        <v>3.5</v>
      </c>
      <c r="W347">
        <v>2.7</v>
      </c>
      <c r="X347" t="s">
        <v>45</v>
      </c>
      <c r="Y347">
        <v>0</v>
      </c>
      <c r="Z347">
        <v>2</v>
      </c>
      <c r="AA347">
        <v>0.2</v>
      </c>
      <c r="AB347">
        <v>0</v>
      </c>
      <c r="AC347" t="s">
        <v>46</v>
      </c>
      <c r="AE347">
        <v>0</v>
      </c>
      <c r="AF347">
        <v>0</v>
      </c>
      <c r="AG347" t="s">
        <v>47</v>
      </c>
      <c r="AH347" t="s">
        <v>76</v>
      </c>
      <c r="AI347" t="s">
        <v>57</v>
      </c>
      <c r="AJ347" s="1" t="s">
        <v>144</v>
      </c>
      <c r="AK347" s="1" t="s">
        <v>115</v>
      </c>
      <c r="AL347">
        <v>0</v>
      </c>
    </row>
    <row r="348" spans="1:38" x14ac:dyDescent="0.35">
      <c r="A348" t="s">
        <v>530</v>
      </c>
      <c r="B348" t="s">
        <v>60</v>
      </c>
      <c r="C348" t="s">
        <v>80</v>
      </c>
      <c r="D348">
        <v>7.5</v>
      </c>
      <c r="E348" t="s">
        <v>81</v>
      </c>
      <c r="F348">
        <v>29</v>
      </c>
      <c r="G348" t="s">
        <v>68</v>
      </c>
      <c r="H348" t="s">
        <v>69</v>
      </c>
      <c r="I348">
        <v>3</v>
      </c>
      <c r="J348">
        <v>9.3000000000000007</v>
      </c>
      <c r="K348">
        <v>9</v>
      </c>
      <c r="L348">
        <v>4</v>
      </c>
      <c r="M348">
        <v>12</v>
      </c>
      <c r="N348">
        <v>0</v>
      </c>
      <c r="O348" t="s">
        <v>82</v>
      </c>
      <c r="P348">
        <v>30900</v>
      </c>
      <c r="Q348">
        <v>9.8000000000000007</v>
      </c>
      <c r="R348">
        <v>1.1000000000000001</v>
      </c>
      <c r="S348">
        <v>2.4</v>
      </c>
      <c r="T348">
        <v>0</v>
      </c>
      <c r="U348">
        <v>1.3</v>
      </c>
      <c r="V348">
        <v>4.7</v>
      </c>
      <c r="W348">
        <v>3.3</v>
      </c>
      <c r="X348" t="s">
        <v>45</v>
      </c>
      <c r="Y348">
        <v>0</v>
      </c>
      <c r="Z348">
        <v>4</v>
      </c>
      <c r="AA348">
        <v>5.6</v>
      </c>
      <c r="AB348">
        <v>1</v>
      </c>
      <c r="AC348" t="s">
        <v>46</v>
      </c>
      <c r="AE348">
        <v>0</v>
      </c>
      <c r="AF348">
        <v>0</v>
      </c>
      <c r="AG348" t="s">
        <v>47</v>
      </c>
      <c r="AH348" t="s">
        <v>83</v>
      </c>
      <c r="AI348" t="s">
        <v>64</v>
      </c>
      <c r="AJ348">
        <v>3.1</v>
      </c>
      <c r="AK348">
        <v>0.25</v>
      </c>
      <c r="AL348">
        <v>0</v>
      </c>
    </row>
    <row r="349" spans="1:38" x14ac:dyDescent="0.35">
      <c r="A349" t="s">
        <v>531</v>
      </c>
      <c r="B349" t="s">
        <v>98</v>
      </c>
      <c r="C349" t="s">
        <v>151</v>
      </c>
      <c r="D349">
        <v>2.6</v>
      </c>
      <c r="E349" t="s">
        <v>110</v>
      </c>
      <c r="F349">
        <v>33</v>
      </c>
      <c r="G349" t="s">
        <v>42</v>
      </c>
      <c r="H349" t="s">
        <v>94</v>
      </c>
      <c r="I349">
        <v>3</v>
      </c>
      <c r="J349">
        <v>8.3000000000000007</v>
      </c>
      <c r="K349">
        <v>11</v>
      </c>
      <c r="L349">
        <v>6</v>
      </c>
      <c r="M349">
        <v>12</v>
      </c>
      <c r="N349">
        <v>0</v>
      </c>
      <c r="O349" t="s">
        <v>44</v>
      </c>
      <c r="P349">
        <v>53900</v>
      </c>
      <c r="Q349">
        <v>12.3</v>
      </c>
      <c r="R349">
        <v>2.5</v>
      </c>
      <c r="S349">
        <v>0.5</v>
      </c>
      <c r="T349">
        <v>0</v>
      </c>
      <c r="U349">
        <v>3.5</v>
      </c>
      <c r="V349">
        <v>1.7</v>
      </c>
      <c r="W349">
        <v>5</v>
      </c>
      <c r="X349" t="s">
        <v>45</v>
      </c>
      <c r="Y349">
        <v>0</v>
      </c>
      <c r="Z349">
        <v>3</v>
      </c>
      <c r="AA349">
        <v>0.8</v>
      </c>
      <c r="AB349">
        <v>0</v>
      </c>
      <c r="AC349" t="s">
        <v>46</v>
      </c>
      <c r="AE349">
        <v>0</v>
      </c>
      <c r="AF349">
        <v>0</v>
      </c>
      <c r="AG349" t="s">
        <v>47</v>
      </c>
      <c r="AH349" t="s">
        <v>48</v>
      </c>
      <c r="AI349" t="s">
        <v>64</v>
      </c>
      <c r="AJ349">
        <v>3.4</v>
      </c>
      <c r="AK349">
        <v>0.25</v>
      </c>
      <c r="AL349">
        <v>0</v>
      </c>
    </row>
    <row r="350" spans="1:38" x14ac:dyDescent="0.35">
      <c r="A350" t="s">
        <v>532</v>
      </c>
      <c r="B350" t="s">
        <v>117</v>
      </c>
      <c r="C350" t="s">
        <v>197</v>
      </c>
      <c r="D350">
        <v>5.7</v>
      </c>
      <c r="E350" t="s">
        <v>81</v>
      </c>
      <c r="F350">
        <v>33</v>
      </c>
      <c r="G350" t="s">
        <v>54</v>
      </c>
      <c r="H350" t="s">
        <v>43</v>
      </c>
      <c r="I350">
        <v>5</v>
      </c>
      <c r="J350">
        <v>16.600000000000001</v>
      </c>
      <c r="K350">
        <v>12</v>
      </c>
      <c r="L350">
        <v>0</v>
      </c>
      <c r="M350">
        <v>12</v>
      </c>
      <c r="N350">
        <v>0</v>
      </c>
      <c r="O350" t="s">
        <v>82</v>
      </c>
      <c r="P350">
        <v>31300</v>
      </c>
      <c r="Q350">
        <v>11.4</v>
      </c>
      <c r="R350">
        <v>3.3</v>
      </c>
      <c r="S350">
        <v>0.4</v>
      </c>
      <c r="T350">
        <v>0</v>
      </c>
      <c r="U350">
        <v>1.2</v>
      </c>
      <c r="V350">
        <v>3.1</v>
      </c>
      <c r="W350">
        <v>3.4</v>
      </c>
      <c r="X350" t="s">
        <v>45</v>
      </c>
      <c r="Y350">
        <v>1</v>
      </c>
      <c r="Z350">
        <v>0</v>
      </c>
      <c r="AB350">
        <v>0</v>
      </c>
      <c r="AC350" t="s">
        <v>46</v>
      </c>
      <c r="AE350">
        <v>1</v>
      </c>
      <c r="AF350">
        <v>0</v>
      </c>
      <c r="AG350" t="s">
        <v>75</v>
      </c>
      <c r="AH350" t="s">
        <v>83</v>
      </c>
      <c r="AI350" t="s">
        <v>49</v>
      </c>
      <c r="AJ350" s="1" t="s">
        <v>533</v>
      </c>
      <c r="AK350" s="1" t="s">
        <v>127</v>
      </c>
      <c r="AL350">
        <v>0</v>
      </c>
    </row>
    <row r="351" spans="1:38" x14ac:dyDescent="0.35">
      <c r="A351" t="s">
        <v>534</v>
      </c>
      <c r="B351" t="s">
        <v>73</v>
      </c>
      <c r="C351" t="s">
        <v>121</v>
      </c>
      <c r="D351">
        <v>6.3</v>
      </c>
      <c r="E351" t="s">
        <v>41</v>
      </c>
      <c r="F351">
        <v>33</v>
      </c>
      <c r="G351" t="s">
        <v>42</v>
      </c>
      <c r="H351" t="s">
        <v>55</v>
      </c>
      <c r="I351">
        <v>2</v>
      </c>
      <c r="J351">
        <v>8.8000000000000007</v>
      </c>
      <c r="K351">
        <v>8</v>
      </c>
      <c r="L351">
        <v>1</v>
      </c>
      <c r="M351">
        <v>12</v>
      </c>
      <c r="N351">
        <v>0</v>
      </c>
      <c r="O351" t="s">
        <v>56</v>
      </c>
      <c r="P351">
        <v>87600</v>
      </c>
      <c r="Q351">
        <v>11.6</v>
      </c>
      <c r="R351">
        <v>2.9</v>
      </c>
      <c r="S351">
        <v>0.6</v>
      </c>
      <c r="T351">
        <v>0</v>
      </c>
      <c r="U351">
        <v>3</v>
      </c>
      <c r="V351">
        <v>3.4</v>
      </c>
      <c r="W351">
        <v>2.4</v>
      </c>
      <c r="X351" t="s">
        <v>45</v>
      </c>
      <c r="Y351">
        <v>0</v>
      </c>
      <c r="Z351">
        <v>0</v>
      </c>
      <c r="AB351">
        <v>0</v>
      </c>
      <c r="AC351" t="s">
        <v>46</v>
      </c>
      <c r="AE351">
        <v>1</v>
      </c>
      <c r="AF351">
        <v>0</v>
      </c>
      <c r="AG351" t="s">
        <v>75</v>
      </c>
      <c r="AH351" t="s">
        <v>83</v>
      </c>
      <c r="AI351" t="s">
        <v>64</v>
      </c>
      <c r="AJ351" s="1" t="s">
        <v>141</v>
      </c>
      <c r="AK351" s="1" t="s">
        <v>84</v>
      </c>
      <c r="AL351">
        <v>0</v>
      </c>
    </row>
    <row r="352" spans="1:38" x14ac:dyDescent="0.35">
      <c r="A352" t="s">
        <v>535</v>
      </c>
      <c r="B352" t="s">
        <v>39</v>
      </c>
      <c r="C352" t="s">
        <v>66</v>
      </c>
      <c r="D352">
        <v>8.5</v>
      </c>
      <c r="E352" t="s">
        <v>81</v>
      </c>
      <c r="F352">
        <v>30</v>
      </c>
      <c r="G352" t="s">
        <v>234</v>
      </c>
      <c r="H352" t="s">
        <v>63</v>
      </c>
      <c r="I352">
        <v>2</v>
      </c>
      <c r="J352">
        <v>22.7</v>
      </c>
      <c r="K352">
        <v>12</v>
      </c>
      <c r="L352">
        <v>2</v>
      </c>
      <c r="M352">
        <v>12</v>
      </c>
      <c r="N352">
        <v>0</v>
      </c>
      <c r="O352" t="s">
        <v>82</v>
      </c>
      <c r="P352">
        <v>31700</v>
      </c>
      <c r="Q352">
        <v>8.5</v>
      </c>
      <c r="R352">
        <v>4.0999999999999996</v>
      </c>
      <c r="S352">
        <v>0.8</v>
      </c>
      <c r="T352">
        <v>0</v>
      </c>
      <c r="U352">
        <v>3.9</v>
      </c>
      <c r="V352">
        <v>3.2</v>
      </c>
      <c r="W352">
        <v>3.4</v>
      </c>
      <c r="X352" t="s">
        <v>45</v>
      </c>
      <c r="Y352">
        <v>1</v>
      </c>
      <c r="Z352">
        <v>1</v>
      </c>
      <c r="AA352">
        <v>1.1000000000000001</v>
      </c>
      <c r="AB352">
        <v>0</v>
      </c>
      <c r="AC352" t="s">
        <v>46</v>
      </c>
      <c r="AE352">
        <v>0</v>
      </c>
      <c r="AF352">
        <v>0</v>
      </c>
      <c r="AG352" t="s">
        <v>47</v>
      </c>
      <c r="AH352" t="s">
        <v>83</v>
      </c>
      <c r="AI352" t="s">
        <v>57</v>
      </c>
      <c r="AJ352">
        <v>3.5</v>
      </c>
      <c r="AK352" s="1" t="s">
        <v>84</v>
      </c>
      <c r="AL352">
        <v>0</v>
      </c>
    </row>
    <row r="353" spans="1:38" x14ac:dyDescent="0.35">
      <c r="A353" t="s">
        <v>536</v>
      </c>
      <c r="B353" t="s">
        <v>73</v>
      </c>
      <c r="C353" t="s">
        <v>74</v>
      </c>
      <c r="D353">
        <v>1.8</v>
      </c>
      <c r="E353" t="s">
        <v>81</v>
      </c>
      <c r="F353">
        <v>22</v>
      </c>
      <c r="G353" t="s">
        <v>234</v>
      </c>
      <c r="H353" t="s">
        <v>69</v>
      </c>
      <c r="I353">
        <v>3</v>
      </c>
      <c r="J353">
        <v>3.8</v>
      </c>
      <c r="K353">
        <v>5</v>
      </c>
      <c r="L353">
        <v>6</v>
      </c>
      <c r="M353">
        <v>12</v>
      </c>
      <c r="N353">
        <v>0</v>
      </c>
      <c r="O353" t="s">
        <v>82</v>
      </c>
      <c r="P353">
        <v>27400</v>
      </c>
      <c r="Q353">
        <v>7.6</v>
      </c>
      <c r="R353">
        <v>4.0999999999999996</v>
      </c>
      <c r="S353">
        <v>1.3</v>
      </c>
      <c r="T353">
        <v>0</v>
      </c>
      <c r="U353">
        <v>2.7</v>
      </c>
      <c r="V353">
        <v>2.8</v>
      </c>
      <c r="W353">
        <v>3.5</v>
      </c>
      <c r="X353" t="s">
        <v>89</v>
      </c>
      <c r="Y353">
        <v>0</v>
      </c>
      <c r="Z353">
        <v>2</v>
      </c>
      <c r="AA353">
        <v>0.1</v>
      </c>
      <c r="AB353">
        <v>0</v>
      </c>
      <c r="AC353" t="s">
        <v>46</v>
      </c>
      <c r="AE353">
        <v>0</v>
      </c>
      <c r="AF353">
        <v>0</v>
      </c>
      <c r="AG353" t="s">
        <v>47</v>
      </c>
      <c r="AH353" t="s">
        <v>48</v>
      </c>
      <c r="AI353" t="s">
        <v>64</v>
      </c>
      <c r="AJ353">
        <v>3</v>
      </c>
      <c r="AK353">
        <v>0.25</v>
      </c>
      <c r="AL353">
        <v>0</v>
      </c>
    </row>
    <row r="354" spans="1:38" x14ac:dyDescent="0.35">
      <c r="A354" t="s">
        <v>537</v>
      </c>
      <c r="B354" t="s">
        <v>117</v>
      </c>
      <c r="C354" t="s">
        <v>189</v>
      </c>
      <c r="D354">
        <v>3.8</v>
      </c>
      <c r="E354" t="s">
        <v>41</v>
      </c>
      <c r="F354">
        <v>25</v>
      </c>
      <c r="G354" t="s">
        <v>42</v>
      </c>
      <c r="H354" t="s">
        <v>55</v>
      </c>
      <c r="I354">
        <v>6</v>
      </c>
      <c r="J354">
        <v>1.4</v>
      </c>
      <c r="K354">
        <v>10</v>
      </c>
      <c r="L354">
        <v>1</v>
      </c>
      <c r="M354">
        <v>12</v>
      </c>
      <c r="N354">
        <v>0</v>
      </c>
      <c r="O354" t="s">
        <v>56</v>
      </c>
      <c r="P354">
        <v>75200</v>
      </c>
      <c r="Q354">
        <v>9.1</v>
      </c>
      <c r="R354">
        <v>2.9</v>
      </c>
      <c r="S354">
        <v>1.7</v>
      </c>
      <c r="T354">
        <v>0</v>
      </c>
      <c r="U354">
        <v>2.2999999999999998</v>
      </c>
      <c r="V354">
        <v>2.7</v>
      </c>
      <c r="W354">
        <v>3.7</v>
      </c>
      <c r="X354" t="s">
        <v>89</v>
      </c>
      <c r="Y354">
        <v>0</v>
      </c>
      <c r="Z354">
        <v>0</v>
      </c>
      <c r="AB354">
        <v>1</v>
      </c>
      <c r="AC354" t="s">
        <v>46</v>
      </c>
      <c r="AE354">
        <v>1</v>
      </c>
      <c r="AF354">
        <v>0</v>
      </c>
      <c r="AG354" t="s">
        <v>75</v>
      </c>
      <c r="AH354" t="s">
        <v>76</v>
      </c>
      <c r="AI354" t="s">
        <v>64</v>
      </c>
      <c r="AJ354">
        <v>2.9</v>
      </c>
      <c r="AK354">
        <v>0.5</v>
      </c>
      <c r="AL354">
        <v>0</v>
      </c>
    </row>
    <row r="355" spans="1:38" x14ac:dyDescent="0.35">
      <c r="A355" t="s">
        <v>538</v>
      </c>
      <c r="B355" t="s">
        <v>117</v>
      </c>
      <c r="C355" t="s">
        <v>118</v>
      </c>
      <c r="D355">
        <v>2.2000000000000002</v>
      </c>
      <c r="E355" t="s">
        <v>67</v>
      </c>
      <c r="F355">
        <v>28</v>
      </c>
      <c r="G355" t="s">
        <v>68</v>
      </c>
      <c r="H355" t="s">
        <v>94</v>
      </c>
      <c r="I355">
        <v>3</v>
      </c>
      <c r="J355">
        <v>15.2</v>
      </c>
      <c r="K355">
        <v>10</v>
      </c>
      <c r="L355">
        <v>1</v>
      </c>
      <c r="M355">
        <v>12</v>
      </c>
      <c r="N355">
        <v>0</v>
      </c>
      <c r="O355" t="s">
        <v>70</v>
      </c>
      <c r="P355">
        <v>38100</v>
      </c>
      <c r="Q355">
        <v>4.9000000000000004</v>
      </c>
      <c r="R355">
        <v>1.7</v>
      </c>
      <c r="S355">
        <v>3.6</v>
      </c>
      <c r="T355">
        <v>0</v>
      </c>
      <c r="U355">
        <v>3.2</v>
      </c>
      <c r="V355">
        <v>4.5999999999999996</v>
      </c>
      <c r="W355">
        <v>4.4000000000000004</v>
      </c>
      <c r="X355" t="s">
        <v>45</v>
      </c>
      <c r="Y355">
        <v>0</v>
      </c>
      <c r="Z355">
        <v>1</v>
      </c>
      <c r="AA355">
        <v>1.3</v>
      </c>
      <c r="AB355">
        <v>0</v>
      </c>
      <c r="AC355" t="s">
        <v>124</v>
      </c>
      <c r="AD355" s="2">
        <v>45833</v>
      </c>
      <c r="AE355">
        <v>0</v>
      </c>
      <c r="AF355">
        <v>0</v>
      </c>
      <c r="AG355" t="s">
        <v>47</v>
      </c>
      <c r="AH355" t="s">
        <v>48</v>
      </c>
      <c r="AI355" t="s">
        <v>49</v>
      </c>
      <c r="AJ355" s="1" t="s">
        <v>222</v>
      </c>
      <c r="AK355">
        <v>0.25</v>
      </c>
      <c r="AL355">
        <v>1</v>
      </c>
    </row>
    <row r="356" spans="1:38" x14ac:dyDescent="0.35">
      <c r="A356" t="s">
        <v>539</v>
      </c>
      <c r="B356" t="s">
        <v>52</v>
      </c>
      <c r="C356" t="s">
        <v>53</v>
      </c>
      <c r="D356">
        <v>4</v>
      </c>
      <c r="E356" t="s">
        <v>67</v>
      </c>
      <c r="F356">
        <v>33</v>
      </c>
      <c r="G356" t="s">
        <v>42</v>
      </c>
      <c r="H356" t="s">
        <v>55</v>
      </c>
      <c r="I356">
        <v>2</v>
      </c>
      <c r="J356">
        <v>6.1</v>
      </c>
      <c r="K356">
        <v>5</v>
      </c>
      <c r="L356">
        <v>1</v>
      </c>
      <c r="M356">
        <v>12</v>
      </c>
      <c r="N356">
        <v>0</v>
      </c>
      <c r="O356" t="s">
        <v>70</v>
      </c>
      <c r="P356">
        <v>39100</v>
      </c>
      <c r="Q356">
        <v>12.4</v>
      </c>
      <c r="R356">
        <v>2</v>
      </c>
      <c r="S356">
        <v>2.7</v>
      </c>
      <c r="T356">
        <v>0</v>
      </c>
      <c r="U356">
        <v>2.6</v>
      </c>
      <c r="V356">
        <v>3.1</v>
      </c>
      <c r="W356">
        <v>4.9000000000000004</v>
      </c>
      <c r="X356" t="s">
        <v>45</v>
      </c>
      <c r="Y356">
        <v>0</v>
      </c>
      <c r="Z356">
        <v>2</v>
      </c>
      <c r="AA356">
        <v>2.2999999999999998</v>
      </c>
      <c r="AB356">
        <v>0</v>
      </c>
      <c r="AC356" t="s">
        <v>46</v>
      </c>
      <c r="AE356">
        <v>0</v>
      </c>
      <c r="AF356">
        <v>0</v>
      </c>
      <c r="AG356" t="s">
        <v>47</v>
      </c>
      <c r="AH356" t="s">
        <v>76</v>
      </c>
      <c r="AI356" t="s">
        <v>64</v>
      </c>
      <c r="AJ356" s="1" t="s">
        <v>149</v>
      </c>
      <c r="AK356" s="1" t="s">
        <v>84</v>
      </c>
      <c r="AL356">
        <v>0</v>
      </c>
    </row>
    <row r="357" spans="1:38" x14ac:dyDescent="0.35">
      <c r="A357" t="s">
        <v>540</v>
      </c>
      <c r="B357" t="s">
        <v>117</v>
      </c>
      <c r="C357" t="s">
        <v>118</v>
      </c>
      <c r="D357">
        <v>4</v>
      </c>
      <c r="E357" t="s">
        <v>62</v>
      </c>
      <c r="F357">
        <v>34</v>
      </c>
      <c r="G357" t="s">
        <v>42</v>
      </c>
      <c r="H357" t="s">
        <v>94</v>
      </c>
      <c r="I357">
        <v>0</v>
      </c>
      <c r="J357">
        <v>3.3</v>
      </c>
      <c r="K357">
        <v>8</v>
      </c>
      <c r="L357">
        <v>2</v>
      </c>
      <c r="M357">
        <v>12</v>
      </c>
      <c r="N357">
        <v>0</v>
      </c>
      <c r="O357" t="s">
        <v>56</v>
      </c>
      <c r="P357">
        <v>77100</v>
      </c>
      <c r="Q357">
        <v>1.9</v>
      </c>
      <c r="R357">
        <v>3.2</v>
      </c>
      <c r="S357">
        <v>0.9</v>
      </c>
      <c r="T357">
        <v>0</v>
      </c>
      <c r="U357">
        <v>3.5</v>
      </c>
      <c r="V357">
        <v>5</v>
      </c>
      <c r="W357">
        <v>3.4</v>
      </c>
      <c r="X357" t="s">
        <v>45</v>
      </c>
      <c r="Y357">
        <v>0</v>
      </c>
      <c r="Z357">
        <v>1</v>
      </c>
      <c r="AA357">
        <v>1.1000000000000001</v>
      </c>
      <c r="AB357">
        <v>0</v>
      </c>
      <c r="AC357" t="s">
        <v>46</v>
      </c>
      <c r="AE357">
        <v>0</v>
      </c>
      <c r="AF357">
        <v>0</v>
      </c>
      <c r="AG357" t="s">
        <v>47</v>
      </c>
      <c r="AH357" t="s">
        <v>76</v>
      </c>
      <c r="AI357" t="s">
        <v>64</v>
      </c>
      <c r="AJ357" s="1" t="s">
        <v>243</v>
      </c>
      <c r="AK357">
        <v>0</v>
      </c>
      <c r="AL357">
        <v>0</v>
      </c>
    </row>
    <row r="358" spans="1:38" x14ac:dyDescent="0.35">
      <c r="A358" t="s">
        <v>541</v>
      </c>
      <c r="B358" t="s">
        <v>39</v>
      </c>
      <c r="C358" t="s">
        <v>66</v>
      </c>
      <c r="D358">
        <v>1.5</v>
      </c>
      <c r="E358" t="s">
        <v>62</v>
      </c>
      <c r="F358">
        <v>30</v>
      </c>
      <c r="G358" t="s">
        <v>42</v>
      </c>
      <c r="H358" t="s">
        <v>69</v>
      </c>
      <c r="I358">
        <v>2</v>
      </c>
      <c r="J358">
        <v>42.2</v>
      </c>
      <c r="K358">
        <v>5</v>
      </c>
      <c r="L358">
        <v>5</v>
      </c>
      <c r="M358">
        <v>12</v>
      </c>
      <c r="N358">
        <v>0</v>
      </c>
      <c r="O358" t="s">
        <v>56</v>
      </c>
      <c r="P358">
        <v>101000</v>
      </c>
      <c r="Q358">
        <v>6</v>
      </c>
      <c r="R358">
        <v>1.8</v>
      </c>
      <c r="S358">
        <v>0.9</v>
      </c>
      <c r="T358">
        <v>0</v>
      </c>
      <c r="U358">
        <v>2.4</v>
      </c>
      <c r="V358">
        <v>3.7</v>
      </c>
      <c r="W358">
        <v>4.3</v>
      </c>
      <c r="X358" t="s">
        <v>45</v>
      </c>
      <c r="Y358">
        <v>0</v>
      </c>
      <c r="Z358">
        <v>1</v>
      </c>
      <c r="AA358">
        <v>1</v>
      </c>
      <c r="AB358">
        <v>1</v>
      </c>
      <c r="AC358" t="s">
        <v>46</v>
      </c>
      <c r="AE358">
        <v>0</v>
      </c>
      <c r="AF358">
        <v>0</v>
      </c>
      <c r="AG358" t="s">
        <v>47</v>
      </c>
      <c r="AH358" t="s">
        <v>48</v>
      </c>
      <c r="AI358" t="s">
        <v>57</v>
      </c>
      <c r="AJ358" s="1" t="s">
        <v>137</v>
      </c>
      <c r="AK358" s="1" t="s">
        <v>84</v>
      </c>
      <c r="AL358">
        <v>0</v>
      </c>
    </row>
    <row r="359" spans="1:38" x14ac:dyDescent="0.35">
      <c r="A359" t="s">
        <v>542</v>
      </c>
      <c r="B359" t="s">
        <v>39</v>
      </c>
      <c r="C359" t="s">
        <v>88</v>
      </c>
      <c r="D359">
        <v>4.2</v>
      </c>
      <c r="E359" t="s">
        <v>110</v>
      </c>
      <c r="F359">
        <v>27</v>
      </c>
      <c r="G359" t="s">
        <v>42</v>
      </c>
      <c r="H359" t="s">
        <v>63</v>
      </c>
      <c r="I359">
        <v>1</v>
      </c>
      <c r="J359">
        <v>10</v>
      </c>
      <c r="K359">
        <v>8</v>
      </c>
      <c r="L359">
        <v>0</v>
      </c>
      <c r="M359">
        <v>12</v>
      </c>
      <c r="N359">
        <v>0</v>
      </c>
      <c r="O359" t="s">
        <v>44</v>
      </c>
      <c r="P359">
        <v>61300</v>
      </c>
      <c r="Q359">
        <v>7.9</v>
      </c>
      <c r="R359">
        <v>2.9</v>
      </c>
      <c r="S359">
        <v>2.5</v>
      </c>
      <c r="T359">
        <v>0</v>
      </c>
      <c r="U359">
        <v>3.2</v>
      </c>
      <c r="V359">
        <v>2.9</v>
      </c>
      <c r="W359">
        <v>3.9</v>
      </c>
      <c r="X359" t="s">
        <v>45</v>
      </c>
      <c r="Y359">
        <v>0</v>
      </c>
      <c r="Z359">
        <v>2</v>
      </c>
      <c r="AA359">
        <v>3.2</v>
      </c>
      <c r="AB359">
        <v>1</v>
      </c>
      <c r="AC359" t="s">
        <v>46</v>
      </c>
      <c r="AE359">
        <v>0</v>
      </c>
      <c r="AF359">
        <v>0</v>
      </c>
      <c r="AG359" t="s">
        <v>47</v>
      </c>
      <c r="AH359" t="s">
        <v>76</v>
      </c>
      <c r="AI359" t="s">
        <v>64</v>
      </c>
      <c r="AJ359" s="1" t="s">
        <v>90</v>
      </c>
      <c r="AK359">
        <v>8.3333333333333301E-2</v>
      </c>
      <c r="AL359">
        <v>0</v>
      </c>
    </row>
    <row r="360" spans="1:38" x14ac:dyDescent="0.35">
      <c r="A360" t="s">
        <v>543</v>
      </c>
      <c r="B360" t="s">
        <v>52</v>
      </c>
      <c r="C360" t="s">
        <v>93</v>
      </c>
      <c r="D360">
        <v>13.5</v>
      </c>
      <c r="E360" t="s">
        <v>81</v>
      </c>
      <c r="F360">
        <v>40</v>
      </c>
      <c r="G360" t="s">
        <v>42</v>
      </c>
      <c r="H360" t="s">
        <v>63</v>
      </c>
      <c r="I360">
        <v>2</v>
      </c>
      <c r="J360">
        <v>2.5</v>
      </c>
      <c r="K360">
        <v>6</v>
      </c>
      <c r="L360">
        <v>2</v>
      </c>
      <c r="M360">
        <v>12</v>
      </c>
      <c r="N360">
        <v>0</v>
      </c>
      <c r="O360" t="s">
        <v>70</v>
      </c>
      <c r="P360">
        <v>36800</v>
      </c>
      <c r="Q360">
        <v>9.9</v>
      </c>
      <c r="R360">
        <v>4.5</v>
      </c>
      <c r="S360">
        <v>0.8</v>
      </c>
      <c r="T360">
        <v>0</v>
      </c>
      <c r="U360">
        <v>3.3</v>
      </c>
      <c r="V360">
        <v>3.7</v>
      </c>
      <c r="W360">
        <v>3.4</v>
      </c>
      <c r="X360" t="s">
        <v>45</v>
      </c>
      <c r="Y360">
        <v>1</v>
      </c>
      <c r="Z360">
        <v>1</v>
      </c>
      <c r="AA360">
        <v>13.2</v>
      </c>
      <c r="AB360">
        <v>0</v>
      </c>
      <c r="AC360" t="s">
        <v>46</v>
      </c>
      <c r="AE360">
        <v>0</v>
      </c>
      <c r="AF360">
        <v>0</v>
      </c>
      <c r="AG360" t="s">
        <v>47</v>
      </c>
      <c r="AH360" t="s">
        <v>83</v>
      </c>
      <c r="AI360" t="s">
        <v>64</v>
      </c>
      <c r="AJ360" s="1" t="s">
        <v>77</v>
      </c>
      <c r="AK360" s="1" t="s">
        <v>84</v>
      </c>
      <c r="AL360">
        <v>0</v>
      </c>
    </row>
    <row r="361" spans="1:38" x14ac:dyDescent="0.35">
      <c r="A361" t="s">
        <v>544</v>
      </c>
      <c r="B361" t="s">
        <v>117</v>
      </c>
      <c r="C361" t="s">
        <v>197</v>
      </c>
      <c r="D361">
        <v>5.2</v>
      </c>
      <c r="E361" t="s">
        <v>110</v>
      </c>
      <c r="F361">
        <v>30</v>
      </c>
      <c r="G361" t="s">
        <v>68</v>
      </c>
      <c r="H361" t="s">
        <v>55</v>
      </c>
      <c r="I361">
        <v>3</v>
      </c>
      <c r="J361">
        <v>5.5</v>
      </c>
      <c r="K361">
        <v>15</v>
      </c>
      <c r="L361">
        <v>2</v>
      </c>
      <c r="M361">
        <v>12</v>
      </c>
      <c r="N361">
        <v>0</v>
      </c>
      <c r="O361" t="s">
        <v>44</v>
      </c>
      <c r="P361">
        <v>60700</v>
      </c>
      <c r="Q361">
        <v>10.6</v>
      </c>
      <c r="R361">
        <v>3.5</v>
      </c>
      <c r="S361">
        <v>2</v>
      </c>
      <c r="T361">
        <v>0</v>
      </c>
      <c r="U361">
        <v>3.3</v>
      </c>
      <c r="V361">
        <v>3.3</v>
      </c>
      <c r="W361">
        <v>2</v>
      </c>
      <c r="X361" t="s">
        <v>45</v>
      </c>
      <c r="Y361">
        <v>0</v>
      </c>
      <c r="Z361">
        <v>1</v>
      </c>
      <c r="AA361">
        <v>2.2999999999999998</v>
      </c>
      <c r="AB361">
        <v>0</v>
      </c>
      <c r="AC361" t="s">
        <v>46</v>
      </c>
      <c r="AE361">
        <v>0</v>
      </c>
      <c r="AF361">
        <v>0</v>
      </c>
      <c r="AG361" t="s">
        <v>47</v>
      </c>
      <c r="AH361" t="s">
        <v>83</v>
      </c>
      <c r="AI361" t="s">
        <v>64</v>
      </c>
      <c r="AJ361" s="1" t="s">
        <v>182</v>
      </c>
      <c r="AK361">
        <v>0.25</v>
      </c>
      <c r="AL361">
        <v>0</v>
      </c>
    </row>
    <row r="362" spans="1:38" x14ac:dyDescent="0.35">
      <c r="A362" t="s">
        <v>545</v>
      </c>
      <c r="B362" t="s">
        <v>60</v>
      </c>
      <c r="C362" t="s">
        <v>61</v>
      </c>
      <c r="D362">
        <v>1.2</v>
      </c>
      <c r="E362" t="s">
        <v>62</v>
      </c>
      <c r="F362">
        <v>26</v>
      </c>
      <c r="G362" t="s">
        <v>42</v>
      </c>
      <c r="H362" t="s">
        <v>94</v>
      </c>
      <c r="I362">
        <v>2</v>
      </c>
      <c r="J362">
        <v>7.7</v>
      </c>
      <c r="K362">
        <v>7</v>
      </c>
      <c r="L362">
        <v>4</v>
      </c>
      <c r="M362">
        <v>12</v>
      </c>
      <c r="N362">
        <v>0</v>
      </c>
      <c r="O362" t="s">
        <v>56</v>
      </c>
      <c r="P362">
        <v>94400</v>
      </c>
      <c r="Q362">
        <v>14</v>
      </c>
      <c r="R362">
        <v>3.2</v>
      </c>
      <c r="S362">
        <v>0.2</v>
      </c>
      <c r="T362">
        <v>0</v>
      </c>
      <c r="U362">
        <v>4.8</v>
      </c>
      <c r="V362">
        <v>4.4000000000000004</v>
      </c>
      <c r="W362">
        <v>4.2</v>
      </c>
      <c r="X362" t="s">
        <v>45</v>
      </c>
      <c r="Y362">
        <v>0</v>
      </c>
      <c r="Z362">
        <v>0</v>
      </c>
      <c r="AB362">
        <v>1</v>
      </c>
      <c r="AC362" t="s">
        <v>46</v>
      </c>
      <c r="AE362">
        <v>1</v>
      </c>
      <c r="AF362">
        <v>0</v>
      </c>
      <c r="AG362" t="s">
        <v>75</v>
      </c>
      <c r="AH362" t="s">
        <v>48</v>
      </c>
      <c r="AI362" t="s">
        <v>64</v>
      </c>
      <c r="AJ362" s="1" t="s">
        <v>546</v>
      </c>
      <c r="AK362" s="1" t="s">
        <v>84</v>
      </c>
      <c r="AL362">
        <v>0</v>
      </c>
    </row>
    <row r="363" spans="1:38" x14ac:dyDescent="0.35">
      <c r="A363" t="s">
        <v>547</v>
      </c>
      <c r="B363" t="s">
        <v>73</v>
      </c>
      <c r="C363" t="s">
        <v>74</v>
      </c>
      <c r="D363">
        <v>1.7</v>
      </c>
      <c r="E363" t="s">
        <v>62</v>
      </c>
      <c r="F363">
        <v>36</v>
      </c>
      <c r="G363" t="s">
        <v>42</v>
      </c>
      <c r="H363" t="s">
        <v>55</v>
      </c>
      <c r="I363">
        <v>3</v>
      </c>
      <c r="J363">
        <v>15</v>
      </c>
      <c r="K363">
        <v>6</v>
      </c>
      <c r="L363">
        <v>1</v>
      </c>
      <c r="M363">
        <v>12</v>
      </c>
      <c r="N363">
        <v>0</v>
      </c>
      <c r="O363" t="s">
        <v>56</v>
      </c>
      <c r="P363">
        <v>96700</v>
      </c>
      <c r="Q363">
        <v>8.3000000000000007</v>
      </c>
      <c r="R363">
        <v>2.2999999999999998</v>
      </c>
      <c r="S363">
        <v>1.8</v>
      </c>
      <c r="T363">
        <v>0</v>
      </c>
      <c r="U363">
        <v>3.5</v>
      </c>
      <c r="V363">
        <v>2.1</v>
      </c>
      <c r="W363">
        <v>3.9</v>
      </c>
      <c r="X363" t="s">
        <v>89</v>
      </c>
      <c r="Y363">
        <v>0</v>
      </c>
      <c r="Z363">
        <v>2</v>
      </c>
      <c r="AA363">
        <v>1.7</v>
      </c>
      <c r="AB363">
        <v>0</v>
      </c>
      <c r="AC363" t="s">
        <v>46</v>
      </c>
      <c r="AE363">
        <v>0</v>
      </c>
      <c r="AF363">
        <v>0</v>
      </c>
      <c r="AG363" t="s">
        <v>47</v>
      </c>
      <c r="AH363" t="s">
        <v>48</v>
      </c>
      <c r="AI363" t="s">
        <v>49</v>
      </c>
      <c r="AJ363" s="1" t="s">
        <v>100</v>
      </c>
      <c r="AK363">
        <v>0.25</v>
      </c>
      <c r="AL363">
        <v>0</v>
      </c>
    </row>
    <row r="364" spans="1:38" x14ac:dyDescent="0.35">
      <c r="A364" t="s">
        <v>548</v>
      </c>
      <c r="B364" t="s">
        <v>73</v>
      </c>
      <c r="C364" t="s">
        <v>74</v>
      </c>
      <c r="D364">
        <v>3.6</v>
      </c>
      <c r="E364" t="s">
        <v>81</v>
      </c>
      <c r="F364">
        <v>23</v>
      </c>
      <c r="G364" t="s">
        <v>42</v>
      </c>
      <c r="H364" t="s">
        <v>69</v>
      </c>
      <c r="I364">
        <v>3</v>
      </c>
      <c r="J364">
        <v>5.5</v>
      </c>
      <c r="K364">
        <v>9</v>
      </c>
      <c r="L364">
        <v>1</v>
      </c>
      <c r="M364">
        <v>12</v>
      </c>
      <c r="N364">
        <v>0</v>
      </c>
      <c r="O364" t="s">
        <v>82</v>
      </c>
      <c r="P364">
        <v>32800</v>
      </c>
      <c r="Q364">
        <v>5.0999999999999996</v>
      </c>
      <c r="R364">
        <v>3.4</v>
      </c>
      <c r="S364">
        <v>1.6</v>
      </c>
      <c r="T364">
        <v>0</v>
      </c>
      <c r="U364">
        <v>3.8</v>
      </c>
      <c r="V364">
        <v>1.6</v>
      </c>
      <c r="W364">
        <v>3.7</v>
      </c>
      <c r="X364" t="s">
        <v>45</v>
      </c>
      <c r="Y364">
        <v>0</v>
      </c>
      <c r="Z364">
        <v>0</v>
      </c>
      <c r="AB364">
        <v>0</v>
      </c>
      <c r="AC364" t="s">
        <v>46</v>
      </c>
      <c r="AE364">
        <v>1</v>
      </c>
      <c r="AF364">
        <v>0</v>
      </c>
      <c r="AG364" t="s">
        <v>75</v>
      </c>
      <c r="AH364" t="s">
        <v>76</v>
      </c>
      <c r="AI364" t="s">
        <v>64</v>
      </c>
      <c r="AJ364" s="1" t="s">
        <v>104</v>
      </c>
      <c r="AK364">
        <v>0.25</v>
      </c>
      <c r="AL364">
        <v>0</v>
      </c>
    </row>
    <row r="365" spans="1:38" x14ac:dyDescent="0.35">
      <c r="A365" t="s">
        <v>549</v>
      </c>
      <c r="B365" t="s">
        <v>73</v>
      </c>
      <c r="C365" t="s">
        <v>177</v>
      </c>
      <c r="D365">
        <v>1.8</v>
      </c>
      <c r="E365" t="s">
        <v>67</v>
      </c>
      <c r="F365">
        <v>27</v>
      </c>
      <c r="G365" t="s">
        <v>54</v>
      </c>
      <c r="H365" t="s">
        <v>69</v>
      </c>
      <c r="I365">
        <v>6</v>
      </c>
      <c r="J365">
        <v>8.6999999999999993</v>
      </c>
      <c r="K365">
        <v>4</v>
      </c>
      <c r="L365">
        <v>0</v>
      </c>
      <c r="M365">
        <v>12</v>
      </c>
      <c r="N365">
        <v>0</v>
      </c>
      <c r="O365" t="s">
        <v>70</v>
      </c>
      <c r="P365">
        <v>42000</v>
      </c>
      <c r="Q365">
        <v>7.4</v>
      </c>
      <c r="R365">
        <v>3</v>
      </c>
      <c r="S365">
        <v>0.8</v>
      </c>
      <c r="T365">
        <v>0</v>
      </c>
      <c r="U365">
        <v>2.7</v>
      </c>
      <c r="V365">
        <v>3.5</v>
      </c>
      <c r="W365">
        <v>2.6</v>
      </c>
      <c r="X365" t="s">
        <v>45</v>
      </c>
      <c r="Y365">
        <v>0</v>
      </c>
      <c r="Z365">
        <v>3</v>
      </c>
      <c r="AA365">
        <v>1.7</v>
      </c>
      <c r="AB365">
        <v>0</v>
      </c>
      <c r="AC365" t="s">
        <v>46</v>
      </c>
      <c r="AE365">
        <v>0</v>
      </c>
      <c r="AF365">
        <v>0</v>
      </c>
      <c r="AG365" t="s">
        <v>47</v>
      </c>
      <c r="AH365" t="s">
        <v>48</v>
      </c>
      <c r="AI365" t="s">
        <v>64</v>
      </c>
      <c r="AJ365" s="1" t="s">
        <v>141</v>
      </c>
      <c r="AK365">
        <v>0.5</v>
      </c>
      <c r="AL365">
        <v>0</v>
      </c>
    </row>
    <row r="366" spans="1:38" x14ac:dyDescent="0.35">
      <c r="A366" t="s">
        <v>550</v>
      </c>
      <c r="B366" t="s">
        <v>39</v>
      </c>
      <c r="C366" t="s">
        <v>40</v>
      </c>
      <c r="D366">
        <v>8.1999999999999993</v>
      </c>
      <c r="E366" t="s">
        <v>67</v>
      </c>
      <c r="F366">
        <v>39</v>
      </c>
      <c r="G366" t="s">
        <v>42</v>
      </c>
      <c r="H366" t="s">
        <v>55</v>
      </c>
      <c r="I366">
        <v>3</v>
      </c>
      <c r="J366">
        <v>12.4</v>
      </c>
      <c r="K366">
        <v>2</v>
      </c>
      <c r="L366">
        <v>1</v>
      </c>
      <c r="M366">
        <v>12</v>
      </c>
      <c r="N366">
        <v>0</v>
      </c>
      <c r="O366" t="s">
        <v>70</v>
      </c>
      <c r="P366">
        <v>48900</v>
      </c>
      <c r="Q366">
        <v>6.7</v>
      </c>
      <c r="R366">
        <v>3.4</v>
      </c>
      <c r="S366">
        <v>0.3</v>
      </c>
      <c r="T366">
        <v>0</v>
      </c>
      <c r="U366">
        <v>3.5</v>
      </c>
      <c r="V366">
        <v>4</v>
      </c>
      <c r="W366">
        <v>3.4</v>
      </c>
      <c r="X366" t="s">
        <v>45</v>
      </c>
      <c r="Y366">
        <v>1</v>
      </c>
      <c r="Z366">
        <v>0</v>
      </c>
      <c r="AB366">
        <v>2</v>
      </c>
      <c r="AC366" t="s">
        <v>46</v>
      </c>
      <c r="AE366">
        <v>1</v>
      </c>
      <c r="AF366">
        <v>0</v>
      </c>
      <c r="AG366" t="s">
        <v>75</v>
      </c>
      <c r="AH366" t="s">
        <v>83</v>
      </c>
      <c r="AI366" t="s">
        <v>49</v>
      </c>
      <c r="AJ366" s="1" t="s">
        <v>190</v>
      </c>
      <c r="AK366">
        <v>0.25</v>
      </c>
      <c r="AL366">
        <v>0</v>
      </c>
    </row>
    <row r="367" spans="1:38" x14ac:dyDescent="0.35">
      <c r="A367" t="s">
        <v>551</v>
      </c>
      <c r="B367" t="s">
        <v>98</v>
      </c>
      <c r="C367" t="s">
        <v>148</v>
      </c>
      <c r="D367">
        <v>1.1000000000000001</v>
      </c>
      <c r="E367" t="s">
        <v>81</v>
      </c>
      <c r="F367">
        <v>21</v>
      </c>
      <c r="G367" t="s">
        <v>68</v>
      </c>
      <c r="H367" t="s">
        <v>55</v>
      </c>
      <c r="I367">
        <v>2</v>
      </c>
      <c r="J367">
        <v>14.2</v>
      </c>
      <c r="K367">
        <v>11</v>
      </c>
      <c r="L367">
        <v>1</v>
      </c>
      <c r="M367">
        <v>12</v>
      </c>
      <c r="N367">
        <v>0</v>
      </c>
      <c r="O367" t="s">
        <v>82</v>
      </c>
      <c r="P367">
        <v>25700</v>
      </c>
      <c r="Q367">
        <v>10.1</v>
      </c>
      <c r="R367">
        <v>3.9</v>
      </c>
      <c r="S367">
        <v>0.2</v>
      </c>
      <c r="T367">
        <v>0</v>
      </c>
      <c r="U367">
        <v>3.1</v>
      </c>
      <c r="V367">
        <v>3.5</v>
      </c>
      <c r="W367">
        <v>3.5</v>
      </c>
      <c r="X367" t="s">
        <v>45</v>
      </c>
      <c r="Y367">
        <v>0</v>
      </c>
      <c r="Z367">
        <v>1</v>
      </c>
      <c r="AA367">
        <v>0.7</v>
      </c>
      <c r="AB367">
        <v>0</v>
      </c>
      <c r="AC367" t="s">
        <v>46</v>
      </c>
      <c r="AE367">
        <v>0</v>
      </c>
      <c r="AF367">
        <v>0</v>
      </c>
      <c r="AG367" t="s">
        <v>47</v>
      </c>
      <c r="AH367" t="s">
        <v>48</v>
      </c>
      <c r="AI367" t="s">
        <v>49</v>
      </c>
      <c r="AJ367" s="1" t="s">
        <v>86</v>
      </c>
      <c r="AK367" s="1" t="s">
        <v>84</v>
      </c>
      <c r="AL367">
        <v>0</v>
      </c>
    </row>
    <row r="368" spans="1:38" x14ac:dyDescent="0.35">
      <c r="A368" t="s">
        <v>552</v>
      </c>
      <c r="B368" t="s">
        <v>39</v>
      </c>
      <c r="C368" t="s">
        <v>66</v>
      </c>
      <c r="D368">
        <v>5.2</v>
      </c>
      <c r="E368" t="s">
        <v>110</v>
      </c>
      <c r="F368">
        <v>29</v>
      </c>
      <c r="G368" t="s">
        <v>42</v>
      </c>
      <c r="H368" t="s">
        <v>55</v>
      </c>
      <c r="I368">
        <v>3</v>
      </c>
      <c r="J368">
        <v>9.1999999999999993</v>
      </c>
      <c r="K368">
        <v>4</v>
      </c>
      <c r="L368">
        <v>1</v>
      </c>
      <c r="M368">
        <v>12</v>
      </c>
      <c r="N368">
        <v>0</v>
      </c>
      <c r="O368" t="s">
        <v>44</v>
      </c>
      <c r="P368">
        <v>50100</v>
      </c>
      <c r="Q368">
        <v>3.7</v>
      </c>
      <c r="R368">
        <v>4</v>
      </c>
      <c r="S368">
        <v>1.5</v>
      </c>
      <c r="T368">
        <v>0</v>
      </c>
      <c r="U368">
        <v>3.3</v>
      </c>
      <c r="V368">
        <v>3.8</v>
      </c>
      <c r="W368">
        <v>2.5</v>
      </c>
      <c r="X368" t="s">
        <v>89</v>
      </c>
      <c r="Y368">
        <v>0</v>
      </c>
      <c r="Z368">
        <v>1</v>
      </c>
      <c r="AA368">
        <v>4.8</v>
      </c>
      <c r="AB368">
        <v>0</v>
      </c>
      <c r="AC368" t="s">
        <v>46</v>
      </c>
      <c r="AE368">
        <v>0</v>
      </c>
      <c r="AF368">
        <v>0</v>
      </c>
      <c r="AG368" t="s">
        <v>47</v>
      </c>
      <c r="AH368" t="s">
        <v>83</v>
      </c>
      <c r="AI368" t="s">
        <v>64</v>
      </c>
      <c r="AJ368" s="1" t="s">
        <v>162</v>
      </c>
      <c r="AK368">
        <v>0.25</v>
      </c>
      <c r="AL368">
        <v>0</v>
      </c>
    </row>
    <row r="369" spans="1:38" x14ac:dyDescent="0.35">
      <c r="A369" t="s">
        <v>553</v>
      </c>
      <c r="B369" t="s">
        <v>39</v>
      </c>
      <c r="C369" t="s">
        <v>88</v>
      </c>
      <c r="D369">
        <v>0.9</v>
      </c>
      <c r="E369" t="s">
        <v>67</v>
      </c>
      <c r="F369">
        <v>25</v>
      </c>
      <c r="G369" t="s">
        <v>54</v>
      </c>
      <c r="H369" t="s">
        <v>55</v>
      </c>
      <c r="I369">
        <v>2</v>
      </c>
      <c r="J369">
        <v>33.5</v>
      </c>
      <c r="K369">
        <v>16</v>
      </c>
      <c r="L369">
        <v>0</v>
      </c>
      <c r="M369">
        <v>12</v>
      </c>
      <c r="N369">
        <v>0</v>
      </c>
      <c r="O369" t="s">
        <v>70</v>
      </c>
      <c r="P369">
        <v>36500</v>
      </c>
      <c r="Q369">
        <v>7.3</v>
      </c>
      <c r="R369">
        <v>3.3</v>
      </c>
      <c r="S369">
        <v>1.7</v>
      </c>
      <c r="T369">
        <v>0</v>
      </c>
      <c r="U369">
        <v>3.9</v>
      </c>
      <c r="V369">
        <v>3.7</v>
      </c>
      <c r="W369">
        <v>2.4</v>
      </c>
      <c r="X369" t="s">
        <v>45</v>
      </c>
      <c r="Y369">
        <v>0</v>
      </c>
      <c r="Z369">
        <v>1</v>
      </c>
      <c r="AA369">
        <v>0.4</v>
      </c>
      <c r="AB369">
        <v>0</v>
      </c>
      <c r="AC369" t="s">
        <v>46</v>
      </c>
      <c r="AE369">
        <v>0</v>
      </c>
      <c r="AF369">
        <v>0</v>
      </c>
      <c r="AG369" t="s">
        <v>47</v>
      </c>
      <c r="AH369" t="s">
        <v>95</v>
      </c>
      <c r="AI369" t="s">
        <v>57</v>
      </c>
      <c r="AJ369" s="1" t="s">
        <v>90</v>
      </c>
      <c r="AK369" s="1" t="s">
        <v>84</v>
      </c>
      <c r="AL369">
        <v>0</v>
      </c>
    </row>
    <row r="370" spans="1:38" x14ac:dyDescent="0.35">
      <c r="A370" t="s">
        <v>554</v>
      </c>
      <c r="B370" t="s">
        <v>98</v>
      </c>
      <c r="C370" t="s">
        <v>148</v>
      </c>
      <c r="D370">
        <v>3.6</v>
      </c>
      <c r="E370" t="s">
        <v>67</v>
      </c>
      <c r="F370">
        <v>29</v>
      </c>
      <c r="G370" t="s">
        <v>68</v>
      </c>
      <c r="H370" t="s">
        <v>55</v>
      </c>
      <c r="I370">
        <v>4</v>
      </c>
      <c r="J370">
        <v>16.899999999999999</v>
      </c>
      <c r="K370">
        <v>8</v>
      </c>
      <c r="L370">
        <v>3</v>
      </c>
      <c r="M370">
        <v>12</v>
      </c>
      <c r="N370">
        <v>0</v>
      </c>
      <c r="O370" t="s">
        <v>82</v>
      </c>
      <c r="P370">
        <v>34500</v>
      </c>
      <c r="Q370">
        <v>14.5</v>
      </c>
      <c r="R370">
        <v>3.7</v>
      </c>
      <c r="S370">
        <v>0.1</v>
      </c>
      <c r="T370">
        <v>0</v>
      </c>
      <c r="U370">
        <v>2.8</v>
      </c>
      <c r="V370">
        <v>1.9</v>
      </c>
      <c r="W370">
        <v>3.9</v>
      </c>
      <c r="X370" t="s">
        <v>45</v>
      </c>
      <c r="Y370">
        <v>0</v>
      </c>
      <c r="Z370">
        <v>0</v>
      </c>
      <c r="AB370">
        <v>0</v>
      </c>
      <c r="AC370" t="s">
        <v>46</v>
      </c>
      <c r="AE370">
        <v>1</v>
      </c>
      <c r="AF370">
        <v>0</v>
      </c>
      <c r="AG370" t="s">
        <v>75</v>
      </c>
      <c r="AH370" t="s">
        <v>76</v>
      </c>
      <c r="AI370" t="s">
        <v>49</v>
      </c>
      <c r="AJ370" s="1" t="s">
        <v>182</v>
      </c>
      <c r="AK370" s="1" t="s">
        <v>115</v>
      </c>
      <c r="AL370">
        <v>0</v>
      </c>
    </row>
    <row r="371" spans="1:38" x14ac:dyDescent="0.35">
      <c r="A371" t="s">
        <v>555</v>
      </c>
      <c r="B371" t="s">
        <v>60</v>
      </c>
      <c r="C371" t="s">
        <v>80</v>
      </c>
      <c r="D371">
        <v>1.6</v>
      </c>
      <c r="E371" t="s">
        <v>81</v>
      </c>
      <c r="F371">
        <v>21</v>
      </c>
      <c r="G371" t="s">
        <v>234</v>
      </c>
      <c r="H371" t="s">
        <v>63</v>
      </c>
      <c r="I371">
        <v>1</v>
      </c>
      <c r="J371">
        <v>16.2</v>
      </c>
      <c r="K371">
        <v>7</v>
      </c>
      <c r="L371">
        <v>1</v>
      </c>
      <c r="M371">
        <v>12</v>
      </c>
      <c r="N371">
        <v>0</v>
      </c>
      <c r="O371" t="s">
        <v>82</v>
      </c>
      <c r="P371">
        <v>23600</v>
      </c>
      <c r="Q371">
        <v>8.6999999999999993</v>
      </c>
      <c r="R371">
        <v>2.7</v>
      </c>
      <c r="S371">
        <v>0.1</v>
      </c>
      <c r="T371">
        <v>0</v>
      </c>
      <c r="U371">
        <v>2.9</v>
      </c>
      <c r="V371">
        <v>3.5</v>
      </c>
      <c r="W371">
        <v>4</v>
      </c>
      <c r="X371" t="s">
        <v>45</v>
      </c>
      <c r="Y371">
        <v>0</v>
      </c>
      <c r="Z371">
        <v>1</v>
      </c>
      <c r="AA371">
        <v>1.6</v>
      </c>
      <c r="AB371">
        <v>0</v>
      </c>
      <c r="AC371" t="s">
        <v>46</v>
      </c>
      <c r="AE371">
        <v>0</v>
      </c>
      <c r="AF371">
        <v>0</v>
      </c>
      <c r="AG371" t="s">
        <v>47</v>
      </c>
      <c r="AH371" t="s">
        <v>48</v>
      </c>
      <c r="AI371" t="s">
        <v>49</v>
      </c>
      <c r="AJ371" s="1" t="s">
        <v>77</v>
      </c>
      <c r="AK371">
        <v>8.3333333333333301E-2</v>
      </c>
      <c r="AL371">
        <v>0</v>
      </c>
    </row>
    <row r="372" spans="1:38" x14ac:dyDescent="0.35">
      <c r="A372" t="s">
        <v>556</v>
      </c>
      <c r="B372" t="s">
        <v>39</v>
      </c>
      <c r="C372" t="s">
        <v>88</v>
      </c>
      <c r="D372">
        <v>5.9</v>
      </c>
      <c r="E372" t="s">
        <v>67</v>
      </c>
      <c r="F372">
        <v>34</v>
      </c>
      <c r="G372" t="s">
        <v>68</v>
      </c>
      <c r="H372" t="s">
        <v>43</v>
      </c>
      <c r="I372">
        <v>2</v>
      </c>
      <c r="J372">
        <v>15.8</v>
      </c>
      <c r="K372">
        <v>10</v>
      </c>
      <c r="L372">
        <v>4</v>
      </c>
      <c r="M372">
        <v>12</v>
      </c>
      <c r="N372">
        <v>0</v>
      </c>
      <c r="O372" t="s">
        <v>70</v>
      </c>
      <c r="P372">
        <v>42500</v>
      </c>
      <c r="Q372">
        <v>3.8</v>
      </c>
      <c r="R372">
        <v>4.2</v>
      </c>
      <c r="S372">
        <v>0.4</v>
      </c>
      <c r="T372">
        <v>0</v>
      </c>
      <c r="U372">
        <v>3.3</v>
      </c>
      <c r="V372">
        <v>4.4000000000000004</v>
      </c>
      <c r="W372">
        <v>3</v>
      </c>
      <c r="X372" t="s">
        <v>45</v>
      </c>
      <c r="Y372">
        <v>1</v>
      </c>
      <c r="Z372">
        <v>0</v>
      </c>
      <c r="AB372">
        <v>0</v>
      </c>
      <c r="AC372" t="s">
        <v>46</v>
      </c>
      <c r="AE372">
        <v>1</v>
      </c>
      <c r="AF372">
        <v>0</v>
      </c>
      <c r="AG372" t="s">
        <v>75</v>
      </c>
      <c r="AH372" t="s">
        <v>83</v>
      </c>
      <c r="AI372" t="s">
        <v>49</v>
      </c>
      <c r="AJ372" s="1" t="s">
        <v>126</v>
      </c>
      <c r="AK372" s="1" t="s">
        <v>84</v>
      </c>
      <c r="AL372">
        <v>0</v>
      </c>
    </row>
    <row r="373" spans="1:38" x14ac:dyDescent="0.35">
      <c r="A373" t="s">
        <v>557</v>
      </c>
      <c r="B373" t="s">
        <v>98</v>
      </c>
      <c r="C373" t="s">
        <v>151</v>
      </c>
      <c r="D373">
        <v>7.3</v>
      </c>
      <c r="E373" t="s">
        <v>81</v>
      </c>
      <c r="F373">
        <v>36</v>
      </c>
      <c r="G373" t="s">
        <v>42</v>
      </c>
      <c r="H373" t="s">
        <v>94</v>
      </c>
      <c r="I373">
        <v>2</v>
      </c>
      <c r="J373">
        <v>22.8</v>
      </c>
      <c r="K373">
        <v>7</v>
      </c>
      <c r="L373">
        <v>3</v>
      </c>
      <c r="M373">
        <v>12</v>
      </c>
      <c r="N373">
        <v>0</v>
      </c>
      <c r="O373" t="s">
        <v>82</v>
      </c>
      <c r="P373">
        <v>31700</v>
      </c>
      <c r="Q373">
        <v>6.6</v>
      </c>
      <c r="R373">
        <v>2.4</v>
      </c>
      <c r="S373">
        <v>0.4</v>
      </c>
      <c r="T373">
        <v>0</v>
      </c>
      <c r="U373">
        <v>2.8</v>
      </c>
      <c r="V373">
        <v>3.4</v>
      </c>
      <c r="W373">
        <v>3.8</v>
      </c>
      <c r="X373" t="s">
        <v>45</v>
      </c>
      <c r="Y373">
        <v>0</v>
      </c>
      <c r="Z373">
        <v>1</v>
      </c>
      <c r="AA373">
        <v>0.4</v>
      </c>
      <c r="AB373">
        <v>1</v>
      </c>
      <c r="AC373" t="s">
        <v>46</v>
      </c>
      <c r="AE373">
        <v>0</v>
      </c>
      <c r="AF373">
        <v>0</v>
      </c>
      <c r="AG373" t="s">
        <v>47</v>
      </c>
      <c r="AH373" t="s">
        <v>83</v>
      </c>
      <c r="AI373" t="s">
        <v>57</v>
      </c>
      <c r="AJ373" s="1" t="s">
        <v>90</v>
      </c>
      <c r="AK373" s="1" t="s">
        <v>84</v>
      </c>
      <c r="AL373">
        <v>0</v>
      </c>
    </row>
    <row r="374" spans="1:38" x14ac:dyDescent="0.35">
      <c r="A374" t="s">
        <v>558</v>
      </c>
      <c r="B374" t="s">
        <v>98</v>
      </c>
      <c r="C374" t="s">
        <v>148</v>
      </c>
      <c r="D374">
        <v>4.7</v>
      </c>
      <c r="E374" t="s">
        <v>67</v>
      </c>
      <c r="F374">
        <v>33</v>
      </c>
      <c r="G374" t="s">
        <v>42</v>
      </c>
      <c r="H374" t="s">
        <v>94</v>
      </c>
      <c r="I374">
        <v>3</v>
      </c>
      <c r="J374">
        <v>11.7</v>
      </c>
      <c r="K374">
        <v>6</v>
      </c>
      <c r="L374">
        <v>2</v>
      </c>
      <c r="M374">
        <v>12</v>
      </c>
      <c r="N374">
        <v>0</v>
      </c>
      <c r="O374" t="s">
        <v>70</v>
      </c>
      <c r="P374">
        <v>40700</v>
      </c>
      <c r="Q374">
        <v>0</v>
      </c>
      <c r="R374">
        <v>3</v>
      </c>
      <c r="S374">
        <v>0.6</v>
      </c>
      <c r="T374">
        <v>0</v>
      </c>
      <c r="U374">
        <v>3.3</v>
      </c>
      <c r="V374">
        <v>2</v>
      </c>
      <c r="W374">
        <v>3.9</v>
      </c>
      <c r="X374" t="s">
        <v>45</v>
      </c>
      <c r="Y374">
        <v>1</v>
      </c>
      <c r="Z374">
        <v>2</v>
      </c>
      <c r="AA374">
        <v>0.5</v>
      </c>
      <c r="AB374">
        <v>1</v>
      </c>
      <c r="AC374" t="s">
        <v>46</v>
      </c>
      <c r="AE374">
        <v>0</v>
      </c>
      <c r="AF374">
        <v>0</v>
      </c>
      <c r="AG374" t="s">
        <v>47</v>
      </c>
      <c r="AH374" t="s">
        <v>76</v>
      </c>
      <c r="AI374" t="s">
        <v>49</v>
      </c>
      <c r="AJ374" s="1" t="s">
        <v>159</v>
      </c>
      <c r="AK374">
        <v>0.25</v>
      </c>
      <c r="AL374">
        <v>0</v>
      </c>
    </row>
    <row r="375" spans="1:38" x14ac:dyDescent="0.35">
      <c r="A375" t="s">
        <v>559</v>
      </c>
      <c r="B375" t="s">
        <v>98</v>
      </c>
      <c r="C375" t="s">
        <v>99</v>
      </c>
      <c r="D375">
        <v>7.6</v>
      </c>
      <c r="E375" t="s">
        <v>81</v>
      </c>
      <c r="F375">
        <v>30</v>
      </c>
      <c r="G375" t="s">
        <v>42</v>
      </c>
      <c r="H375" t="s">
        <v>69</v>
      </c>
      <c r="I375">
        <v>3</v>
      </c>
      <c r="J375">
        <v>3.8</v>
      </c>
      <c r="K375">
        <v>6</v>
      </c>
      <c r="L375">
        <v>0</v>
      </c>
      <c r="M375">
        <v>12</v>
      </c>
      <c r="N375">
        <v>0</v>
      </c>
      <c r="O375" t="s">
        <v>82</v>
      </c>
      <c r="P375">
        <v>31600</v>
      </c>
      <c r="Q375">
        <v>7.8</v>
      </c>
      <c r="R375">
        <v>4.3</v>
      </c>
      <c r="S375">
        <v>1.5</v>
      </c>
      <c r="T375">
        <v>0</v>
      </c>
      <c r="U375">
        <v>3</v>
      </c>
      <c r="V375">
        <v>2.9</v>
      </c>
      <c r="W375">
        <v>3.5</v>
      </c>
      <c r="X375" t="s">
        <v>45</v>
      </c>
      <c r="Y375">
        <v>0</v>
      </c>
      <c r="Z375">
        <v>0</v>
      </c>
      <c r="AB375">
        <v>2</v>
      </c>
      <c r="AC375" t="s">
        <v>46</v>
      </c>
      <c r="AE375">
        <v>1</v>
      </c>
      <c r="AF375">
        <v>0</v>
      </c>
      <c r="AG375" t="s">
        <v>75</v>
      </c>
      <c r="AH375" t="s">
        <v>83</v>
      </c>
      <c r="AI375" t="s">
        <v>64</v>
      </c>
      <c r="AJ375" s="1" t="s">
        <v>50</v>
      </c>
      <c r="AK375">
        <v>0.25</v>
      </c>
      <c r="AL375">
        <v>0</v>
      </c>
    </row>
    <row r="376" spans="1:38" x14ac:dyDescent="0.35">
      <c r="A376" t="s">
        <v>560</v>
      </c>
      <c r="B376" t="s">
        <v>73</v>
      </c>
      <c r="C376" t="s">
        <v>121</v>
      </c>
      <c r="D376">
        <v>0.3</v>
      </c>
      <c r="E376" t="s">
        <v>62</v>
      </c>
      <c r="F376">
        <v>27</v>
      </c>
      <c r="G376" t="s">
        <v>68</v>
      </c>
      <c r="H376" t="s">
        <v>43</v>
      </c>
      <c r="I376">
        <v>1</v>
      </c>
      <c r="J376">
        <v>13.7</v>
      </c>
      <c r="K376">
        <v>9</v>
      </c>
      <c r="L376">
        <v>2</v>
      </c>
      <c r="M376">
        <v>12</v>
      </c>
      <c r="N376">
        <v>0</v>
      </c>
      <c r="O376" t="s">
        <v>56</v>
      </c>
      <c r="P376">
        <v>78300</v>
      </c>
      <c r="Q376">
        <v>14.6</v>
      </c>
      <c r="R376">
        <v>2.8</v>
      </c>
      <c r="S376">
        <v>2.9</v>
      </c>
      <c r="T376">
        <v>0</v>
      </c>
      <c r="U376">
        <v>4.5999999999999996</v>
      </c>
      <c r="V376">
        <v>3.7</v>
      </c>
      <c r="W376">
        <v>2.8</v>
      </c>
      <c r="X376" t="s">
        <v>45</v>
      </c>
      <c r="Y376">
        <v>0</v>
      </c>
      <c r="Z376">
        <v>1</v>
      </c>
      <c r="AA376">
        <v>0.2</v>
      </c>
      <c r="AB376">
        <v>0</v>
      </c>
      <c r="AC376" t="s">
        <v>46</v>
      </c>
      <c r="AE376">
        <v>0</v>
      </c>
      <c r="AF376">
        <v>0</v>
      </c>
      <c r="AG376" t="s">
        <v>47</v>
      </c>
      <c r="AH376" t="s">
        <v>95</v>
      </c>
      <c r="AI376" t="s">
        <v>49</v>
      </c>
      <c r="AJ376" s="1" t="s">
        <v>561</v>
      </c>
      <c r="AK376">
        <v>8.3333333333333301E-2</v>
      </c>
      <c r="AL376">
        <v>0</v>
      </c>
    </row>
    <row r="377" spans="1:38" x14ac:dyDescent="0.35">
      <c r="A377" t="s">
        <v>562</v>
      </c>
      <c r="B377" t="s">
        <v>73</v>
      </c>
      <c r="C377" t="s">
        <v>74</v>
      </c>
      <c r="D377">
        <v>4.0999999999999996</v>
      </c>
      <c r="E377" t="s">
        <v>81</v>
      </c>
      <c r="F377">
        <v>27</v>
      </c>
      <c r="G377" t="s">
        <v>68</v>
      </c>
      <c r="H377" t="s">
        <v>94</v>
      </c>
      <c r="I377">
        <v>2</v>
      </c>
      <c r="J377">
        <v>15.1</v>
      </c>
      <c r="K377">
        <v>6</v>
      </c>
      <c r="L377">
        <v>2</v>
      </c>
      <c r="M377">
        <v>12</v>
      </c>
      <c r="N377">
        <v>0</v>
      </c>
      <c r="O377" t="s">
        <v>82</v>
      </c>
      <c r="P377">
        <v>27200</v>
      </c>
      <c r="Q377">
        <v>3.3</v>
      </c>
      <c r="R377">
        <v>2</v>
      </c>
      <c r="S377">
        <v>3</v>
      </c>
      <c r="T377">
        <v>0</v>
      </c>
      <c r="U377">
        <v>5</v>
      </c>
      <c r="V377">
        <v>4.8</v>
      </c>
      <c r="W377">
        <v>4.2</v>
      </c>
      <c r="X377" t="s">
        <v>89</v>
      </c>
      <c r="Y377">
        <v>0</v>
      </c>
      <c r="Z377">
        <v>0</v>
      </c>
      <c r="AB377">
        <v>1</v>
      </c>
      <c r="AC377" t="s">
        <v>46</v>
      </c>
      <c r="AE377">
        <v>1</v>
      </c>
      <c r="AF377">
        <v>0</v>
      </c>
      <c r="AG377" t="s">
        <v>75</v>
      </c>
      <c r="AH377" t="s">
        <v>76</v>
      </c>
      <c r="AI377" t="s">
        <v>49</v>
      </c>
      <c r="AJ377" s="1" t="s">
        <v>351</v>
      </c>
      <c r="AK377" s="1" t="s">
        <v>84</v>
      </c>
      <c r="AL377">
        <v>0</v>
      </c>
    </row>
    <row r="378" spans="1:38" x14ac:dyDescent="0.35">
      <c r="A378" t="s">
        <v>563</v>
      </c>
      <c r="B378" t="s">
        <v>60</v>
      </c>
      <c r="C378" t="s">
        <v>107</v>
      </c>
      <c r="D378">
        <v>5.2</v>
      </c>
      <c r="E378" t="s">
        <v>110</v>
      </c>
      <c r="F378">
        <v>30</v>
      </c>
      <c r="G378" t="s">
        <v>68</v>
      </c>
      <c r="H378" t="s">
        <v>69</v>
      </c>
      <c r="I378">
        <v>4</v>
      </c>
      <c r="J378">
        <v>25.4</v>
      </c>
      <c r="K378">
        <v>9</v>
      </c>
      <c r="L378">
        <v>0</v>
      </c>
      <c r="M378">
        <v>12</v>
      </c>
      <c r="N378">
        <v>0</v>
      </c>
      <c r="O378" t="s">
        <v>44</v>
      </c>
      <c r="P378">
        <v>52600</v>
      </c>
      <c r="Q378">
        <v>2.2000000000000002</v>
      </c>
      <c r="R378">
        <v>2.8</v>
      </c>
      <c r="S378">
        <v>2.2000000000000002</v>
      </c>
      <c r="T378">
        <v>0</v>
      </c>
      <c r="U378">
        <v>2.8</v>
      </c>
      <c r="V378">
        <v>1.4</v>
      </c>
      <c r="W378">
        <v>4.0999999999999996</v>
      </c>
      <c r="X378" t="s">
        <v>45</v>
      </c>
      <c r="Y378">
        <v>0</v>
      </c>
      <c r="Z378">
        <v>1</v>
      </c>
      <c r="AA378">
        <v>0.6</v>
      </c>
      <c r="AB378">
        <v>0</v>
      </c>
      <c r="AC378" t="s">
        <v>124</v>
      </c>
      <c r="AD378" s="2">
        <v>45722</v>
      </c>
      <c r="AE378">
        <v>0</v>
      </c>
      <c r="AF378">
        <v>0</v>
      </c>
      <c r="AG378" t="s">
        <v>47</v>
      </c>
      <c r="AH378" t="s">
        <v>83</v>
      </c>
      <c r="AI378" t="s">
        <v>57</v>
      </c>
      <c r="AJ378" s="1" t="s">
        <v>564</v>
      </c>
      <c r="AK378" s="1" t="s">
        <v>115</v>
      </c>
      <c r="AL378">
        <v>1</v>
      </c>
    </row>
    <row r="379" spans="1:38" x14ac:dyDescent="0.35">
      <c r="A379" t="s">
        <v>565</v>
      </c>
      <c r="B379" t="s">
        <v>52</v>
      </c>
      <c r="C379" t="s">
        <v>53</v>
      </c>
      <c r="D379">
        <v>5.7</v>
      </c>
      <c r="E379" t="s">
        <v>81</v>
      </c>
      <c r="F379">
        <v>40</v>
      </c>
      <c r="G379" t="s">
        <v>42</v>
      </c>
      <c r="H379" t="s">
        <v>69</v>
      </c>
      <c r="I379">
        <v>1</v>
      </c>
      <c r="J379">
        <v>3.4</v>
      </c>
      <c r="K379">
        <v>10</v>
      </c>
      <c r="L379">
        <v>1</v>
      </c>
      <c r="M379">
        <v>12</v>
      </c>
      <c r="N379">
        <v>0</v>
      </c>
      <c r="O379" t="s">
        <v>82</v>
      </c>
      <c r="P379">
        <v>29700</v>
      </c>
      <c r="Q379">
        <v>5.4</v>
      </c>
      <c r="R379">
        <v>4.5</v>
      </c>
      <c r="S379">
        <v>2.8</v>
      </c>
      <c r="T379">
        <v>0</v>
      </c>
      <c r="U379">
        <v>3.6</v>
      </c>
      <c r="V379">
        <v>3.5</v>
      </c>
      <c r="W379">
        <v>3.9</v>
      </c>
      <c r="X379" t="s">
        <v>45</v>
      </c>
      <c r="Y379">
        <v>0</v>
      </c>
      <c r="Z379">
        <v>0</v>
      </c>
      <c r="AB379">
        <v>0</v>
      </c>
      <c r="AC379" t="s">
        <v>46</v>
      </c>
      <c r="AE379">
        <v>1</v>
      </c>
      <c r="AF379">
        <v>0</v>
      </c>
      <c r="AG379" t="s">
        <v>75</v>
      </c>
      <c r="AH379" t="s">
        <v>83</v>
      </c>
      <c r="AI379" t="s">
        <v>64</v>
      </c>
      <c r="AJ379" s="1" t="s">
        <v>266</v>
      </c>
      <c r="AK379">
        <v>8.3333333333333301E-2</v>
      </c>
      <c r="AL379">
        <v>0</v>
      </c>
    </row>
    <row r="380" spans="1:38" x14ac:dyDescent="0.35">
      <c r="A380" t="s">
        <v>566</v>
      </c>
      <c r="B380" t="s">
        <v>98</v>
      </c>
      <c r="C380" t="s">
        <v>151</v>
      </c>
      <c r="D380">
        <v>5</v>
      </c>
      <c r="E380" t="s">
        <v>81</v>
      </c>
      <c r="F380">
        <v>31</v>
      </c>
      <c r="G380" t="s">
        <v>54</v>
      </c>
      <c r="H380" t="s">
        <v>63</v>
      </c>
      <c r="I380">
        <v>3</v>
      </c>
      <c r="J380">
        <v>4.3</v>
      </c>
      <c r="K380">
        <v>10</v>
      </c>
      <c r="L380">
        <v>2</v>
      </c>
      <c r="M380">
        <v>12</v>
      </c>
      <c r="N380">
        <v>0</v>
      </c>
      <c r="O380" t="s">
        <v>82</v>
      </c>
      <c r="P380">
        <v>24100</v>
      </c>
      <c r="Q380">
        <v>11.7</v>
      </c>
      <c r="R380">
        <v>1.2</v>
      </c>
      <c r="S380">
        <v>0.5</v>
      </c>
      <c r="T380">
        <v>0</v>
      </c>
      <c r="U380">
        <v>4.2</v>
      </c>
      <c r="V380">
        <v>2.4</v>
      </c>
      <c r="W380">
        <v>2.7</v>
      </c>
      <c r="X380" t="s">
        <v>45</v>
      </c>
      <c r="Y380">
        <v>0</v>
      </c>
      <c r="Z380">
        <v>0</v>
      </c>
      <c r="AB380">
        <v>1</v>
      </c>
      <c r="AC380" t="s">
        <v>46</v>
      </c>
      <c r="AE380">
        <v>1</v>
      </c>
      <c r="AF380">
        <v>0</v>
      </c>
      <c r="AG380" t="s">
        <v>75</v>
      </c>
      <c r="AH380" t="s">
        <v>76</v>
      </c>
      <c r="AI380" t="s">
        <v>64</v>
      </c>
      <c r="AJ380">
        <v>3.1</v>
      </c>
      <c r="AK380">
        <v>0.25</v>
      </c>
      <c r="AL380">
        <v>0</v>
      </c>
    </row>
    <row r="381" spans="1:38" x14ac:dyDescent="0.35">
      <c r="A381" t="s">
        <v>567</v>
      </c>
      <c r="B381" t="s">
        <v>39</v>
      </c>
      <c r="C381" t="s">
        <v>66</v>
      </c>
      <c r="D381">
        <v>5.7</v>
      </c>
      <c r="E381" t="s">
        <v>81</v>
      </c>
      <c r="F381">
        <v>27</v>
      </c>
      <c r="G381" t="s">
        <v>42</v>
      </c>
      <c r="H381" t="s">
        <v>69</v>
      </c>
      <c r="I381">
        <v>1</v>
      </c>
      <c r="J381">
        <v>10.3</v>
      </c>
      <c r="K381">
        <v>9</v>
      </c>
      <c r="L381">
        <v>1</v>
      </c>
      <c r="M381">
        <v>12</v>
      </c>
      <c r="N381">
        <v>0</v>
      </c>
      <c r="O381" t="s">
        <v>82</v>
      </c>
      <c r="P381">
        <v>26300</v>
      </c>
      <c r="Q381">
        <v>14.8</v>
      </c>
      <c r="R381">
        <v>3.3</v>
      </c>
      <c r="S381">
        <v>2.2000000000000002</v>
      </c>
      <c r="T381">
        <v>0</v>
      </c>
      <c r="U381">
        <v>3.1</v>
      </c>
      <c r="V381">
        <v>3.7</v>
      </c>
      <c r="W381">
        <v>2.2999999999999998</v>
      </c>
      <c r="X381" t="s">
        <v>45</v>
      </c>
      <c r="Y381">
        <v>0</v>
      </c>
      <c r="Z381">
        <v>1</v>
      </c>
      <c r="AA381">
        <v>5.6</v>
      </c>
      <c r="AB381">
        <v>0</v>
      </c>
      <c r="AC381" t="s">
        <v>46</v>
      </c>
      <c r="AE381">
        <v>0</v>
      </c>
      <c r="AF381">
        <v>0</v>
      </c>
      <c r="AG381" t="s">
        <v>47</v>
      </c>
      <c r="AH381" t="s">
        <v>83</v>
      </c>
      <c r="AI381" t="s">
        <v>49</v>
      </c>
      <c r="AJ381" s="1" t="s">
        <v>104</v>
      </c>
      <c r="AK381">
        <v>8.3333333333333301E-2</v>
      </c>
      <c r="AL381">
        <v>0</v>
      </c>
    </row>
    <row r="382" spans="1:38" x14ac:dyDescent="0.35">
      <c r="A382" t="s">
        <v>568</v>
      </c>
      <c r="B382" t="s">
        <v>117</v>
      </c>
      <c r="C382" t="s">
        <v>197</v>
      </c>
      <c r="D382">
        <v>4.0999999999999996</v>
      </c>
      <c r="E382" t="s">
        <v>81</v>
      </c>
      <c r="F382">
        <v>31</v>
      </c>
      <c r="G382" t="s">
        <v>42</v>
      </c>
      <c r="H382" t="s">
        <v>43</v>
      </c>
      <c r="I382">
        <v>2</v>
      </c>
      <c r="J382">
        <v>16.100000000000001</v>
      </c>
      <c r="K382">
        <v>8</v>
      </c>
      <c r="L382">
        <v>1</v>
      </c>
      <c r="M382">
        <v>12</v>
      </c>
      <c r="N382">
        <v>0</v>
      </c>
      <c r="O382" t="s">
        <v>82</v>
      </c>
      <c r="P382">
        <v>27400</v>
      </c>
      <c r="Q382">
        <v>9.8000000000000007</v>
      </c>
      <c r="R382">
        <v>2.6</v>
      </c>
      <c r="S382">
        <v>2.4</v>
      </c>
      <c r="T382">
        <v>0</v>
      </c>
      <c r="U382">
        <v>2.4</v>
      </c>
      <c r="V382">
        <v>3.7</v>
      </c>
      <c r="W382">
        <v>3.4</v>
      </c>
      <c r="X382" t="s">
        <v>45</v>
      </c>
      <c r="Y382">
        <v>1</v>
      </c>
      <c r="Z382">
        <v>0</v>
      </c>
      <c r="AB382">
        <v>0</v>
      </c>
      <c r="AC382" t="s">
        <v>46</v>
      </c>
      <c r="AE382">
        <v>1</v>
      </c>
      <c r="AF382">
        <v>0</v>
      </c>
      <c r="AG382" t="s">
        <v>75</v>
      </c>
      <c r="AH382" t="s">
        <v>76</v>
      </c>
      <c r="AI382" t="s">
        <v>49</v>
      </c>
      <c r="AJ382" s="1" t="s">
        <v>100</v>
      </c>
      <c r="AK382" s="1" t="s">
        <v>84</v>
      </c>
      <c r="AL382">
        <v>0</v>
      </c>
    </row>
    <row r="383" spans="1:38" x14ac:dyDescent="0.35">
      <c r="A383" t="s">
        <v>569</v>
      </c>
      <c r="B383" t="s">
        <v>60</v>
      </c>
      <c r="C383" t="s">
        <v>61</v>
      </c>
      <c r="D383">
        <v>1.2</v>
      </c>
      <c r="E383" t="s">
        <v>81</v>
      </c>
      <c r="F383">
        <v>22</v>
      </c>
      <c r="G383" t="s">
        <v>54</v>
      </c>
      <c r="H383" t="s">
        <v>94</v>
      </c>
      <c r="I383">
        <v>5</v>
      </c>
      <c r="J383">
        <v>2.8</v>
      </c>
      <c r="K383">
        <v>10</v>
      </c>
      <c r="L383">
        <v>3</v>
      </c>
      <c r="M383">
        <v>12</v>
      </c>
      <c r="N383">
        <v>0</v>
      </c>
      <c r="O383" t="s">
        <v>82</v>
      </c>
      <c r="P383">
        <v>31600</v>
      </c>
      <c r="Q383">
        <v>2.9</v>
      </c>
      <c r="R383">
        <v>3</v>
      </c>
      <c r="S383">
        <v>0.2</v>
      </c>
      <c r="T383">
        <v>0</v>
      </c>
      <c r="U383">
        <v>4.9000000000000004</v>
      </c>
      <c r="V383">
        <v>3</v>
      </c>
      <c r="W383">
        <v>4.0999999999999996</v>
      </c>
      <c r="X383" t="s">
        <v>45</v>
      </c>
      <c r="Y383">
        <v>0</v>
      </c>
      <c r="Z383">
        <v>1</v>
      </c>
      <c r="AA383">
        <v>0.1</v>
      </c>
      <c r="AB383">
        <v>0</v>
      </c>
      <c r="AC383" t="s">
        <v>46</v>
      </c>
      <c r="AE383">
        <v>0</v>
      </c>
      <c r="AF383">
        <v>0</v>
      </c>
      <c r="AG383" t="s">
        <v>47</v>
      </c>
      <c r="AH383" t="s">
        <v>48</v>
      </c>
      <c r="AI383" t="s">
        <v>64</v>
      </c>
      <c r="AJ383">
        <v>4</v>
      </c>
      <c r="AK383" s="1" t="s">
        <v>127</v>
      </c>
      <c r="AL383">
        <v>0</v>
      </c>
    </row>
    <row r="384" spans="1:38" x14ac:dyDescent="0.35">
      <c r="A384" t="s">
        <v>570</v>
      </c>
      <c r="B384" t="s">
        <v>39</v>
      </c>
      <c r="C384" t="s">
        <v>40</v>
      </c>
      <c r="D384">
        <v>2.4</v>
      </c>
      <c r="E384" t="s">
        <v>67</v>
      </c>
      <c r="F384">
        <v>24</v>
      </c>
      <c r="G384" t="s">
        <v>42</v>
      </c>
      <c r="H384" t="s">
        <v>43</v>
      </c>
      <c r="I384">
        <v>2</v>
      </c>
      <c r="J384">
        <v>3.5</v>
      </c>
      <c r="K384">
        <v>6</v>
      </c>
      <c r="L384">
        <v>4</v>
      </c>
      <c r="M384">
        <v>12</v>
      </c>
      <c r="N384">
        <v>0</v>
      </c>
      <c r="O384" t="s">
        <v>70</v>
      </c>
      <c r="P384">
        <v>39400</v>
      </c>
      <c r="Q384">
        <v>7.9</v>
      </c>
      <c r="R384">
        <v>2.9</v>
      </c>
      <c r="S384">
        <v>3.6</v>
      </c>
      <c r="T384">
        <v>0</v>
      </c>
      <c r="U384">
        <v>3.9</v>
      </c>
      <c r="V384">
        <v>3.8</v>
      </c>
      <c r="W384">
        <v>4.2</v>
      </c>
      <c r="X384" t="s">
        <v>45</v>
      </c>
      <c r="Y384">
        <v>0</v>
      </c>
      <c r="Z384">
        <v>2</v>
      </c>
      <c r="AA384">
        <v>0.6</v>
      </c>
      <c r="AB384">
        <v>0</v>
      </c>
      <c r="AC384" t="s">
        <v>46</v>
      </c>
      <c r="AE384">
        <v>0</v>
      </c>
      <c r="AF384">
        <v>0</v>
      </c>
      <c r="AG384" t="s">
        <v>47</v>
      </c>
      <c r="AH384" t="s">
        <v>48</v>
      </c>
      <c r="AI384" t="s">
        <v>64</v>
      </c>
      <c r="AJ384" s="1" t="s">
        <v>402</v>
      </c>
      <c r="AK384" s="1" t="s">
        <v>84</v>
      </c>
      <c r="AL384">
        <v>0</v>
      </c>
    </row>
    <row r="385" spans="1:38" x14ac:dyDescent="0.35">
      <c r="A385" t="s">
        <v>571</v>
      </c>
      <c r="B385" t="s">
        <v>52</v>
      </c>
      <c r="C385" t="s">
        <v>93</v>
      </c>
      <c r="D385">
        <v>8.1999999999999993</v>
      </c>
      <c r="E385" t="s">
        <v>110</v>
      </c>
      <c r="F385">
        <v>30</v>
      </c>
      <c r="G385" t="s">
        <v>42</v>
      </c>
      <c r="H385" t="s">
        <v>94</v>
      </c>
      <c r="I385">
        <v>4</v>
      </c>
      <c r="J385">
        <v>19.100000000000001</v>
      </c>
      <c r="K385">
        <v>13</v>
      </c>
      <c r="L385">
        <v>2</v>
      </c>
      <c r="M385">
        <v>12</v>
      </c>
      <c r="N385">
        <v>0</v>
      </c>
      <c r="O385" t="s">
        <v>44</v>
      </c>
      <c r="P385">
        <v>63800</v>
      </c>
      <c r="Q385">
        <v>15.2</v>
      </c>
      <c r="R385">
        <v>4.0999999999999996</v>
      </c>
      <c r="S385">
        <v>2.5</v>
      </c>
      <c r="T385">
        <v>0</v>
      </c>
      <c r="U385">
        <v>3.6</v>
      </c>
      <c r="V385">
        <v>4.2</v>
      </c>
      <c r="W385">
        <v>3.9</v>
      </c>
      <c r="X385" t="s">
        <v>45</v>
      </c>
      <c r="Y385">
        <v>0</v>
      </c>
      <c r="Z385">
        <v>0</v>
      </c>
      <c r="AB385">
        <v>0</v>
      </c>
      <c r="AC385" t="s">
        <v>46</v>
      </c>
      <c r="AE385">
        <v>1</v>
      </c>
      <c r="AF385">
        <v>0</v>
      </c>
      <c r="AG385" t="s">
        <v>75</v>
      </c>
      <c r="AH385" t="s">
        <v>83</v>
      </c>
      <c r="AI385" t="s">
        <v>49</v>
      </c>
      <c r="AJ385" s="1" t="s">
        <v>275</v>
      </c>
      <c r="AK385" s="1" t="s">
        <v>115</v>
      </c>
      <c r="AL385">
        <v>0</v>
      </c>
    </row>
    <row r="386" spans="1:38" x14ac:dyDescent="0.35">
      <c r="A386" t="s">
        <v>572</v>
      </c>
      <c r="B386" t="s">
        <v>98</v>
      </c>
      <c r="C386" t="s">
        <v>148</v>
      </c>
      <c r="D386">
        <v>7.6</v>
      </c>
      <c r="E386" t="s">
        <v>81</v>
      </c>
      <c r="F386">
        <v>32</v>
      </c>
      <c r="G386" t="s">
        <v>68</v>
      </c>
      <c r="H386" t="s">
        <v>55</v>
      </c>
      <c r="I386">
        <v>3</v>
      </c>
      <c r="J386">
        <v>2.9</v>
      </c>
      <c r="K386">
        <v>10</v>
      </c>
      <c r="L386">
        <v>3</v>
      </c>
      <c r="M386">
        <v>12</v>
      </c>
      <c r="N386">
        <v>0</v>
      </c>
      <c r="O386" t="s">
        <v>82</v>
      </c>
      <c r="P386">
        <v>29900</v>
      </c>
      <c r="Q386">
        <v>6.8</v>
      </c>
      <c r="R386">
        <v>3.2</v>
      </c>
      <c r="S386">
        <v>0.7</v>
      </c>
      <c r="T386">
        <v>0</v>
      </c>
      <c r="U386">
        <v>4.5999999999999996</v>
      </c>
      <c r="V386">
        <v>3.1</v>
      </c>
      <c r="W386">
        <v>3</v>
      </c>
      <c r="X386" t="s">
        <v>45</v>
      </c>
      <c r="Y386">
        <v>0</v>
      </c>
      <c r="Z386">
        <v>0</v>
      </c>
      <c r="AB386">
        <v>1</v>
      </c>
      <c r="AC386" t="s">
        <v>46</v>
      </c>
      <c r="AE386">
        <v>1</v>
      </c>
      <c r="AF386">
        <v>0</v>
      </c>
      <c r="AG386" t="s">
        <v>75</v>
      </c>
      <c r="AH386" t="s">
        <v>83</v>
      </c>
      <c r="AI386" t="s">
        <v>64</v>
      </c>
      <c r="AJ386" s="1" t="s">
        <v>126</v>
      </c>
      <c r="AK386">
        <v>0.25</v>
      </c>
      <c r="AL386">
        <v>0</v>
      </c>
    </row>
    <row r="387" spans="1:38" x14ac:dyDescent="0.35">
      <c r="A387" t="s">
        <v>573</v>
      </c>
      <c r="B387" t="s">
        <v>60</v>
      </c>
      <c r="C387" t="s">
        <v>107</v>
      </c>
      <c r="D387">
        <v>5.0999999999999996</v>
      </c>
      <c r="E387" t="s">
        <v>67</v>
      </c>
      <c r="F387">
        <v>35</v>
      </c>
      <c r="G387" t="s">
        <v>68</v>
      </c>
      <c r="H387" t="s">
        <v>55</v>
      </c>
      <c r="I387">
        <v>1</v>
      </c>
      <c r="J387">
        <v>4.4000000000000004</v>
      </c>
      <c r="K387">
        <v>7</v>
      </c>
      <c r="L387">
        <v>2</v>
      </c>
      <c r="M387">
        <v>12</v>
      </c>
      <c r="N387">
        <v>0</v>
      </c>
      <c r="O387" t="s">
        <v>70</v>
      </c>
      <c r="P387">
        <v>39800</v>
      </c>
      <c r="Q387">
        <v>8.6</v>
      </c>
      <c r="R387">
        <v>4.0999999999999996</v>
      </c>
      <c r="S387">
        <v>0.1</v>
      </c>
      <c r="T387">
        <v>0</v>
      </c>
      <c r="U387">
        <v>4</v>
      </c>
      <c r="V387">
        <v>2</v>
      </c>
      <c r="W387">
        <v>2.8</v>
      </c>
      <c r="X387" t="s">
        <v>45</v>
      </c>
      <c r="Y387">
        <v>0</v>
      </c>
      <c r="Z387">
        <v>0</v>
      </c>
      <c r="AB387">
        <v>1</v>
      </c>
      <c r="AC387" t="s">
        <v>46</v>
      </c>
      <c r="AE387">
        <v>1</v>
      </c>
      <c r="AF387">
        <v>0</v>
      </c>
      <c r="AG387" t="s">
        <v>75</v>
      </c>
      <c r="AH387" t="s">
        <v>83</v>
      </c>
      <c r="AI387" t="s">
        <v>64</v>
      </c>
      <c r="AJ387" s="1" t="s">
        <v>141</v>
      </c>
      <c r="AK387">
        <v>8.3333333333333301E-2</v>
      </c>
      <c r="AL387">
        <v>0</v>
      </c>
    </row>
    <row r="388" spans="1:38" x14ac:dyDescent="0.35">
      <c r="A388" t="s">
        <v>574</v>
      </c>
      <c r="B388" t="s">
        <v>39</v>
      </c>
      <c r="C388" t="s">
        <v>40</v>
      </c>
      <c r="D388">
        <v>6</v>
      </c>
      <c r="E388" t="s">
        <v>110</v>
      </c>
      <c r="F388">
        <v>34</v>
      </c>
      <c r="G388" t="s">
        <v>68</v>
      </c>
      <c r="H388" t="s">
        <v>43</v>
      </c>
      <c r="I388">
        <v>1</v>
      </c>
      <c r="J388">
        <v>20</v>
      </c>
      <c r="K388">
        <v>4</v>
      </c>
      <c r="L388">
        <v>3</v>
      </c>
      <c r="M388">
        <v>12</v>
      </c>
      <c r="N388">
        <v>0</v>
      </c>
      <c r="O388" t="s">
        <v>44</v>
      </c>
      <c r="P388">
        <v>58400</v>
      </c>
      <c r="Q388">
        <v>9</v>
      </c>
      <c r="R388">
        <v>4.4000000000000004</v>
      </c>
      <c r="S388">
        <v>1.5</v>
      </c>
      <c r="T388">
        <v>0</v>
      </c>
      <c r="U388">
        <v>3.3</v>
      </c>
      <c r="V388">
        <v>4.5</v>
      </c>
      <c r="W388">
        <v>3.4</v>
      </c>
      <c r="X388" t="s">
        <v>89</v>
      </c>
      <c r="Y388">
        <v>0</v>
      </c>
      <c r="Z388">
        <v>0</v>
      </c>
      <c r="AB388">
        <v>1</v>
      </c>
      <c r="AC388" t="s">
        <v>46</v>
      </c>
      <c r="AE388">
        <v>1</v>
      </c>
      <c r="AF388">
        <v>0</v>
      </c>
      <c r="AG388" t="s">
        <v>75</v>
      </c>
      <c r="AH388" t="s">
        <v>83</v>
      </c>
      <c r="AI388" t="s">
        <v>49</v>
      </c>
      <c r="AJ388" s="1" t="s">
        <v>114</v>
      </c>
      <c r="AK388">
        <v>8.3333333333333301E-2</v>
      </c>
      <c r="AL388">
        <v>0</v>
      </c>
    </row>
    <row r="389" spans="1:38" x14ac:dyDescent="0.35">
      <c r="A389" t="s">
        <v>575</v>
      </c>
      <c r="B389" t="s">
        <v>60</v>
      </c>
      <c r="C389" t="s">
        <v>107</v>
      </c>
      <c r="D389">
        <v>7.1</v>
      </c>
      <c r="E389" t="s">
        <v>67</v>
      </c>
      <c r="F389">
        <v>35</v>
      </c>
      <c r="G389" t="s">
        <v>68</v>
      </c>
      <c r="H389" t="s">
        <v>55</v>
      </c>
      <c r="I389">
        <v>2</v>
      </c>
      <c r="J389">
        <v>16</v>
      </c>
      <c r="K389">
        <v>9</v>
      </c>
      <c r="L389">
        <v>1</v>
      </c>
      <c r="M389">
        <v>12</v>
      </c>
      <c r="N389">
        <v>0</v>
      </c>
      <c r="O389" t="s">
        <v>70</v>
      </c>
      <c r="P389">
        <v>40000</v>
      </c>
      <c r="Q389">
        <v>1.8</v>
      </c>
      <c r="R389">
        <v>3.2</v>
      </c>
      <c r="S389">
        <v>0.9</v>
      </c>
      <c r="T389">
        <v>0</v>
      </c>
      <c r="U389">
        <v>2.4</v>
      </c>
      <c r="V389">
        <v>3.9</v>
      </c>
      <c r="W389">
        <v>3.4</v>
      </c>
      <c r="X389" t="s">
        <v>45</v>
      </c>
      <c r="Y389">
        <v>0</v>
      </c>
      <c r="Z389">
        <v>0</v>
      </c>
      <c r="AB389">
        <v>0</v>
      </c>
      <c r="AC389" t="s">
        <v>46</v>
      </c>
      <c r="AE389">
        <v>1</v>
      </c>
      <c r="AF389">
        <v>0</v>
      </c>
      <c r="AG389" t="s">
        <v>75</v>
      </c>
      <c r="AH389" t="s">
        <v>83</v>
      </c>
      <c r="AI389" t="s">
        <v>49</v>
      </c>
      <c r="AJ389" s="1" t="s">
        <v>198</v>
      </c>
      <c r="AK389" s="1" t="s">
        <v>84</v>
      </c>
      <c r="AL389">
        <v>0</v>
      </c>
    </row>
    <row r="390" spans="1:38" x14ac:dyDescent="0.35">
      <c r="A390" t="s">
        <v>576</v>
      </c>
      <c r="B390" t="s">
        <v>73</v>
      </c>
      <c r="C390" t="s">
        <v>74</v>
      </c>
      <c r="D390">
        <v>5.0999999999999996</v>
      </c>
      <c r="E390" t="s">
        <v>67</v>
      </c>
      <c r="F390">
        <v>27</v>
      </c>
      <c r="G390" t="s">
        <v>68</v>
      </c>
      <c r="H390" t="s">
        <v>63</v>
      </c>
      <c r="I390">
        <v>4</v>
      </c>
      <c r="J390">
        <v>5.6</v>
      </c>
      <c r="K390">
        <v>8</v>
      </c>
      <c r="L390">
        <v>1</v>
      </c>
      <c r="M390">
        <v>12</v>
      </c>
      <c r="N390">
        <v>0</v>
      </c>
      <c r="O390" t="s">
        <v>70</v>
      </c>
      <c r="P390">
        <v>36800</v>
      </c>
      <c r="Q390">
        <v>12</v>
      </c>
      <c r="R390">
        <v>2.9</v>
      </c>
      <c r="S390">
        <v>0.3</v>
      </c>
      <c r="T390">
        <v>0</v>
      </c>
      <c r="U390">
        <v>2.9</v>
      </c>
      <c r="V390">
        <v>3.7</v>
      </c>
      <c r="W390">
        <v>4.3</v>
      </c>
      <c r="X390" t="s">
        <v>45</v>
      </c>
      <c r="Y390">
        <v>0</v>
      </c>
      <c r="Z390">
        <v>0</v>
      </c>
      <c r="AB390">
        <v>0</v>
      </c>
      <c r="AC390" t="s">
        <v>46</v>
      </c>
      <c r="AE390">
        <v>1</v>
      </c>
      <c r="AF390">
        <v>0</v>
      </c>
      <c r="AG390" t="s">
        <v>75</v>
      </c>
      <c r="AH390" t="s">
        <v>83</v>
      </c>
      <c r="AI390" t="s">
        <v>64</v>
      </c>
      <c r="AJ390" s="1" t="s">
        <v>187</v>
      </c>
      <c r="AK390" s="1" t="s">
        <v>115</v>
      </c>
      <c r="AL390">
        <v>0</v>
      </c>
    </row>
    <row r="391" spans="1:38" x14ac:dyDescent="0.35">
      <c r="A391" t="s">
        <v>577</v>
      </c>
      <c r="B391" t="s">
        <v>60</v>
      </c>
      <c r="C391" t="s">
        <v>107</v>
      </c>
      <c r="D391">
        <v>8.1</v>
      </c>
      <c r="E391" t="s">
        <v>81</v>
      </c>
      <c r="F391">
        <v>32</v>
      </c>
      <c r="G391" t="s">
        <v>54</v>
      </c>
      <c r="H391" t="s">
        <v>55</v>
      </c>
      <c r="I391">
        <v>1</v>
      </c>
      <c r="J391">
        <v>14.6</v>
      </c>
      <c r="K391">
        <v>9</v>
      </c>
      <c r="L391">
        <v>4</v>
      </c>
      <c r="M391">
        <v>12</v>
      </c>
      <c r="N391">
        <v>0</v>
      </c>
      <c r="O391" t="s">
        <v>82</v>
      </c>
      <c r="P391">
        <v>25100</v>
      </c>
      <c r="Q391">
        <v>11.4</v>
      </c>
      <c r="R391">
        <v>3.5</v>
      </c>
      <c r="S391">
        <v>1.3</v>
      </c>
      <c r="T391">
        <v>0</v>
      </c>
      <c r="U391">
        <v>4.4000000000000004</v>
      </c>
      <c r="V391">
        <v>2.6</v>
      </c>
      <c r="W391">
        <v>3</v>
      </c>
      <c r="X391" t="s">
        <v>45</v>
      </c>
      <c r="Y391">
        <v>0</v>
      </c>
      <c r="Z391">
        <v>1</v>
      </c>
      <c r="AA391">
        <v>0.2</v>
      </c>
      <c r="AB391">
        <v>0</v>
      </c>
      <c r="AC391" t="s">
        <v>46</v>
      </c>
      <c r="AE391">
        <v>0</v>
      </c>
      <c r="AF391">
        <v>0</v>
      </c>
      <c r="AG391" t="s">
        <v>47</v>
      </c>
      <c r="AH391" t="s">
        <v>83</v>
      </c>
      <c r="AI391" t="s">
        <v>49</v>
      </c>
      <c r="AJ391" s="1" t="s">
        <v>90</v>
      </c>
      <c r="AK391">
        <v>8.3333333333333301E-2</v>
      </c>
      <c r="AL391">
        <v>0</v>
      </c>
    </row>
    <row r="392" spans="1:38" x14ac:dyDescent="0.35">
      <c r="A392" t="s">
        <v>578</v>
      </c>
      <c r="B392" t="s">
        <v>39</v>
      </c>
      <c r="C392" t="s">
        <v>66</v>
      </c>
      <c r="D392">
        <v>7.9</v>
      </c>
      <c r="E392" t="s">
        <v>67</v>
      </c>
      <c r="F392">
        <v>35</v>
      </c>
      <c r="G392" t="s">
        <v>42</v>
      </c>
      <c r="H392" t="s">
        <v>69</v>
      </c>
      <c r="I392">
        <v>2</v>
      </c>
      <c r="J392">
        <v>12.5</v>
      </c>
      <c r="K392">
        <v>8</v>
      </c>
      <c r="L392">
        <v>2</v>
      </c>
      <c r="M392">
        <v>12</v>
      </c>
      <c r="N392">
        <v>0</v>
      </c>
      <c r="O392" t="s">
        <v>70</v>
      </c>
      <c r="P392">
        <v>38400</v>
      </c>
      <c r="Q392">
        <v>0</v>
      </c>
      <c r="R392">
        <v>3.7</v>
      </c>
      <c r="S392">
        <v>0.8</v>
      </c>
      <c r="T392">
        <v>0</v>
      </c>
      <c r="U392">
        <v>3.9</v>
      </c>
      <c r="V392">
        <v>4.0999999999999996</v>
      </c>
      <c r="W392">
        <v>3.1</v>
      </c>
      <c r="X392" t="s">
        <v>45</v>
      </c>
      <c r="Y392">
        <v>0</v>
      </c>
      <c r="Z392">
        <v>0</v>
      </c>
      <c r="AB392">
        <v>0</v>
      </c>
      <c r="AC392" t="s">
        <v>46</v>
      </c>
      <c r="AE392">
        <v>1</v>
      </c>
      <c r="AF392">
        <v>0</v>
      </c>
      <c r="AG392" t="s">
        <v>75</v>
      </c>
      <c r="AH392" t="s">
        <v>83</v>
      </c>
      <c r="AI392" t="s">
        <v>49</v>
      </c>
      <c r="AJ392" s="1" t="s">
        <v>58</v>
      </c>
      <c r="AK392" s="1" t="s">
        <v>84</v>
      </c>
      <c r="AL392">
        <v>0</v>
      </c>
    </row>
    <row r="393" spans="1:38" x14ac:dyDescent="0.35">
      <c r="A393" t="s">
        <v>579</v>
      </c>
      <c r="B393" t="s">
        <v>73</v>
      </c>
      <c r="C393" t="s">
        <v>177</v>
      </c>
      <c r="D393">
        <v>16.100000000000001</v>
      </c>
      <c r="E393" t="s">
        <v>67</v>
      </c>
      <c r="F393">
        <v>40</v>
      </c>
      <c r="G393" t="s">
        <v>42</v>
      </c>
      <c r="H393" t="s">
        <v>55</v>
      </c>
      <c r="I393">
        <v>2</v>
      </c>
      <c r="J393">
        <v>8.9</v>
      </c>
      <c r="K393">
        <v>7</v>
      </c>
      <c r="L393">
        <v>2</v>
      </c>
      <c r="M393">
        <v>12</v>
      </c>
      <c r="N393">
        <v>0</v>
      </c>
      <c r="O393" t="s">
        <v>44</v>
      </c>
      <c r="P393">
        <v>50700</v>
      </c>
      <c r="Q393">
        <v>2.7</v>
      </c>
      <c r="R393">
        <v>2.2000000000000002</v>
      </c>
      <c r="S393">
        <v>2.5</v>
      </c>
      <c r="T393">
        <v>0</v>
      </c>
      <c r="U393">
        <v>3.1</v>
      </c>
      <c r="V393">
        <v>5</v>
      </c>
      <c r="W393">
        <v>3.4</v>
      </c>
      <c r="X393" t="s">
        <v>45</v>
      </c>
      <c r="Y393">
        <v>1</v>
      </c>
      <c r="Z393">
        <v>0</v>
      </c>
      <c r="AB393">
        <v>0</v>
      </c>
      <c r="AC393" t="s">
        <v>46</v>
      </c>
      <c r="AE393">
        <v>1</v>
      </c>
      <c r="AF393">
        <v>0</v>
      </c>
      <c r="AG393" t="s">
        <v>75</v>
      </c>
      <c r="AH393" t="s">
        <v>83</v>
      </c>
      <c r="AI393" t="s">
        <v>64</v>
      </c>
      <c r="AJ393" s="1" t="s">
        <v>180</v>
      </c>
      <c r="AK393" s="1" t="s">
        <v>84</v>
      </c>
      <c r="AL393">
        <v>0</v>
      </c>
    </row>
    <row r="394" spans="1:38" x14ac:dyDescent="0.35">
      <c r="A394" t="s">
        <v>580</v>
      </c>
      <c r="B394" t="s">
        <v>117</v>
      </c>
      <c r="C394" t="s">
        <v>118</v>
      </c>
      <c r="D394">
        <v>2.5</v>
      </c>
      <c r="E394" t="s">
        <v>62</v>
      </c>
      <c r="F394">
        <v>27</v>
      </c>
      <c r="G394" t="s">
        <v>54</v>
      </c>
      <c r="H394" t="s">
        <v>63</v>
      </c>
      <c r="I394">
        <v>2</v>
      </c>
      <c r="J394">
        <v>7.1</v>
      </c>
      <c r="K394">
        <v>7</v>
      </c>
      <c r="L394">
        <v>3</v>
      </c>
      <c r="M394">
        <v>12</v>
      </c>
      <c r="N394">
        <v>0</v>
      </c>
      <c r="O394" t="s">
        <v>293</v>
      </c>
      <c r="P394">
        <v>110200</v>
      </c>
      <c r="Q394">
        <v>4.0999999999999996</v>
      </c>
      <c r="R394">
        <v>3.4</v>
      </c>
      <c r="S394">
        <v>0.1</v>
      </c>
      <c r="T394">
        <v>0</v>
      </c>
      <c r="U394">
        <v>4.9000000000000004</v>
      </c>
      <c r="V394">
        <v>3.1</v>
      </c>
      <c r="W394">
        <v>4.5999999999999996</v>
      </c>
      <c r="X394" t="s">
        <v>45</v>
      </c>
      <c r="Y394">
        <v>0</v>
      </c>
      <c r="Z394">
        <v>0</v>
      </c>
      <c r="AB394">
        <v>1</v>
      </c>
      <c r="AC394" t="s">
        <v>46</v>
      </c>
      <c r="AE394">
        <v>1</v>
      </c>
      <c r="AF394">
        <v>0</v>
      </c>
      <c r="AG394" t="s">
        <v>75</v>
      </c>
      <c r="AH394" t="s">
        <v>48</v>
      </c>
      <c r="AI394" t="s">
        <v>64</v>
      </c>
      <c r="AJ394">
        <v>4.2</v>
      </c>
      <c r="AK394" s="1" t="s">
        <v>84</v>
      </c>
      <c r="AL394">
        <v>0</v>
      </c>
    </row>
    <row r="395" spans="1:38" x14ac:dyDescent="0.35">
      <c r="A395" t="s">
        <v>581</v>
      </c>
      <c r="B395" t="s">
        <v>39</v>
      </c>
      <c r="C395" t="s">
        <v>88</v>
      </c>
      <c r="D395">
        <v>2.5</v>
      </c>
      <c r="E395" t="s">
        <v>62</v>
      </c>
      <c r="F395">
        <v>30</v>
      </c>
      <c r="G395" t="s">
        <v>42</v>
      </c>
      <c r="H395" t="s">
        <v>43</v>
      </c>
      <c r="I395">
        <v>1</v>
      </c>
      <c r="J395">
        <v>14.2</v>
      </c>
      <c r="K395">
        <v>8</v>
      </c>
      <c r="L395">
        <v>3</v>
      </c>
      <c r="M395">
        <v>12</v>
      </c>
      <c r="N395">
        <v>0</v>
      </c>
      <c r="O395" t="s">
        <v>56</v>
      </c>
      <c r="P395">
        <v>86800</v>
      </c>
      <c r="Q395">
        <v>11</v>
      </c>
      <c r="R395">
        <v>3</v>
      </c>
      <c r="S395">
        <v>2.7</v>
      </c>
      <c r="T395">
        <v>0</v>
      </c>
      <c r="U395">
        <v>3.2</v>
      </c>
      <c r="V395">
        <v>3.3</v>
      </c>
      <c r="W395">
        <v>2.7</v>
      </c>
      <c r="X395" t="s">
        <v>45</v>
      </c>
      <c r="Y395">
        <v>0</v>
      </c>
      <c r="Z395">
        <v>2</v>
      </c>
      <c r="AA395">
        <v>1</v>
      </c>
      <c r="AB395">
        <v>1</v>
      </c>
      <c r="AC395" t="s">
        <v>46</v>
      </c>
      <c r="AE395">
        <v>0</v>
      </c>
      <c r="AF395">
        <v>0</v>
      </c>
      <c r="AG395" t="s">
        <v>47</v>
      </c>
      <c r="AH395" t="s">
        <v>48</v>
      </c>
      <c r="AI395" t="s">
        <v>49</v>
      </c>
      <c r="AJ395" s="1" t="s">
        <v>159</v>
      </c>
      <c r="AK395">
        <v>8.3333333333333301E-2</v>
      </c>
      <c r="AL395">
        <v>0</v>
      </c>
    </row>
    <row r="396" spans="1:38" x14ac:dyDescent="0.35">
      <c r="A396" t="s">
        <v>582</v>
      </c>
      <c r="B396" t="s">
        <v>73</v>
      </c>
      <c r="C396" t="s">
        <v>113</v>
      </c>
      <c r="D396">
        <v>4.8</v>
      </c>
      <c r="E396" t="s">
        <v>62</v>
      </c>
      <c r="F396">
        <v>29</v>
      </c>
      <c r="G396" t="s">
        <v>68</v>
      </c>
      <c r="H396" t="s">
        <v>55</v>
      </c>
      <c r="I396">
        <v>2</v>
      </c>
      <c r="J396">
        <v>3.2</v>
      </c>
      <c r="K396">
        <v>18</v>
      </c>
      <c r="L396">
        <v>2</v>
      </c>
      <c r="M396">
        <v>12</v>
      </c>
      <c r="N396">
        <v>0</v>
      </c>
      <c r="O396" t="s">
        <v>56</v>
      </c>
      <c r="P396">
        <v>78400</v>
      </c>
      <c r="Q396">
        <v>5</v>
      </c>
      <c r="R396">
        <v>2.8</v>
      </c>
      <c r="S396">
        <v>1.2</v>
      </c>
      <c r="T396">
        <v>0</v>
      </c>
      <c r="U396">
        <v>4.2</v>
      </c>
      <c r="V396">
        <v>2.2000000000000002</v>
      </c>
      <c r="W396">
        <v>4.5999999999999996</v>
      </c>
      <c r="X396" t="s">
        <v>45</v>
      </c>
      <c r="Y396">
        <v>0</v>
      </c>
      <c r="Z396">
        <v>1</v>
      </c>
      <c r="AA396">
        <v>1.4</v>
      </c>
      <c r="AB396">
        <v>0</v>
      </c>
      <c r="AC396" t="s">
        <v>124</v>
      </c>
      <c r="AD396" s="2">
        <v>45542</v>
      </c>
      <c r="AE396">
        <v>0</v>
      </c>
      <c r="AF396">
        <v>0</v>
      </c>
      <c r="AG396" t="s">
        <v>47</v>
      </c>
      <c r="AH396" t="s">
        <v>76</v>
      </c>
      <c r="AI396" t="s">
        <v>64</v>
      </c>
      <c r="AJ396" s="1" t="s">
        <v>266</v>
      </c>
      <c r="AK396" s="1" t="s">
        <v>84</v>
      </c>
      <c r="AL396">
        <v>1</v>
      </c>
    </row>
    <row r="397" spans="1:38" x14ac:dyDescent="0.35">
      <c r="A397" t="s">
        <v>583</v>
      </c>
      <c r="B397" t="s">
        <v>52</v>
      </c>
      <c r="C397" t="s">
        <v>93</v>
      </c>
      <c r="D397">
        <v>11.9</v>
      </c>
      <c r="E397" t="s">
        <v>67</v>
      </c>
      <c r="F397">
        <v>39</v>
      </c>
      <c r="G397" t="s">
        <v>68</v>
      </c>
      <c r="H397" t="s">
        <v>55</v>
      </c>
      <c r="I397">
        <v>2</v>
      </c>
      <c r="J397">
        <v>14</v>
      </c>
      <c r="K397">
        <v>9</v>
      </c>
      <c r="L397">
        <v>3</v>
      </c>
      <c r="M397">
        <v>12</v>
      </c>
      <c r="N397">
        <v>0</v>
      </c>
      <c r="O397" t="s">
        <v>70</v>
      </c>
      <c r="P397">
        <v>48500</v>
      </c>
      <c r="Q397">
        <v>9.6</v>
      </c>
      <c r="R397">
        <v>2.6</v>
      </c>
      <c r="S397">
        <v>2.2000000000000002</v>
      </c>
      <c r="T397">
        <v>0</v>
      </c>
      <c r="U397">
        <v>3.5</v>
      </c>
      <c r="V397">
        <v>2.6</v>
      </c>
      <c r="W397">
        <v>2.5</v>
      </c>
      <c r="X397" t="s">
        <v>45</v>
      </c>
      <c r="Y397">
        <v>0</v>
      </c>
      <c r="Z397">
        <v>1</v>
      </c>
      <c r="AA397">
        <v>4.9000000000000004</v>
      </c>
      <c r="AB397">
        <v>1</v>
      </c>
      <c r="AC397" t="s">
        <v>46</v>
      </c>
      <c r="AE397">
        <v>0</v>
      </c>
      <c r="AF397">
        <v>0</v>
      </c>
      <c r="AG397" t="s">
        <v>47</v>
      </c>
      <c r="AH397" t="s">
        <v>83</v>
      </c>
      <c r="AI397" t="s">
        <v>49</v>
      </c>
      <c r="AJ397" s="1" t="s">
        <v>182</v>
      </c>
      <c r="AK397" s="1" t="s">
        <v>84</v>
      </c>
      <c r="AL397">
        <v>0</v>
      </c>
    </row>
    <row r="398" spans="1:38" x14ac:dyDescent="0.35">
      <c r="A398" t="s">
        <v>584</v>
      </c>
      <c r="B398" t="s">
        <v>60</v>
      </c>
      <c r="C398" t="s">
        <v>107</v>
      </c>
      <c r="D398">
        <v>8.5</v>
      </c>
      <c r="E398" t="s">
        <v>81</v>
      </c>
      <c r="F398">
        <v>41</v>
      </c>
      <c r="G398" t="s">
        <v>68</v>
      </c>
      <c r="H398" t="s">
        <v>43</v>
      </c>
      <c r="I398">
        <v>2</v>
      </c>
      <c r="J398">
        <v>11.6</v>
      </c>
      <c r="K398">
        <v>8</v>
      </c>
      <c r="L398">
        <v>2</v>
      </c>
      <c r="M398">
        <v>12</v>
      </c>
      <c r="N398">
        <v>0</v>
      </c>
      <c r="O398" t="s">
        <v>82</v>
      </c>
      <c r="P398">
        <v>31000</v>
      </c>
      <c r="Q398">
        <v>7.3</v>
      </c>
      <c r="R398">
        <v>2.6</v>
      </c>
      <c r="S398">
        <v>3.9</v>
      </c>
      <c r="T398">
        <v>0</v>
      </c>
      <c r="U398">
        <v>5</v>
      </c>
      <c r="V398">
        <v>2.2000000000000002</v>
      </c>
      <c r="W398">
        <v>3.1</v>
      </c>
      <c r="X398" t="s">
        <v>45</v>
      </c>
      <c r="Y398">
        <v>0</v>
      </c>
      <c r="Z398">
        <v>1</v>
      </c>
      <c r="AA398">
        <v>3</v>
      </c>
      <c r="AB398">
        <v>1</v>
      </c>
      <c r="AC398" t="s">
        <v>46</v>
      </c>
      <c r="AE398">
        <v>0</v>
      </c>
      <c r="AF398">
        <v>0</v>
      </c>
      <c r="AG398" t="s">
        <v>47</v>
      </c>
      <c r="AH398" t="s">
        <v>83</v>
      </c>
      <c r="AI398" t="s">
        <v>49</v>
      </c>
      <c r="AJ398" s="1" t="s">
        <v>174</v>
      </c>
      <c r="AK398" s="1" t="s">
        <v>84</v>
      </c>
      <c r="AL398">
        <v>0</v>
      </c>
    </row>
    <row r="399" spans="1:38" x14ac:dyDescent="0.35">
      <c r="A399" t="s">
        <v>585</v>
      </c>
      <c r="B399" t="s">
        <v>98</v>
      </c>
      <c r="C399" t="s">
        <v>148</v>
      </c>
      <c r="D399">
        <v>6.5</v>
      </c>
      <c r="E399" t="s">
        <v>67</v>
      </c>
      <c r="F399">
        <v>32</v>
      </c>
      <c r="G399" t="s">
        <v>234</v>
      </c>
      <c r="H399" t="s">
        <v>63</v>
      </c>
      <c r="I399">
        <v>5</v>
      </c>
      <c r="J399">
        <v>12.3</v>
      </c>
      <c r="K399">
        <v>6</v>
      </c>
      <c r="L399">
        <v>2</v>
      </c>
      <c r="M399">
        <v>12</v>
      </c>
      <c r="N399">
        <v>0</v>
      </c>
      <c r="O399" t="s">
        <v>82</v>
      </c>
      <c r="P399">
        <v>34000</v>
      </c>
      <c r="Q399">
        <v>8.3000000000000007</v>
      </c>
      <c r="R399">
        <v>4.3</v>
      </c>
      <c r="S399">
        <v>1.8</v>
      </c>
      <c r="T399">
        <v>0</v>
      </c>
      <c r="U399">
        <v>4</v>
      </c>
      <c r="V399">
        <v>3.3</v>
      </c>
      <c r="W399">
        <v>3.1</v>
      </c>
      <c r="X399" t="s">
        <v>45</v>
      </c>
      <c r="Y399">
        <v>1</v>
      </c>
      <c r="Z399">
        <v>0</v>
      </c>
      <c r="AB399">
        <v>0</v>
      </c>
      <c r="AC399" t="s">
        <v>46</v>
      </c>
      <c r="AE399">
        <v>1</v>
      </c>
      <c r="AF399">
        <v>0</v>
      </c>
      <c r="AG399" t="s">
        <v>75</v>
      </c>
      <c r="AH399" t="s">
        <v>83</v>
      </c>
      <c r="AI399" t="s">
        <v>49</v>
      </c>
      <c r="AJ399" s="1" t="s">
        <v>77</v>
      </c>
      <c r="AK399" s="1" t="s">
        <v>127</v>
      </c>
      <c r="AL399">
        <v>0</v>
      </c>
    </row>
    <row r="400" spans="1:38" x14ac:dyDescent="0.35">
      <c r="A400" t="s">
        <v>586</v>
      </c>
      <c r="B400" t="s">
        <v>52</v>
      </c>
      <c r="C400" t="s">
        <v>53</v>
      </c>
      <c r="D400">
        <v>8.9</v>
      </c>
      <c r="E400" t="s">
        <v>67</v>
      </c>
      <c r="F400">
        <v>40</v>
      </c>
      <c r="G400" t="s">
        <v>68</v>
      </c>
      <c r="H400" t="s">
        <v>63</v>
      </c>
      <c r="I400">
        <v>2</v>
      </c>
      <c r="J400">
        <v>4.2</v>
      </c>
      <c r="K400">
        <v>14</v>
      </c>
      <c r="L400">
        <v>3</v>
      </c>
      <c r="M400">
        <v>12</v>
      </c>
      <c r="N400">
        <v>0</v>
      </c>
      <c r="O400" t="s">
        <v>82</v>
      </c>
      <c r="P400">
        <v>26300</v>
      </c>
      <c r="Q400">
        <v>10</v>
      </c>
      <c r="R400">
        <v>2.9</v>
      </c>
      <c r="S400">
        <v>2.7</v>
      </c>
      <c r="T400">
        <v>0</v>
      </c>
      <c r="U400">
        <v>3.3</v>
      </c>
      <c r="V400">
        <v>2.9</v>
      </c>
      <c r="W400">
        <v>3.3</v>
      </c>
      <c r="X400" t="s">
        <v>45</v>
      </c>
      <c r="Y400">
        <v>0</v>
      </c>
      <c r="Z400">
        <v>1</v>
      </c>
      <c r="AA400">
        <v>5.0999999999999996</v>
      </c>
      <c r="AB400">
        <v>1</v>
      </c>
      <c r="AC400" t="s">
        <v>46</v>
      </c>
      <c r="AE400">
        <v>0</v>
      </c>
      <c r="AF400">
        <v>0</v>
      </c>
      <c r="AG400" t="s">
        <v>47</v>
      </c>
      <c r="AH400" t="s">
        <v>83</v>
      </c>
      <c r="AI400" t="s">
        <v>64</v>
      </c>
      <c r="AJ400" s="1" t="s">
        <v>100</v>
      </c>
      <c r="AK400" s="1" t="s">
        <v>84</v>
      </c>
      <c r="AL400">
        <v>0</v>
      </c>
    </row>
    <row r="401" spans="1:38" x14ac:dyDescent="0.35">
      <c r="A401" t="s">
        <v>587</v>
      </c>
      <c r="B401" t="s">
        <v>52</v>
      </c>
      <c r="C401" t="s">
        <v>153</v>
      </c>
      <c r="D401">
        <v>5.3</v>
      </c>
      <c r="E401" t="s">
        <v>81</v>
      </c>
      <c r="F401">
        <v>34</v>
      </c>
      <c r="G401" t="s">
        <v>42</v>
      </c>
      <c r="H401" t="s">
        <v>55</v>
      </c>
      <c r="I401">
        <v>10</v>
      </c>
      <c r="J401">
        <v>25.8</v>
      </c>
      <c r="K401">
        <v>8</v>
      </c>
      <c r="L401">
        <v>1</v>
      </c>
      <c r="M401">
        <v>12</v>
      </c>
      <c r="N401">
        <v>0</v>
      </c>
      <c r="O401" t="s">
        <v>82</v>
      </c>
      <c r="P401">
        <v>26000</v>
      </c>
      <c r="Q401">
        <v>9.1</v>
      </c>
      <c r="R401">
        <v>4.2</v>
      </c>
      <c r="S401">
        <v>0.2</v>
      </c>
      <c r="T401">
        <v>0</v>
      </c>
      <c r="U401">
        <v>3.1</v>
      </c>
      <c r="V401">
        <v>3.5</v>
      </c>
      <c r="W401">
        <v>3.9</v>
      </c>
      <c r="X401" t="s">
        <v>45</v>
      </c>
      <c r="Y401">
        <v>0</v>
      </c>
      <c r="Z401">
        <v>1</v>
      </c>
      <c r="AA401">
        <v>1.4</v>
      </c>
      <c r="AB401">
        <v>0</v>
      </c>
      <c r="AC401" t="s">
        <v>46</v>
      </c>
      <c r="AE401">
        <v>0</v>
      </c>
      <c r="AF401">
        <v>0</v>
      </c>
      <c r="AG401" t="s">
        <v>47</v>
      </c>
      <c r="AH401" t="s">
        <v>83</v>
      </c>
      <c r="AI401" t="s">
        <v>57</v>
      </c>
      <c r="AJ401">
        <v>3.5</v>
      </c>
      <c r="AK401" s="1" t="s">
        <v>588</v>
      </c>
      <c r="AL401">
        <v>0</v>
      </c>
    </row>
    <row r="402" spans="1:38" x14ac:dyDescent="0.35">
      <c r="A402" t="s">
        <v>589</v>
      </c>
      <c r="B402" t="s">
        <v>98</v>
      </c>
      <c r="C402" t="s">
        <v>148</v>
      </c>
      <c r="D402">
        <v>3</v>
      </c>
      <c r="E402" t="s">
        <v>81</v>
      </c>
      <c r="F402">
        <v>23</v>
      </c>
      <c r="G402" t="s">
        <v>68</v>
      </c>
      <c r="H402" t="s">
        <v>43</v>
      </c>
      <c r="I402">
        <v>2</v>
      </c>
      <c r="J402">
        <v>5.6</v>
      </c>
      <c r="K402">
        <v>11</v>
      </c>
      <c r="L402">
        <v>3</v>
      </c>
      <c r="M402">
        <v>12</v>
      </c>
      <c r="N402">
        <v>0</v>
      </c>
      <c r="O402" t="s">
        <v>82</v>
      </c>
      <c r="P402">
        <v>26800</v>
      </c>
      <c r="Q402">
        <v>7.9</v>
      </c>
      <c r="R402">
        <v>3.3</v>
      </c>
      <c r="S402">
        <v>0.2</v>
      </c>
      <c r="T402">
        <v>0</v>
      </c>
      <c r="U402">
        <v>3.3</v>
      </c>
      <c r="V402">
        <v>2.4</v>
      </c>
      <c r="W402">
        <v>3.5</v>
      </c>
      <c r="X402" t="s">
        <v>45</v>
      </c>
      <c r="Y402">
        <v>0</v>
      </c>
      <c r="Z402">
        <v>0</v>
      </c>
      <c r="AB402">
        <v>0</v>
      </c>
      <c r="AC402" t="s">
        <v>46</v>
      </c>
      <c r="AE402">
        <v>1</v>
      </c>
      <c r="AF402">
        <v>0</v>
      </c>
      <c r="AG402" t="s">
        <v>75</v>
      </c>
      <c r="AH402" t="s">
        <v>48</v>
      </c>
      <c r="AI402" t="s">
        <v>64</v>
      </c>
      <c r="AJ402" s="1" t="s">
        <v>159</v>
      </c>
      <c r="AK402" s="1" t="s">
        <v>84</v>
      </c>
      <c r="AL402">
        <v>0</v>
      </c>
    </row>
    <row r="403" spans="1:38" x14ac:dyDescent="0.35">
      <c r="A403" t="s">
        <v>590</v>
      </c>
      <c r="B403" t="s">
        <v>60</v>
      </c>
      <c r="C403" t="s">
        <v>61</v>
      </c>
      <c r="D403">
        <v>13.8</v>
      </c>
      <c r="E403" t="s">
        <v>67</v>
      </c>
      <c r="F403">
        <v>35</v>
      </c>
      <c r="G403" t="s">
        <v>68</v>
      </c>
      <c r="H403" t="s">
        <v>55</v>
      </c>
      <c r="I403">
        <v>3</v>
      </c>
      <c r="J403">
        <v>6.4</v>
      </c>
      <c r="K403">
        <v>10</v>
      </c>
      <c r="L403">
        <v>2</v>
      </c>
      <c r="M403">
        <v>12</v>
      </c>
      <c r="N403">
        <v>0</v>
      </c>
      <c r="O403" t="s">
        <v>70</v>
      </c>
      <c r="P403">
        <v>38500</v>
      </c>
      <c r="Q403">
        <v>9.3000000000000007</v>
      </c>
      <c r="R403">
        <v>2.2000000000000002</v>
      </c>
      <c r="S403">
        <v>0.9</v>
      </c>
      <c r="T403">
        <v>0</v>
      </c>
      <c r="U403">
        <v>2.6</v>
      </c>
      <c r="V403">
        <v>3</v>
      </c>
      <c r="W403">
        <v>3.9</v>
      </c>
      <c r="X403" t="s">
        <v>89</v>
      </c>
      <c r="Y403">
        <v>0</v>
      </c>
      <c r="Z403">
        <v>1</v>
      </c>
      <c r="AA403">
        <v>5.6</v>
      </c>
      <c r="AB403">
        <v>1</v>
      </c>
      <c r="AC403" t="s">
        <v>46</v>
      </c>
      <c r="AE403">
        <v>0</v>
      </c>
      <c r="AF403">
        <v>0</v>
      </c>
      <c r="AG403" t="s">
        <v>47</v>
      </c>
      <c r="AH403" t="s">
        <v>83</v>
      </c>
      <c r="AI403" t="s">
        <v>64</v>
      </c>
      <c r="AJ403" s="1" t="s">
        <v>100</v>
      </c>
      <c r="AK403">
        <v>0.25</v>
      </c>
      <c r="AL403">
        <v>0</v>
      </c>
    </row>
    <row r="404" spans="1:38" x14ac:dyDescent="0.35">
      <c r="A404" t="s">
        <v>591</v>
      </c>
      <c r="B404" t="s">
        <v>39</v>
      </c>
      <c r="C404" t="s">
        <v>40</v>
      </c>
      <c r="D404">
        <v>5</v>
      </c>
      <c r="E404" t="s">
        <v>67</v>
      </c>
      <c r="F404">
        <v>28</v>
      </c>
      <c r="G404" t="s">
        <v>68</v>
      </c>
      <c r="H404" t="s">
        <v>43</v>
      </c>
      <c r="I404">
        <v>1</v>
      </c>
      <c r="J404">
        <v>8.6</v>
      </c>
      <c r="K404">
        <v>9</v>
      </c>
      <c r="L404">
        <v>1</v>
      </c>
      <c r="M404">
        <v>12</v>
      </c>
      <c r="N404">
        <v>0</v>
      </c>
      <c r="O404" t="s">
        <v>70</v>
      </c>
      <c r="P404">
        <v>43000</v>
      </c>
      <c r="Q404">
        <v>8.9</v>
      </c>
      <c r="R404">
        <v>3.4</v>
      </c>
      <c r="S404">
        <v>0.6</v>
      </c>
      <c r="T404">
        <v>0</v>
      </c>
      <c r="U404">
        <v>2.1</v>
      </c>
      <c r="V404">
        <v>2.2999999999999998</v>
      </c>
      <c r="W404">
        <v>3.1</v>
      </c>
      <c r="X404" t="s">
        <v>45</v>
      </c>
      <c r="Y404">
        <v>0</v>
      </c>
      <c r="Z404">
        <v>1</v>
      </c>
      <c r="AA404">
        <v>4.5999999999999996</v>
      </c>
      <c r="AB404">
        <v>0</v>
      </c>
      <c r="AC404" t="s">
        <v>124</v>
      </c>
      <c r="AD404" s="2">
        <v>45949</v>
      </c>
      <c r="AE404">
        <v>0</v>
      </c>
      <c r="AF404">
        <v>0</v>
      </c>
      <c r="AG404" t="s">
        <v>47</v>
      </c>
      <c r="AH404" t="s">
        <v>76</v>
      </c>
      <c r="AI404" t="s">
        <v>64</v>
      </c>
      <c r="AJ404">
        <v>2.5</v>
      </c>
      <c r="AK404">
        <v>8.3333333333333301E-2</v>
      </c>
      <c r="AL404">
        <v>1</v>
      </c>
    </row>
    <row r="405" spans="1:38" x14ac:dyDescent="0.35">
      <c r="A405" t="s">
        <v>592</v>
      </c>
      <c r="B405" t="s">
        <v>73</v>
      </c>
      <c r="C405" t="s">
        <v>121</v>
      </c>
      <c r="D405">
        <v>7.8</v>
      </c>
      <c r="E405" t="s">
        <v>81</v>
      </c>
      <c r="F405">
        <v>30</v>
      </c>
      <c r="G405" t="s">
        <v>42</v>
      </c>
      <c r="H405" t="s">
        <v>69</v>
      </c>
      <c r="I405">
        <v>2</v>
      </c>
      <c r="J405">
        <v>15.9</v>
      </c>
      <c r="K405">
        <v>9</v>
      </c>
      <c r="L405">
        <v>3</v>
      </c>
      <c r="M405">
        <v>12</v>
      </c>
      <c r="N405">
        <v>0</v>
      </c>
      <c r="O405" t="s">
        <v>82</v>
      </c>
      <c r="P405">
        <v>27500</v>
      </c>
      <c r="Q405">
        <v>7.2</v>
      </c>
      <c r="R405">
        <v>2.1</v>
      </c>
      <c r="S405">
        <v>1.9</v>
      </c>
      <c r="T405">
        <v>0</v>
      </c>
      <c r="U405">
        <v>3.6</v>
      </c>
      <c r="V405">
        <v>3.4</v>
      </c>
      <c r="W405">
        <v>3.7</v>
      </c>
      <c r="X405" t="s">
        <v>45</v>
      </c>
      <c r="Y405">
        <v>0</v>
      </c>
      <c r="Z405">
        <v>0</v>
      </c>
      <c r="AB405">
        <v>0</v>
      </c>
      <c r="AC405" t="s">
        <v>46</v>
      </c>
      <c r="AE405">
        <v>1</v>
      </c>
      <c r="AF405">
        <v>0</v>
      </c>
      <c r="AG405" t="s">
        <v>75</v>
      </c>
      <c r="AH405" t="s">
        <v>83</v>
      </c>
      <c r="AI405" t="s">
        <v>49</v>
      </c>
      <c r="AJ405" s="1" t="s">
        <v>126</v>
      </c>
      <c r="AK405" s="1" t="s">
        <v>84</v>
      </c>
      <c r="AL405">
        <v>0</v>
      </c>
    </row>
    <row r="406" spans="1:38" x14ac:dyDescent="0.35">
      <c r="A406" t="s">
        <v>593</v>
      </c>
      <c r="B406" t="s">
        <v>60</v>
      </c>
      <c r="C406" t="s">
        <v>61</v>
      </c>
      <c r="D406">
        <v>0.3</v>
      </c>
      <c r="E406" t="s">
        <v>110</v>
      </c>
      <c r="F406">
        <v>26</v>
      </c>
      <c r="G406" t="s">
        <v>54</v>
      </c>
      <c r="H406" t="s">
        <v>55</v>
      </c>
      <c r="I406">
        <v>3</v>
      </c>
      <c r="J406">
        <v>12</v>
      </c>
      <c r="K406">
        <v>11</v>
      </c>
      <c r="L406">
        <v>5</v>
      </c>
      <c r="M406">
        <v>12</v>
      </c>
      <c r="N406">
        <v>0</v>
      </c>
      <c r="O406" t="s">
        <v>44</v>
      </c>
      <c r="P406">
        <v>52100</v>
      </c>
      <c r="Q406">
        <v>6.3</v>
      </c>
      <c r="R406">
        <v>3.7</v>
      </c>
      <c r="S406">
        <v>1.9</v>
      </c>
      <c r="T406">
        <v>0</v>
      </c>
      <c r="U406">
        <v>2.8</v>
      </c>
      <c r="V406">
        <v>1.7</v>
      </c>
      <c r="W406">
        <v>3.5</v>
      </c>
      <c r="X406" t="s">
        <v>45</v>
      </c>
      <c r="Y406">
        <v>0</v>
      </c>
      <c r="Z406">
        <v>0</v>
      </c>
      <c r="AB406">
        <v>0</v>
      </c>
      <c r="AC406" t="s">
        <v>46</v>
      </c>
      <c r="AE406">
        <v>1</v>
      </c>
      <c r="AF406">
        <v>0</v>
      </c>
      <c r="AG406" t="s">
        <v>75</v>
      </c>
      <c r="AH406" t="s">
        <v>95</v>
      </c>
      <c r="AI406" t="s">
        <v>49</v>
      </c>
      <c r="AJ406" s="1" t="s">
        <v>230</v>
      </c>
      <c r="AK406">
        <v>0.25</v>
      </c>
      <c r="AL406">
        <v>0</v>
      </c>
    </row>
    <row r="407" spans="1:38" x14ac:dyDescent="0.35">
      <c r="A407" t="s">
        <v>594</v>
      </c>
      <c r="B407" t="s">
        <v>60</v>
      </c>
      <c r="C407" t="s">
        <v>107</v>
      </c>
      <c r="D407">
        <v>0.4</v>
      </c>
      <c r="E407" t="s">
        <v>67</v>
      </c>
      <c r="F407">
        <v>29</v>
      </c>
      <c r="G407" t="s">
        <v>68</v>
      </c>
      <c r="H407" t="s">
        <v>69</v>
      </c>
      <c r="I407">
        <v>3</v>
      </c>
      <c r="J407">
        <v>1.9</v>
      </c>
      <c r="K407">
        <v>13</v>
      </c>
      <c r="L407">
        <v>0</v>
      </c>
      <c r="M407">
        <v>12</v>
      </c>
      <c r="N407">
        <v>0</v>
      </c>
      <c r="O407" t="s">
        <v>70</v>
      </c>
      <c r="P407">
        <v>48800</v>
      </c>
      <c r="Q407">
        <v>15.5</v>
      </c>
      <c r="R407">
        <v>3</v>
      </c>
      <c r="S407">
        <v>3.2</v>
      </c>
      <c r="T407">
        <v>0</v>
      </c>
      <c r="U407">
        <v>2.8</v>
      </c>
      <c r="V407">
        <v>3.3</v>
      </c>
      <c r="W407">
        <v>2.2999999999999998</v>
      </c>
      <c r="X407" t="s">
        <v>45</v>
      </c>
      <c r="Y407">
        <v>0</v>
      </c>
      <c r="Z407">
        <v>2</v>
      </c>
      <c r="AA407">
        <v>0.5</v>
      </c>
      <c r="AB407">
        <v>3</v>
      </c>
      <c r="AC407" t="s">
        <v>124</v>
      </c>
      <c r="AD407" s="2">
        <v>45743</v>
      </c>
      <c r="AE407">
        <v>0</v>
      </c>
      <c r="AF407">
        <v>0</v>
      </c>
      <c r="AG407" t="s">
        <v>47</v>
      </c>
      <c r="AH407" t="s">
        <v>95</v>
      </c>
      <c r="AI407" t="s">
        <v>64</v>
      </c>
      <c r="AJ407" s="1" t="s">
        <v>102</v>
      </c>
      <c r="AK407">
        <v>0.25</v>
      </c>
      <c r="AL407">
        <v>1</v>
      </c>
    </row>
    <row r="408" spans="1:38" x14ac:dyDescent="0.35">
      <c r="A408" t="s">
        <v>595</v>
      </c>
      <c r="B408" t="s">
        <v>98</v>
      </c>
      <c r="C408" t="s">
        <v>99</v>
      </c>
      <c r="D408">
        <v>4.2</v>
      </c>
      <c r="E408" t="s">
        <v>41</v>
      </c>
      <c r="F408">
        <v>35</v>
      </c>
      <c r="G408" t="s">
        <v>42</v>
      </c>
      <c r="H408" t="s">
        <v>94</v>
      </c>
      <c r="I408">
        <v>1</v>
      </c>
      <c r="J408">
        <v>9.9</v>
      </c>
      <c r="K408">
        <v>11</v>
      </c>
      <c r="L408">
        <v>4</v>
      </c>
      <c r="M408">
        <v>12</v>
      </c>
      <c r="N408">
        <v>0</v>
      </c>
      <c r="O408" t="s">
        <v>44</v>
      </c>
      <c r="P408">
        <v>73300</v>
      </c>
      <c r="Q408">
        <v>6.2</v>
      </c>
      <c r="R408">
        <v>4</v>
      </c>
      <c r="S408">
        <v>1.2</v>
      </c>
      <c r="T408">
        <v>0</v>
      </c>
      <c r="U408">
        <v>3.2</v>
      </c>
      <c r="V408">
        <v>2.9</v>
      </c>
      <c r="W408">
        <v>3.8</v>
      </c>
      <c r="X408" t="s">
        <v>45</v>
      </c>
      <c r="Y408">
        <v>0</v>
      </c>
      <c r="Z408">
        <v>0</v>
      </c>
      <c r="AB408">
        <v>1</v>
      </c>
      <c r="AC408" t="s">
        <v>46</v>
      </c>
      <c r="AE408">
        <v>1</v>
      </c>
      <c r="AF408">
        <v>0</v>
      </c>
      <c r="AG408" t="s">
        <v>75</v>
      </c>
      <c r="AH408" t="s">
        <v>76</v>
      </c>
      <c r="AI408" t="s">
        <v>64</v>
      </c>
      <c r="AJ408" s="1" t="s">
        <v>108</v>
      </c>
      <c r="AK408">
        <v>8.3333333333333301E-2</v>
      </c>
      <c r="AL408">
        <v>0</v>
      </c>
    </row>
    <row r="409" spans="1:38" x14ac:dyDescent="0.35">
      <c r="A409" t="s">
        <v>596</v>
      </c>
      <c r="B409" t="s">
        <v>60</v>
      </c>
      <c r="C409" t="s">
        <v>107</v>
      </c>
      <c r="D409">
        <v>1.8</v>
      </c>
      <c r="E409" t="s">
        <v>67</v>
      </c>
      <c r="F409">
        <v>29</v>
      </c>
      <c r="G409" t="s">
        <v>42</v>
      </c>
      <c r="H409" t="s">
        <v>55</v>
      </c>
      <c r="I409">
        <v>6</v>
      </c>
      <c r="J409">
        <v>10.6</v>
      </c>
      <c r="K409">
        <v>7</v>
      </c>
      <c r="L409">
        <v>2</v>
      </c>
      <c r="M409">
        <v>12</v>
      </c>
      <c r="N409">
        <v>0</v>
      </c>
      <c r="O409" t="s">
        <v>70</v>
      </c>
      <c r="P409">
        <v>37500</v>
      </c>
      <c r="Q409">
        <v>13.5</v>
      </c>
      <c r="R409">
        <v>4.5</v>
      </c>
      <c r="S409">
        <v>0.2</v>
      </c>
      <c r="T409">
        <v>0</v>
      </c>
      <c r="U409">
        <v>3.3</v>
      </c>
      <c r="V409">
        <v>3.4</v>
      </c>
      <c r="W409">
        <v>3.5</v>
      </c>
      <c r="X409" t="s">
        <v>45</v>
      </c>
      <c r="Y409">
        <v>0</v>
      </c>
      <c r="Z409">
        <v>0</v>
      </c>
      <c r="AB409">
        <v>0</v>
      </c>
      <c r="AC409" t="s">
        <v>46</v>
      </c>
      <c r="AE409">
        <v>1</v>
      </c>
      <c r="AF409">
        <v>0</v>
      </c>
      <c r="AG409" t="s">
        <v>75</v>
      </c>
      <c r="AH409" t="s">
        <v>48</v>
      </c>
      <c r="AI409" t="s">
        <v>49</v>
      </c>
      <c r="AJ409">
        <v>3.4</v>
      </c>
      <c r="AK409">
        <v>0.5</v>
      </c>
      <c r="AL409">
        <v>0</v>
      </c>
    </row>
    <row r="410" spans="1:38" x14ac:dyDescent="0.35">
      <c r="A410" t="s">
        <v>597</v>
      </c>
      <c r="B410" t="s">
        <v>73</v>
      </c>
      <c r="C410" t="s">
        <v>113</v>
      </c>
      <c r="D410">
        <v>4.5</v>
      </c>
      <c r="E410" t="s">
        <v>110</v>
      </c>
      <c r="F410">
        <v>29</v>
      </c>
      <c r="G410" t="s">
        <v>42</v>
      </c>
      <c r="H410" t="s">
        <v>55</v>
      </c>
      <c r="I410">
        <v>0</v>
      </c>
      <c r="J410">
        <v>26.3</v>
      </c>
      <c r="K410">
        <v>9</v>
      </c>
      <c r="L410">
        <v>0</v>
      </c>
      <c r="M410">
        <v>12</v>
      </c>
      <c r="N410">
        <v>0</v>
      </c>
      <c r="O410" t="s">
        <v>44</v>
      </c>
      <c r="P410">
        <v>53300</v>
      </c>
      <c r="Q410">
        <v>5.3</v>
      </c>
      <c r="R410">
        <v>1.6</v>
      </c>
      <c r="S410">
        <v>3.3</v>
      </c>
      <c r="T410">
        <v>0</v>
      </c>
      <c r="U410">
        <v>3.3</v>
      </c>
      <c r="V410">
        <v>1.7</v>
      </c>
      <c r="W410">
        <v>2.8</v>
      </c>
      <c r="X410" t="s">
        <v>89</v>
      </c>
      <c r="Y410">
        <v>0</v>
      </c>
      <c r="Z410">
        <v>2</v>
      </c>
      <c r="AA410">
        <v>0.2</v>
      </c>
      <c r="AB410">
        <v>0</v>
      </c>
      <c r="AC410" t="s">
        <v>46</v>
      </c>
      <c r="AE410">
        <v>0</v>
      </c>
      <c r="AF410">
        <v>0</v>
      </c>
      <c r="AG410" t="s">
        <v>47</v>
      </c>
      <c r="AH410" t="s">
        <v>76</v>
      </c>
      <c r="AI410" t="s">
        <v>57</v>
      </c>
      <c r="AJ410">
        <v>2.6</v>
      </c>
      <c r="AK410">
        <v>0</v>
      </c>
      <c r="AL410">
        <v>0</v>
      </c>
    </row>
    <row r="411" spans="1:38" x14ac:dyDescent="0.35">
      <c r="A411" t="s">
        <v>598</v>
      </c>
      <c r="B411" t="s">
        <v>60</v>
      </c>
      <c r="C411" t="s">
        <v>80</v>
      </c>
      <c r="D411">
        <v>2.5</v>
      </c>
      <c r="E411" t="s">
        <v>81</v>
      </c>
      <c r="F411">
        <v>21</v>
      </c>
      <c r="G411" t="s">
        <v>42</v>
      </c>
      <c r="H411" t="s">
        <v>55</v>
      </c>
      <c r="I411">
        <v>3</v>
      </c>
      <c r="J411">
        <v>7.6</v>
      </c>
      <c r="K411">
        <v>8</v>
      </c>
      <c r="L411">
        <v>3</v>
      </c>
      <c r="M411">
        <v>12</v>
      </c>
      <c r="N411">
        <v>0</v>
      </c>
      <c r="O411" t="s">
        <v>82</v>
      </c>
      <c r="P411">
        <v>30500</v>
      </c>
      <c r="Q411">
        <v>11.2</v>
      </c>
      <c r="R411">
        <v>2.8</v>
      </c>
      <c r="S411">
        <v>3.1</v>
      </c>
      <c r="T411">
        <v>0</v>
      </c>
      <c r="U411">
        <v>4.9000000000000004</v>
      </c>
      <c r="V411">
        <v>3.8</v>
      </c>
      <c r="W411">
        <v>3.1</v>
      </c>
      <c r="X411" t="s">
        <v>45</v>
      </c>
      <c r="Y411">
        <v>0</v>
      </c>
      <c r="Z411">
        <v>2</v>
      </c>
      <c r="AA411">
        <v>2.1</v>
      </c>
      <c r="AB411">
        <v>0</v>
      </c>
      <c r="AC411" t="s">
        <v>46</v>
      </c>
      <c r="AE411">
        <v>0</v>
      </c>
      <c r="AF411">
        <v>0</v>
      </c>
      <c r="AG411" t="s">
        <v>47</v>
      </c>
      <c r="AH411" t="s">
        <v>48</v>
      </c>
      <c r="AI411" t="s">
        <v>64</v>
      </c>
      <c r="AJ411" s="1" t="s">
        <v>493</v>
      </c>
      <c r="AK411">
        <v>0.25</v>
      </c>
      <c r="AL411">
        <v>0</v>
      </c>
    </row>
    <row r="412" spans="1:38" x14ac:dyDescent="0.35">
      <c r="A412" t="s">
        <v>599</v>
      </c>
      <c r="B412" t="s">
        <v>39</v>
      </c>
      <c r="C412" t="s">
        <v>66</v>
      </c>
      <c r="D412">
        <v>17.600000000000001</v>
      </c>
      <c r="E412" t="s">
        <v>67</v>
      </c>
      <c r="F412">
        <v>44</v>
      </c>
      <c r="G412" t="s">
        <v>54</v>
      </c>
      <c r="H412" t="s">
        <v>55</v>
      </c>
      <c r="I412">
        <v>2</v>
      </c>
      <c r="J412">
        <v>14.9</v>
      </c>
      <c r="K412">
        <v>14</v>
      </c>
      <c r="L412">
        <v>3</v>
      </c>
      <c r="M412">
        <v>12</v>
      </c>
      <c r="N412">
        <v>0</v>
      </c>
      <c r="O412" t="s">
        <v>70</v>
      </c>
      <c r="P412">
        <v>50000</v>
      </c>
      <c r="Q412">
        <v>15.1</v>
      </c>
      <c r="R412">
        <v>2.1</v>
      </c>
      <c r="S412">
        <v>0.9</v>
      </c>
      <c r="T412">
        <v>0</v>
      </c>
      <c r="U412">
        <v>3.9</v>
      </c>
      <c r="V412">
        <v>2.9</v>
      </c>
      <c r="W412">
        <v>3.1</v>
      </c>
      <c r="X412" t="s">
        <v>45</v>
      </c>
      <c r="Y412">
        <v>0</v>
      </c>
      <c r="Z412">
        <v>1</v>
      </c>
      <c r="AA412">
        <v>6.7</v>
      </c>
      <c r="AB412">
        <v>1</v>
      </c>
      <c r="AC412" t="s">
        <v>46</v>
      </c>
      <c r="AE412">
        <v>0</v>
      </c>
      <c r="AF412">
        <v>0</v>
      </c>
      <c r="AG412" t="s">
        <v>47</v>
      </c>
      <c r="AH412" t="s">
        <v>83</v>
      </c>
      <c r="AI412" t="s">
        <v>49</v>
      </c>
      <c r="AJ412" s="1" t="s">
        <v>71</v>
      </c>
      <c r="AK412" s="1" t="s">
        <v>84</v>
      </c>
      <c r="AL412">
        <v>0</v>
      </c>
    </row>
    <row r="413" spans="1:38" x14ac:dyDescent="0.35">
      <c r="A413" t="s">
        <v>600</v>
      </c>
      <c r="B413" t="s">
        <v>39</v>
      </c>
      <c r="C413" t="s">
        <v>88</v>
      </c>
      <c r="D413">
        <v>7.4</v>
      </c>
      <c r="E413" t="s">
        <v>81</v>
      </c>
      <c r="F413">
        <v>34</v>
      </c>
      <c r="G413" t="s">
        <v>234</v>
      </c>
      <c r="H413" t="s">
        <v>55</v>
      </c>
      <c r="I413">
        <v>4</v>
      </c>
      <c r="J413">
        <v>45</v>
      </c>
      <c r="K413">
        <v>12</v>
      </c>
      <c r="L413">
        <v>2</v>
      </c>
      <c r="M413">
        <v>12</v>
      </c>
      <c r="N413">
        <v>0</v>
      </c>
      <c r="O413" t="s">
        <v>82</v>
      </c>
      <c r="P413">
        <v>26600</v>
      </c>
      <c r="Q413">
        <v>6.6</v>
      </c>
      <c r="R413">
        <v>5</v>
      </c>
      <c r="S413">
        <v>3.2</v>
      </c>
      <c r="T413">
        <v>0</v>
      </c>
      <c r="U413">
        <v>5</v>
      </c>
      <c r="V413">
        <v>3.4</v>
      </c>
      <c r="W413">
        <v>3.2</v>
      </c>
      <c r="X413" t="s">
        <v>45</v>
      </c>
      <c r="Y413">
        <v>0</v>
      </c>
      <c r="Z413">
        <v>0</v>
      </c>
      <c r="AB413">
        <v>0</v>
      </c>
      <c r="AC413" t="s">
        <v>46</v>
      </c>
      <c r="AE413">
        <v>1</v>
      </c>
      <c r="AF413">
        <v>0</v>
      </c>
      <c r="AG413" t="s">
        <v>75</v>
      </c>
      <c r="AH413" t="s">
        <v>83</v>
      </c>
      <c r="AI413" t="s">
        <v>57</v>
      </c>
      <c r="AJ413" s="1" t="s">
        <v>475</v>
      </c>
      <c r="AK413" s="1" t="s">
        <v>115</v>
      </c>
      <c r="AL413">
        <v>0</v>
      </c>
    </row>
    <row r="414" spans="1:38" x14ac:dyDescent="0.35">
      <c r="A414" t="s">
        <v>601</v>
      </c>
      <c r="B414" t="s">
        <v>73</v>
      </c>
      <c r="C414" t="s">
        <v>74</v>
      </c>
      <c r="D414">
        <v>9.4</v>
      </c>
      <c r="E414" t="s">
        <v>81</v>
      </c>
      <c r="F414">
        <v>36</v>
      </c>
      <c r="G414" t="s">
        <v>68</v>
      </c>
      <c r="H414" t="s">
        <v>69</v>
      </c>
      <c r="I414">
        <v>2</v>
      </c>
      <c r="J414">
        <v>23.1</v>
      </c>
      <c r="K414">
        <v>9</v>
      </c>
      <c r="L414">
        <v>1</v>
      </c>
      <c r="M414">
        <v>12</v>
      </c>
      <c r="N414">
        <v>0</v>
      </c>
      <c r="O414" t="s">
        <v>82</v>
      </c>
      <c r="P414">
        <v>29600</v>
      </c>
      <c r="Q414">
        <v>5.3</v>
      </c>
      <c r="R414">
        <v>2.8</v>
      </c>
      <c r="S414">
        <v>1</v>
      </c>
      <c r="T414">
        <v>0</v>
      </c>
      <c r="U414">
        <v>2.9</v>
      </c>
      <c r="V414">
        <v>1.5</v>
      </c>
      <c r="W414">
        <v>4.8</v>
      </c>
      <c r="X414" t="s">
        <v>45</v>
      </c>
      <c r="Y414">
        <v>0</v>
      </c>
      <c r="Z414">
        <v>2</v>
      </c>
      <c r="AA414">
        <v>4.3</v>
      </c>
      <c r="AB414">
        <v>1</v>
      </c>
      <c r="AC414" t="s">
        <v>46</v>
      </c>
      <c r="AE414">
        <v>0</v>
      </c>
      <c r="AF414">
        <v>0</v>
      </c>
      <c r="AG414" t="s">
        <v>47</v>
      </c>
      <c r="AH414" t="s">
        <v>83</v>
      </c>
      <c r="AI414" t="s">
        <v>57</v>
      </c>
      <c r="AJ414" s="1" t="s">
        <v>159</v>
      </c>
      <c r="AK414" s="1" t="s">
        <v>84</v>
      </c>
      <c r="AL414">
        <v>0</v>
      </c>
    </row>
    <row r="415" spans="1:38" x14ac:dyDescent="0.35">
      <c r="A415" t="s">
        <v>602</v>
      </c>
      <c r="B415" t="s">
        <v>60</v>
      </c>
      <c r="C415" t="s">
        <v>61</v>
      </c>
      <c r="D415">
        <v>0.5</v>
      </c>
      <c r="E415" t="s">
        <v>110</v>
      </c>
      <c r="F415">
        <v>35</v>
      </c>
      <c r="G415" t="s">
        <v>68</v>
      </c>
      <c r="H415" t="s">
        <v>55</v>
      </c>
      <c r="I415">
        <v>1</v>
      </c>
      <c r="J415">
        <v>3.9</v>
      </c>
      <c r="K415">
        <v>10</v>
      </c>
      <c r="L415">
        <v>4</v>
      </c>
      <c r="M415">
        <v>12</v>
      </c>
      <c r="N415">
        <v>0</v>
      </c>
      <c r="O415" t="s">
        <v>70</v>
      </c>
      <c r="P415">
        <v>47800</v>
      </c>
      <c r="Q415">
        <v>6.3</v>
      </c>
      <c r="R415">
        <v>2</v>
      </c>
      <c r="S415">
        <v>0.4</v>
      </c>
      <c r="T415">
        <v>0</v>
      </c>
      <c r="U415">
        <v>4</v>
      </c>
      <c r="V415">
        <v>2.1</v>
      </c>
      <c r="W415">
        <v>5</v>
      </c>
      <c r="X415" t="s">
        <v>45</v>
      </c>
      <c r="Y415">
        <v>0</v>
      </c>
      <c r="Z415">
        <v>0</v>
      </c>
      <c r="AB415">
        <v>2</v>
      </c>
      <c r="AC415" t="s">
        <v>46</v>
      </c>
      <c r="AE415">
        <v>1</v>
      </c>
      <c r="AF415">
        <v>0</v>
      </c>
      <c r="AG415" t="s">
        <v>75</v>
      </c>
      <c r="AH415" t="s">
        <v>95</v>
      </c>
      <c r="AI415" t="s">
        <v>64</v>
      </c>
      <c r="AJ415" s="1" t="s">
        <v>58</v>
      </c>
      <c r="AK415">
        <v>8.3333333333333301E-2</v>
      </c>
      <c r="AL415">
        <v>0</v>
      </c>
    </row>
    <row r="416" spans="1:38" x14ac:dyDescent="0.35">
      <c r="A416" t="s">
        <v>603</v>
      </c>
      <c r="B416" t="s">
        <v>73</v>
      </c>
      <c r="C416" t="s">
        <v>113</v>
      </c>
      <c r="D416">
        <v>6.4</v>
      </c>
      <c r="E416" t="s">
        <v>67</v>
      </c>
      <c r="F416">
        <v>37</v>
      </c>
      <c r="G416" t="s">
        <v>42</v>
      </c>
      <c r="H416" t="s">
        <v>69</v>
      </c>
      <c r="I416">
        <v>2</v>
      </c>
      <c r="J416">
        <v>17.600000000000001</v>
      </c>
      <c r="K416">
        <v>8</v>
      </c>
      <c r="L416">
        <v>4</v>
      </c>
      <c r="M416">
        <v>12</v>
      </c>
      <c r="N416">
        <v>0</v>
      </c>
      <c r="O416" t="s">
        <v>70</v>
      </c>
      <c r="P416">
        <v>39100</v>
      </c>
      <c r="Q416">
        <v>7.9</v>
      </c>
      <c r="R416">
        <v>5</v>
      </c>
      <c r="S416">
        <v>2.6</v>
      </c>
      <c r="T416">
        <v>0</v>
      </c>
      <c r="U416">
        <v>3</v>
      </c>
      <c r="V416">
        <v>2.8</v>
      </c>
      <c r="W416">
        <v>1.2</v>
      </c>
      <c r="X416" t="s">
        <v>45</v>
      </c>
      <c r="Y416">
        <v>0</v>
      </c>
      <c r="Z416">
        <v>0</v>
      </c>
      <c r="AB416">
        <v>1</v>
      </c>
      <c r="AC416" t="s">
        <v>46</v>
      </c>
      <c r="AE416">
        <v>1</v>
      </c>
      <c r="AF416">
        <v>0</v>
      </c>
      <c r="AG416" t="s">
        <v>75</v>
      </c>
      <c r="AH416" t="s">
        <v>83</v>
      </c>
      <c r="AI416" t="s">
        <v>49</v>
      </c>
      <c r="AJ416" s="1" t="s">
        <v>419</v>
      </c>
      <c r="AK416" s="1" t="s">
        <v>84</v>
      </c>
      <c r="AL416">
        <v>0</v>
      </c>
    </row>
    <row r="417" spans="1:38" x14ac:dyDescent="0.35">
      <c r="A417" t="s">
        <v>604</v>
      </c>
      <c r="B417" t="s">
        <v>98</v>
      </c>
      <c r="C417" t="s">
        <v>99</v>
      </c>
      <c r="D417">
        <v>3.3</v>
      </c>
      <c r="E417" t="s">
        <v>81</v>
      </c>
      <c r="F417">
        <v>32</v>
      </c>
      <c r="G417" t="s">
        <v>42</v>
      </c>
      <c r="H417" t="s">
        <v>94</v>
      </c>
      <c r="I417">
        <v>3</v>
      </c>
      <c r="J417">
        <v>14.1</v>
      </c>
      <c r="K417">
        <v>7</v>
      </c>
      <c r="L417">
        <v>1</v>
      </c>
      <c r="M417">
        <v>12</v>
      </c>
      <c r="N417">
        <v>0</v>
      </c>
      <c r="O417" t="s">
        <v>82</v>
      </c>
      <c r="P417">
        <v>34800</v>
      </c>
      <c r="Q417">
        <v>9.3000000000000007</v>
      </c>
      <c r="R417">
        <v>2.5</v>
      </c>
      <c r="S417">
        <v>0.6</v>
      </c>
      <c r="T417">
        <v>0</v>
      </c>
      <c r="U417">
        <v>2.8</v>
      </c>
      <c r="V417">
        <v>4.4000000000000004</v>
      </c>
      <c r="W417">
        <v>3.8</v>
      </c>
      <c r="X417" t="s">
        <v>45</v>
      </c>
      <c r="Y417">
        <v>0</v>
      </c>
      <c r="Z417">
        <v>0</v>
      </c>
      <c r="AB417">
        <v>0</v>
      </c>
      <c r="AC417" t="s">
        <v>46</v>
      </c>
      <c r="AE417">
        <v>1</v>
      </c>
      <c r="AF417">
        <v>0</v>
      </c>
      <c r="AG417" t="s">
        <v>75</v>
      </c>
      <c r="AH417" t="s">
        <v>76</v>
      </c>
      <c r="AI417" t="s">
        <v>49</v>
      </c>
      <c r="AJ417" s="1" t="s">
        <v>266</v>
      </c>
      <c r="AK417">
        <v>0.25</v>
      </c>
      <c r="AL417">
        <v>0</v>
      </c>
    </row>
    <row r="418" spans="1:38" x14ac:dyDescent="0.35">
      <c r="A418" t="s">
        <v>605</v>
      </c>
      <c r="B418" t="s">
        <v>73</v>
      </c>
      <c r="C418" t="s">
        <v>121</v>
      </c>
      <c r="D418">
        <v>9.5</v>
      </c>
      <c r="E418" t="s">
        <v>62</v>
      </c>
      <c r="F418">
        <v>32</v>
      </c>
      <c r="G418" t="s">
        <v>42</v>
      </c>
      <c r="H418" t="s">
        <v>63</v>
      </c>
      <c r="I418">
        <v>6</v>
      </c>
      <c r="J418">
        <v>7.4</v>
      </c>
      <c r="K418">
        <v>10</v>
      </c>
      <c r="L418">
        <v>1</v>
      </c>
      <c r="M418">
        <v>12</v>
      </c>
      <c r="N418">
        <v>0</v>
      </c>
      <c r="O418" t="s">
        <v>293</v>
      </c>
      <c r="P418">
        <v>113500</v>
      </c>
      <c r="Q418">
        <v>7.8</v>
      </c>
      <c r="R418">
        <v>1.7</v>
      </c>
      <c r="S418">
        <v>2.9</v>
      </c>
      <c r="T418">
        <v>0</v>
      </c>
      <c r="U418">
        <v>5</v>
      </c>
      <c r="V418">
        <v>3.7</v>
      </c>
      <c r="W418">
        <v>4.2</v>
      </c>
      <c r="X418" t="s">
        <v>89</v>
      </c>
      <c r="Y418">
        <v>0</v>
      </c>
      <c r="Z418">
        <v>1</v>
      </c>
      <c r="AA418">
        <v>4.3</v>
      </c>
      <c r="AB418">
        <v>1</v>
      </c>
      <c r="AC418" t="s">
        <v>46</v>
      </c>
      <c r="AE418">
        <v>0</v>
      </c>
      <c r="AF418">
        <v>0</v>
      </c>
      <c r="AG418" t="s">
        <v>47</v>
      </c>
      <c r="AH418" t="s">
        <v>83</v>
      </c>
      <c r="AI418" t="s">
        <v>64</v>
      </c>
      <c r="AJ418">
        <v>4.3</v>
      </c>
      <c r="AK418">
        <v>0.5</v>
      </c>
      <c r="AL418">
        <v>0</v>
      </c>
    </row>
    <row r="419" spans="1:38" x14ac:dyDescent="0.35">
      <c r="A419" t="s">
        <v>606</v>
      </c>
      <c r="B419" t="s">
        <v>39</v>
      </c>
      <c r="C419" t="s">
        <v>88</v>
      </c>
      <c r="D419">
        <v>5.8</v>
      </c>
      <c r="E419" t="s">
        <v>81</v>
      </c>
      <c r="F419">
        <v>30</v>
      </c>
      <c r="G419" t="s">
        <v>42</v>
      </c>
      <c r="H419" t="s">
        <v>69</v>
      </c>
      <c r="I419">
        <v>4</v>
      </c>
      <c r="J419">
        <v>17.7</v>
      </c>
      <c r="K419">
        <v>7</v>
      </c>
      <c r="L419">
        <v>1</v>
      </c>
      <c r="M419">
        <v>12</v>
      </c>
      <c r="N419">
        <v>0</v>
      </c>
      <c r="O419" t="s">
        <v>82</v>
      </c>
      <c r="P419">
        <v>29300</v>
      </c>
      <c r="Q419">
        <v>6.3</v>
      </c>
      <c r="R419">
        <v>2.2000000000000002</v>
      </c>
      <c r="S419">
        <v>0.3</v>
      </c>
      <c r="T419">
        <v>0</v>
      </c>
      <c r="U419">
        <v>2.6</v>
      </c>
      <c r="V419">
        <v>3.3</v>
      </c>
      <c r="W419">
        <v>3.2</v>
      </c>
      <c r="X419" t="s">
        <v>45</v>
      </c>
      <c r="Y419">
        <v>0</v>
      </c>
      <c r="Z419">
        <v>0</v>
      </c>
      <c r="AB419">
        <v>0</v>
      </c>
      <c r="AC419" t="s">
        <v>46</v>
      </c>
      <c r="AE419">
        <v>1</v>
      </c>
      <c r="AF419">
        <v>0</v>
      </c>
      <c r="AG419" t="s">
        <v>75</v>
      </c>
      <c r="AH419" t="s">
        <v>83</v>
      </c>
      <c r="AI419" t="s">
        <v>49</v>
      </c>
      <c r="AJ419" s="1" t="s">
        <v>104</v>
      </c>
      <c r="AK419" s="1" t="s">
        <v>115</v>
      </c>
      <c r="AL419">
        <v>0</v>
      </c>
    </row>
    <row r="420" spans="1:38" x14ac:dyDescent="0.35">
      <c r="A420" t="s">
        <v>607</v>
      </c>
      <c r="B420" t="s">
        <v>73</v>
      </c>
      <c r="C420" t="s">
        <v>113</v>
      </c>
      <c r="D420">
        <v>3.6</v>
      </c>
      <c r="E420" t="s">
        <v>110</v>
      </c>
      <c r="F420">
        <v>29</v>
      </c>
      <c r="G420" t="s">
        <v>54</v>
      </c>
      <c r="H420" t="s">
        <v>55</v>
      </c>
      <c r="I420">
        <v>2</v>
      </c>
      <c r="J420">
        <v>3.9</v>
      </c>
      <c r="K420">
        <v>10</v>
      </c>
      <c r="L420">
        <v>0</v>
      </c>
      <c r="M420">
        <v>12</v>
      </c>
      <c r="N420">
        <v>0</v>
      </c>
      <c r="O420" t="s">
        <v>44</v>
      </c>
      <c r="P420">
        <v>61200</v>
      </c>
      <c r="Q420">
        <v>15.8</v>
      </c>
      <c r="R420">
        <v>3.3</v>
      </c>
      <c r="S420">
        <v>5.7</v>
      </c>
      <c r="T420">
        <v>0</v>
      </c>
      <c r="U420">
        <v>1.3</v>
      </c>
      <c r="V420">
        <v>2.4</v>
      </c>
      <c r="W420">
        <v>4.0999999999999996</v>
      </c>
      <c r="X420" t="s">
        <v>45</v>
      </c>
      <c r="Y420">
        <v>0</v>
      </c>
      <c r="Z420">
        <v>1</v>
      </c>
      <c r="AA420">
        <v>2.2999999999999998</v>
      </c>
      <c r="AB420">
        <v>0</v>
      </c>
      <c r="AC420" t="s">
        <v>46</v>
      </c>
      <c r="AE420">
        <v>0</v>
      </c>
      <c r="AF420">
        <v>0</v>
      </c>
      <c r="AG420" t="s">
        <v>47</v>
      </c>
      <c r="AH420" t="s">
        <v>76</v>
      </c>
      <c r="AI420" t="s">
        <v>64</v>
      </c>
      <c r="AJ420">
        <v>2.6</v>
      </c>
      <c r="AK420" s="1" t="s">
        <v>84</v>
      </c>
      <c r="AL420">
        <v>0</v>
      </c>
    </row>
    <row r="421" spans="1:38" x14ac:dyDescent="0.35">
      <c r="A421" t="s">
        <v>608</v>
      </c>
      <c r="B421" t="s">
        <v>60</v>
      </c>
      <c r="C421" t="s">
        <v>61</v>
      </c>
      <c r="D421">
        <v>1.3</v>
      </c>
      <c r="E421" t="s">
        <v>110</v>
      </c>
      <c r="F421">
        <v>24</v>
      </c>
      <c r="G421" t="s">
        <v>68</v>
      </c>
      <c r="H421" t="s">
        <v>55</v>
      </c>
      <c r="I421">
        <v>2</v>
      </c>
      <c r="J421">
        <v>5.7</v>
      </c>
      <c r="K421">
        <v>10</v>
      </c>
      <c r="L421">
        <v>2</v>
      </c>
      <c r="M421">
        <v>12</v>
      </c>
      <c r="N421">
        <v>0</v>
      </c>
      <c r="O421" t="s">
        <v>44</v>
      </c>
      <c r="P421">
        <v>53200</v>
      </c>
      <c r="Q421">
        <v>7.2</v>
      </c>
      <c r="R421">
        <v>3.2</v>
      </c>
      <c r="S421">
        <v>0.9</v>
      </c>
      <c r="T421">
        <v>0</v>
      </c>
      <c r="U421">
        <v>2.7</v>
      </c>
      <c r="V421">
        <v>2.2000000000000002</v>
      </c>
      <c r="W421">
        <v>4.7</v>
      </c>
      <c r="X421" t="s">
        <v>45</v>
      </c>
      <c r="Y421">
        <v>0</v>
      </c>
      <c r="Z421">
        <v>0</v>
      </c>
      <c r="AB421">
        <v>0</v>
      </c>
      <c r="AC421" t="s">
        <v>46</v>
      </c>
      <c r="AE421">
        <v>1</v>
      </c>
      <c r="AF421">
        <v>0</v>
      </c>
      <c r="AG421" t="s">
        <v>75</v>
      </c>
      <c r="AH421" t="s">
        <v>48</v>
      </c>
      <c r="AI421" t="s">
        <v>64</v>
      </c>
      <c r="AJ421" s="1" t="s">
        <v>249</v>
      </c>
      <c r="AK421" s="1" t="s">
        <v>84</v>
      </c>
      <c r="AL421">
        <v>0</v>
      </c>
    </row>
    <row r="422" spans="1:38" x14ac:dyDescent="0.35">
      <c r="A422" t="s">
        <v>609</v>
      </c>
      <c r="B422" t="s">
        <v>39</v>
      </c>
      <c r="C422" t="s">
        <v>88</v>
      </c>
      <c r="D422">
        <v>4.2</v>
      </c>
      <c r="E422" t="s">
        <v>67</v>
      </c>
      <c r="F422">
        <v>32</v>
      </c>
      <c r="G422" t="s">
        <v>234</v>
      </c>
      <c r="H422" t="s">
        <v>55</v>
      </c>
      <c r="I422">
        <v>3</v>
      </c>
      <c r="J422">
        <v>8.6999999999999993</v>
      </c>
      <c r="K422">
        <v>14</v>
      </c>
      <c r="L422">
        <v>5</v>
      </c>
      <c r="M422">
        <v>12</v>
      </c>
      <c r="N422">
        <v>0</v>
      </c>
      <c r="O422" t="s">
        <v>82</v>
      </c>
      <c r="P422">
        <v>31500</v>
      </c>
      <c r="Q422">
        <v>5.5</v>
      </c>
      <c r="R422">
        <v>2.4</v>
      </c>
      <c r="S422">
        <v>0.8</v>
      </c>
      <c r="T422">
        <v>0</v>
      </c>
      <c r="U422">
        <v>1.5</v>
      </c>
      <c r="V422">
        <v>3.4</v>
      </c>
      <c r="W422">
        <v>2.2999999999999998</v>
      </c>
      <c r="X422" t="s">
        <v>45</v>
      </c>
      <c r="Y422">
        <v>0</v>
      </c>
      <c r="Z422">
        <v>1</v>
      </c>
      <c r="AA422">
        <v>3</v>
      </c>
      <c r="AB422">
        <v>1</v>
      </c>
      <c r="AC422" t="s">
        <v>46</v>
      </c>
      <c r="AE422">
        <v>0</v>
      </c>
      <c r="AF422">
        <v>0</v>
      </c>
      <c r="AG422" t="s">
        <v>47</v>
      </c>
      <c r="AH422" t="s">
        <v>76</v>
      </c>
      <c r="AI422" t="s">
        <v>64</v>
      </c>
      <c r="AJ422">
        <v>2.4</v>
      </c>
      <c r="AK422">
        <v>0.25</v>
      </c>
      <c r="AL422">
        <v>0</v>
      </c>
    </row>
    <row r="423" spans="1:38" x14ac:dyDescent="0.35">
      <c r="A423" t="s">
        <v>610</v>
      </c>
      <c r="B423" t="s">
        <v>73</v>
      </c>
      <c r="C423" t="s">
        <v>74</v>
      </c>
      <c r="D423">
        <v>8.1</v>
      </c>
      <c r="E423" t="s">
        <v>67</v>
      </c>
      <c r="F423">
        <v>36</v>
      </c>
      <c r="G423" t="s">
        <v>42</v>
      </c>
      <c r="H423" t="s">
        <v>63</v>
      </c>
      <c r="I423">
        <v>3</v>
      </c>
      <c r="J423">
        <v>7.1</v>
      </c>
      <c r="K423">
        <v>13</v>
      </c>
      <c r="L423">
        <v>2</v>
      </c>
      <c r="M423">
        <v>12</v>
      </c>
      <c r="N423">
        <v>0</v>
      </c>
      <c r="O423" t="s">
        <v>70</v>
      </c>
      <c r="P423">
        <v>49800</v>
      </c>
      <c r="Q423">
        <v>11.3</v>
      </c>
      <c r="R423">
        <v>2.8</v>
      </c>
      <c r="S423">
        <v>2.5</v>
      </c>
      <c r="T423">
        <v>0</v>
      </c>
      <c r="U423">
        <v>2.4</v>
      </c>
      <c r="V423">
        <v>3.8</v>
      </c>
      <c r="W423">
        <v>3.5</v>
      </c>
      <c r="X423" t="s">
        <v>45</v>
      </c>
      <c r="Y423">
        <v>0</v>
      </c>
      <c r="Z423">
        <v>0</v>
      </c>
      <c r="AB423">
        <v>0</v>
      </c>
      <c r="AC423" t="s">
        <v>46</v>
      </c>
      <c r="AE423">
        <v>1</v>
      </c>
      <c r="AF423">
        <v>0</v>
      </c>
      <c r="AG423" t="s">
        <v>75</v>
      </c>
      <c r="AH423" t="s">
        <v>83</v>
      </c>
      <c r="AI423" t="s">
        <v>64</v>
      </c>
      <c r="AJ423" s="1" t="s">
        <v>198</v>
      </c>
      <c r="AK423">
        <v>0.25</v>
      </c>
      <c r="AL423">
        <v>0</v>
      </c>
    </row>
    <row r="424" spans="1:38" x14ac:dyDescent="0.35">
      <c r="A424" t="s">
        <v>611</v>
      </c>
      <c r="B424" t="s">
        <v>73</v>
      </c>
      <c r="C424" t="s">
        <v>177</v>
      </c>
      <c r="D424">
        <v>9.9</v>
      </c>
      <c r="E424" t="s">
        <v>81</v>
      </c>
      <c r="F424">
        <v>32</v>
      </c>
      <c r="G424" t="s">
        <v>42</v>
      </c>
      <c r="H424" t="s">
        <v>63</v>
      </c>
      <c r="I424">
        <v>2</v>
      </c>
      <c r="J424">
        <v>16.3</v>
      </c>
      <c r="K424">
        <v>7</v>
      </c>
      <c r="L424">
        <v>0</v>
      </c>
      <c r="M424">
        <v>12</v>
      </c>
      <c r="N424">
        <v>0</v>
      </c>
      <c r="O424" t="s">
        <v>82</v>
      </c>
      <c r="P424">
        <v>30700</v>
      </c>
      <c r="Q424">
        <v>11.4</v>
      </c>
      <c r="R424">
        <v>3.2</v>
      </c>
      <c r="S424">
        <v>1.8</v>
      </c>
      <c r="T424">
        <v>0</v>
      </c>
      <c r="U424">
        <v>2.5</v>
      </c>
      <c r="V424">
        <v>3.4</v>
      </c>
      <c r="W424">
        <v>5</v>
      </c>
      <c r="X424" t="s">
        <v>45</v>
      </c>
      <c r="Y424">
        <v>0</v>
      </c>
      <c r="Z424">
        <v>0</v>
      </c>
      <c r="AB424">
        <v>1</v>
      </c>
      <c r="AC424" t="s">
        <v>46</v>
      </c>
      <c r="AE424">
        <v>1</v>
      </c>
      <c r="AF424">
        <v>0</v>
      </c>
      <c r="AG424" t="s">
        <v>75</v>
      </c>
      <c r="AH424" t="s">
        <v>83</v>
      </c>
      <c r="AI424" t="s">
        <v>49</v>
      </c>
      <c r="AJ424" s="1" t="s">
        <v>190</v>
      </c>
      <c r="AK424" s="1" t="s">
        <v>84</v>
      </c>
      <c r="AL424">
        <v>0</v>
      </c>
    </row>
    <row r="425" spans="1:38" x14ac:dyDescent="0.35">
      <c r="A425" t="s">
        <v>612</v>
      </c>
      <c r="B425" t="s">
        <v>73</v>
      </c>
      <c r="C425" t="s">
        <v>74</v>
      </c>
      <c r="D425">
        <v>2.9</v>
      </c>
      <c r="E425" t="s">
        <v>110</v>
      </c>
      <c r="F425">
        <v>34</v>
      </c>
      <c r="G425" t="s">
        <v>42</v>
      </c>
      <c r="H425" t="s">
        <v>43</v>
      </c>
      <c r="I425">
        <v>2</v>
      </c>
      <c r="J425">
        <v>9.6999999999999993</v>
      </c>
      <c r="K425">
        <v>12</v>
      </c>
      <c r="L425">
        <v>2</v>
      </c>
      <c r="M425">
        <v>12</v>
      </c>
      <c r="N425">
        <v>0</v>
      </c>
      <c r="O425" t="s">
        <v>70</v>
      </c>
      <c r="P425">
        <v>38400</v>
      </c>
      <c r="Q425">
        <v>13.6</v>
      </c>
      <c r="R425">
        <v>4.4000000000000004</v>
      </c>
      <c r="S425">
        <v>0.9</v>
      </c>
      <c r="T425">
        <v>0</v>
      </c>
      <c r="U425">
        <v>3.3</v>
      </c>
      <c r="V425">
        <v>4.7</v>
      </c>
      <c r="W425">
        <v>2.4</v>
      </c>
      <c r="X425" t="s">
        <v>45</v>
      </c>
      <c r="Y425">
        <v>0</v>
      </c>
      <c r="Z425">
        <v>0</v>
      </c>
      <c r="AB425">
        <v>0</v>
      </c>
      <c r="AC425" t="s">
        <v>46</v>
      </c>
      <c r="AE425">
        <v>1</v>
      </c>
      <c r="AF425">
        <v>0</v>
      </c>
      <c r="AG425" t="s">
        <v>75</v>
      </c>
      <c r="AH425" t="s">
        <v>48</v>
      </c>
      <c r="AI425" t="s">
        <v>64</v>
      </c>
      <c r="AJ425" s="1" t="s">
        <v>77</v>
      </c>
      <c r="AK425" s="1" t="s">
        <v>84</v>
      </c>
      <c r="AL425">
        <v>0</v>
      </c>
    </row>
    <row r="426" spans="1:38" x14ac:dyDescent="0.35">
      <c r="A426" t="s">
        <v>613</v>
      </c>
      <c r="B426" t="s">
        <v>39</v>
      </c>
      <c r="C426" t="s">
        <v>66</v>
      </c>
      <c r="D426">
        <v>15.8</v>
      </c>
      <c r="E426" t="s">
        <v>67</v>
      </c>
      <c r="F426">
        <v>42</v>
      </c>
      <c r="G426" t="s">
        <v>54</v>
      </c>
      <c r="H426" t="s">
        <v>55</v>
      </c>
      <c r="I426">
        <v>6</v>
      </c>
      <c r="J426">
        <v>6.5</v>
      </c>
      <c r="K426">
        <v>14</v>
      </c>
      <c r="L426">
        <v>0</v>
      </c>
      <c r="M426">
        <v>12</v>
      </c>
      <c r="N426">
        <v>0</v>
      </c>
      <c r="O426" t="s">
        <v>70</v>
      </c>
      <c r="P426">
        <v>37100</v>
      </c>
      <c r="Q426">
        <v>15.7</v>
      </c>
      <c r="R426">
        <v>3.5</v>
      </c>
      <c r="S426">
        <v>0.8</v>
      </c>
      <c r="T426">
        <v>0</v>
      </c>
      <c r="U426">
        <v>1.5</v>
      </c>
      <c r="V426">
        <v>2.6</v>
      </c>
      <c r="W426">
        <v>3.3</v>
      </c>
      <c r="X426" t="s">
        <v>45</v>
      </c>
      <c r="Y426">
        <v>0</v>
      </c>
      <c r="Z426">
        <v>2</v>
      </c>
      <c r="AA426">
        <v>10.5</v>
      </c>
      <c r="AB426">
        <v>0</v>
      </c>
      <c r="AC426" t="s">
        <v>46</v>
      </c>
      <c r="AE426">
        <v>0</v>
      </c>
      <c r="AF426">
        <v>0</v>
      </c>
      <c r="AG426" t="s">
        <v>47</v>
      </c>
      <c r="AH426" t="s">
        <v>83</v>
      </c>
      <c r="AI426" t="s">
        <v>64</v>
      </c>
      <c r="AJ426" s="1" t="s">
        <v>165</v>
      </c>
      <c r="AK426">
        <v>0.5</v>
      </c>
      <c r="AL426">
        <v>0</v>
      </c>
    </row>
    <row r="427" spans="1:38" x14ac:dyDescent="0.35">
      <c r="A427" t="s">
        <v>614</v>
      </c>
      <c r="B427" t="s">
        <v>39</v>
      </c>
      <c r="C427" t="s">
        <v>66</v>
      </c>
      <c r="D427">
        <v>7.7</v>
      </c>
      <c r="E427" t="s">
        <v>81</v>
      </c>
      <c r="F427">
        <v>27</v>
      </c>
      <c r="G427" t="s">
        <v>42</v>
      </c>
      <c r="H427" t="s">
        <v>43</v>
      </c>
      <c r="I427">
        <v>4</v>
      </c>
      <c r="J427">
        <v>22.9</v>
      </c>
      <c r="K427">
        <v>15</v>
      </c>
      <c r="L427">
        <v>2</v>
      </c>
      <c r="M427">
        <v>12</v>
      </c>
      <c r="N427">
        <v>0</v>
      </c>
      <c r="O427" t="s">
        <v>82</v>
      </c>
      <c r="P427">
        <v>34500</v>
      </c>
      <c r="Q427">
        <v>9.4</v>
      </c>
      <c r="R427">
        <v>2.7</v>
      </c>
      <c r="S427">
        <v>4.4000000000000004</v>
      </c>
      <c r="T427">
        <v>0</v>
      </c>
      <c r="U427">
        <v>4.4000000000000004</v>
      </c>
      <c r="V427">
        <v>3.4</v>
      </c>
      <c r="W427">
        <v>3</v>
      </c>
      <c r="X427" t="s">
        <v>45</v>
      </c>
      <c r="Y427">
        <v>0</v>
      </c>
      <c r="Z427">
        <v>0</v>
      </c>
      <c r="AB427">
        <v>1</v>
      </c>
      <c r="AC427" t="s">
        <v>46</v>
      </c>
      <c r="AE427">
        <v>1</v>
      </c>
      <c r="AF427">
        <v>0</v>
      </c>
      <c r="AG427" t="s">
        <v>75</v>
      </c>
      <c r="AH427" t="s">
        <v>83</v>
      </c>
      <c r="AI427" t="s">
        <v>57</v>
      </c>
      <c r="AJ427">
        <v>3.6</v>
      </c>
      <c r="AK427" s="1" t="s">
        <v>115</v>
      </c>
      <c r="AL427">
        <v>0</v>
      </c>
    </row>
    <row r="428" spans="1:38" x14ac:dyDescent="0.35">
      <c r="A428" t="s">
        <v>615</v>
      </c>
      <c r="B428" t="s">
        <v>73</v>
      </c>
      <c r="C428" t="s">
        <v>177</v>
      </c>
      <c r="D428">
        <v>1.8</v>
      </c>
      <c r="E428" t="s">
        <v>67</v>
      </c>
      <c r="F428">
        <v>28</v>
      </c>
      <c r="G428" t="s">
        <v>42</v>
      </c>
      <c r="H428" t="s">
        <v>55</v>
      </c>
      <c r="I428">
        <v>4</v>
      </c>
      <c r="J428">
        <v>15.9</v>
      </c>
      <c r="K428">
        <v>4</v>
      </c>
      <c r="L428">
        <v>1</v>
      </c>
      <c r="M428">
        <v>12</v>
      </c>
      <c r="N428">
        <v>0</v>
      </c>
      <c r="O428" t="s">
        <v>82</v>
      </c>
      <c r="P428">
        <v>30800</v>
      </c>
      <c r="Q428">
        <v>6.8</v>
      </c>
      <c r="R428">
        <v>3</v>
      </c>
      <c r="S428">
        <v>1.1000000000000001</v>
      </c>
      <c r="T428">
        <v>0</v>
      </c>
      <c r="U428">
        <v>1.6</v>
      </c>
      <c r="V428">
        <v>1.7</v>
      </c>
      <c r="W428">
        <v>4.2</v>
      </c>
      <c r="X428" t="s">
        <v>45</v>
      </c>
      <c r="Y428">
        <v>0</v>
      </c>
      <c r="Z428">
        <v>0</v>
      </c>
      <c r="AB428">
        <v>0</v>
      </c>
      <c r="AC428" t="s">
        <v>46</v>
      </c>
      <c r="AE428">
        <v>1</v>
      </c>
      <c r="AF428">
        <v>0</v>
      </c>
      <c r="AG428" t="s">
        <v>75</v>
      </c>
      <c r="AH428" t="s">
        <v>48</v>
      </c>
      <c r="AI428" t="s">
        <v>49</v>
      </c>
      <c r="AJ428">
        <v>2.5</v>
      </c>
      <c r="AK428" s="1" t="s">
        <v>115</v>
      </c>
      <c r="AL428">
        <v>0</v>
      </c>
    </row>
    <row r="429" spans="1:38" x14ac:dyDescent="0.35">
      <c r="A429" t="s">
        <v>616</v>
      </c>
      <c r="B429" t="s">
        <v>60</v>
      </c>
      <c r="C429" t="s">
        <v>61</v>
      </c>
      <c r="D429">
        <v>1.5</v>
      </c>
      <c r="E429" t="s">
        <v>41</v>
      </c>
      <c r="F429">
        <v>29</v>
      </c>
      <c r="G429" t="s">
        <v>42</v>
      </c>
      <c r="H429" t="s">
        <v>63</v>
      </c>
      <c r="I429">
        <v>1</v>
      </c>
      <c r="J429">
        <v>2.4</v>
      </c>
      <c r="K429">
        <v>8</v>
      </c>
      <c r="L429">
        <v>2</v>
      </c>
      <c r="M429">
        <v>12</v>
      </c>
      <c r="N429">
        <v>0</v>
      </c>
      <c r="O429" t="s">
        <v>56</v>
      </c>
      <c r="P429">
        <v>81300</v>
      </c>
      <c r="Q429">
        <v>0.4</v>
      </c>
      <c r="R429">
        <v>3.9</v>
      </c>
      <c r="S429">
        <v>1.2</v>
      </c>
      <c r="T429">
        <v>0</v>
      </c>
      <c r="U429">
        <v>3.2</v>
      </c>
      <c r="V429">
        <v>3.4</v>
      </c>
      <c r="W429">
        <v>4.4000000000000004</v>
      </c>
      <c r="X429" t="s">
        <v>45</v>
      </c>
      <c r="Y429">
        <v>0</v>
      </c>
      <c r="Z429">
        <v>2</v>
      </c>
      <c r="AA429">
        <v>0.9</v>
      </c>
      <c r="AB429">
        <v>0</v>
      </c>
      <c r="AC429" t="s">
        <v>46</v>
      </c>
      <c r="AE429">
        <v>0</v>
      </c>
      <c r="AF429">
        <v>0</v>
      </c>
      <c r="AG429" t="s">
        <v>47</v>
      </c>
      <c r="AH429" t="s">
        <v>48</v>
      </c>
      <c r="AI429" t="s">
        <v>64</v>
      </c>
      <c r="AJ429" s="1" t="s">
        <v>266</v>
      </c>
      <c r="AK429">
        <v>8.3333333333333301E-2</v>
      </c>
      <c r="AL429">
        <v>0</v>
      </c>
    </row>
    <row r="430" spans="1:38" x14ac:dyDescent="0.35">
      <c r="A430" t="s">
        <v>617</v>
      </c>
      <c r="B430" t="s">
        <v>73</v>
      </c>
      <c r="C430" t="s">
        <v>74</v>
      </c>
      <c r="D430">
        <v>3.4</v>
      </c>
      <c r="E430" t="s">
        <v>41</v>
      </c>
      <c r="F430">
        <v>33</v>
      </c>
      <c r="G430" t="s">
        <v>42</v>
      </c>
      <c r="H430" t="s">
        <v>55</v>
      </c>
      <c r="I430">
        <v>2</v>
      </c>
      <c r="J430">
        <v>2.2999999999999998</v>
      </c>
      <c r="K430">
        <v>12</v>
      </c>
      <c r="L430">
        <v>0</v>
      </c>
      <c r="M430">
        <v>12</v>
      </c>
      <c r="N430">
        <v>0</v>
      </c>
      <c r="O430" t="s">
        <v>44</v>
      </c>
      <c r="P430">
        <v>72200</v>
      </c>
      <c r="Q430">
        <v>4.2</v>
      </c>
      <c r="R430">
        <v>4.7</v>
      </c>
      <c r="S430">
        <v>0.3</v>
      </c>
      <c r="T430">
        <v>0</v>
      </c>
      <c r="U430">
        <v>3</v>
      </c>
      <c r="V430">
        <v>4.5</v>
      </c>
      <c r="W430">
        <v>3.5</v>
      </c>
      <c r="X430" t="s">
        <v>45</v>
      </c>
      <c r="Y430">
        <v>0</v>
      </c>
      <c r="Z430">
        <v>0</v>
      </c>
      <c r="AB430">
        <v>0</v>
      </c>
      <c r="AC430" t="s">
        <v>46</v>
      </c>
      <c r="AE430">
        <v>1</v>
      </c>
      <c r="AF430">
        <v>0</v>
      </c>
      <c r="AG430" t="s">
        <v>75</v>
      </c>
      <c r="AH430" t="s">
        <v>76</v>
      </c>
      <c r="AI430" t="s">
        <v>64</v>
      </c>
      <c r="AJ430" s="1" t="s">
        <v>266</v>
      </c>
      <c r="AK430" s="1" t="s">
        <v>84</v>
      </c>
      <c r="AL430">
        <v>0</v>
      </c>
    </row>
    <row r="431" spans="1:38" x14ac:dyDescent="0.35">
      <c r="A431" t="s">
        <v>618</v>
      </c>
      <c r="B431" t="s">
        <v>39</v>
      </c>
      <c r="C431" t="s">
        <v>88</v>
      </c>
      <c r="D431">
        <v>2.8</v>
      </c>
      <c r="E431" t="s">
        <v>62</v>
      </c>
      <c r="F431">
        <v>27</v>
      </c>
      <c r="G431" t="s">
        <v>68</v>
      </c>
      <c r="H431" t="s">
        <v>43</v>
      </c>
      <c r="I431">
        <v>7</v>
      </c>
      <c r="J431">
        <v>6.5</v>
      </c>
      <c r="K431">
        <v>13</v>
      </c>
      <c r="L431">
        <v>4</v>
      </c>
      <c r="M431">
        <v>12</v>
      </c>
      <c r="N431">
        <v>0</v>
      </c>
      <c r="O431" t="s">
        <v>56</v>
      </c>
      <c r="P431">
        <v>104400</v>
      </c>
      <c r="Q431">
        <v>8.8000000000000007</v>
      </c>
      <c r="R431">
        <v>2.2000000000000002</v>
      </c>
      <c r="S431">
        <v>3.7</v>
      </c>
      <c r="T431">
        <v>0</v>
      </c>
      <c r="U431">
        <v>4</v>
      </c>
      <c r="V431">
        <v>2.2999999999999998</v>
      </c>
      <c r="W431">
        <v>3.4</v>
      </c>
      <c r="X431" t="s">
        <v>89</v>
      </c>
      <c r="Y431">
        <v>0</v>
      </c>
      <c r="Z431">
        <v>2</v>
      </c>
      <c r="AA431">
        <v>1.8</v>
      </c>
      <c r="AB431">
        <v>2</v>
      </c>
      <c r="AC431" t="s">
        <v>46</v>
      </c>
      <c r="AE431">
        <v>0</v>
      </c>
      <c r="AF431">
        <v>0</v>
      </c>
      <c r="AG431" t="s">
        <v>47</v>
      </c>
      <c r="AH431" t="s">
        <v>48</v>
      </c>
      <c r="AI431" t="s">
        <v>64</v>
      </c>
      <c r="AJ431" s="1" t="s">
        <v>198</v>
      </c>
      <c r="AK431" s="1" t="s">
        <v>105</v>
      </c>
      <c r="AL431">
        <v>0</v>
      </c>
    </row>
    <row r="432" spans="1:38" x14ac:dyDescent="0.35">
      <c r="A432" t="s">
        <v>619</v>
      </c>
      <c r="B432" t="s">
        <v>60</v>
      </c>
      <c r="C432" t="s">
        <v>80</v>
      </c>
      <c r="D432">
        <v>5.3</v>
      </c>
      <c r="E432" t="s">
        <v>110</v>
      </c>
      <c r="F432">
        <v>35</v>
      </c>
      <c r="G432" t="s">
        <v>42</v>
      </c>
      <c r="H432" t="s">
        <v>43</v>
      </c>
      <c r="I432">
        <v>2</v>
      </c>
      <c r="J432">
        <v>2.7</v>
      </c>
      <c r="K432">
        <v>7</v>
      </c>
      <c r="L432">
        <v>2</v>
      </c>
      <c r="M432">
        <v>12</v>
      </c>
      <c r="N432">
        <v>0</v>
      </c>
      <c r="O432" t="s">
        <v>44</v>
      </c>
      <c r="P432">
        <v>52900</v>
      </c>
      <c r="Q432">
        <v>3.3</v>
      </c>
      <c r="R432">
        <v>4.2</v>
      </c>
      <c r="S432">
        <v>0.5</v>
      </c>
      <c r="T432">
        <v>0</v>
      </c>
      <c r="U432">
        <v>3.6</v>
      </c>
      <c r="V432">
        <v>4</v>
      </c>
      <c r="W432">
        <v>2</v>
      </c>
      <c r="X432" t="s">
        <v>89</v>
      </c>
      <c r="Y432">
        <v>0</v>
      </c>
      <c r="Z432">
        <v>0</v>
      </c>
      <c r="AB432">
        <v>0</v>
      </c>
      <c r="AC432" t="s">
        <v>46</v>
      </c>
      <c r="AE432">
        <v>1</v>
      </c>
      <c r="AF432">
        <v>0</v>
      </c>
      <c r="AG432" t="s">
        <v>75</v>
      </c>
      <c r="AH432" t="s">
        <v>83</v>
      </c>
      <c r="AI432" t="s">
        <v>64</v>
      </c>
      <c r="AJ432" s="1" t="s">
        <v>162</v>
      </c>
      <c r="AK432" s="1" t="s">
        <v>84</v>
      </c>
      <c r="AL432">
        <v>0</v>
      </c>
    </row>
    <row r="433" spans="1:38" x14ac:dyDescent="0.35">
      <c r="A433" t="s">
        <v>620</v>
      </c>
      <c r="B433" t="s">
        <v>39</v>
      </c>
      <c r="C433" t="s">
        <v>66</v>
      </c>
      <c r="D433">
        <v>3.9</v>
      </c>
      <c r="E433" t="s">
        <v>110</v>
      </c>
      <c r="F433">
        <v>31</v>
      </c>
      <c r="G433" t="s">
        <v>54</v>
      </c>
      <c r="H433" t="s">
        <v>55</v>
      </c>
      <c r="I433">
        <v>3</v>
      </c>
      <c r="J433">
        <v>20.3</v>
      </c>
      <c r="K433">
        <v>10</v>
      </c>
      <c r="L433">
        <v>2</v>
      </c>
      <c r="M433">
        <v>12</v>
      </c>
      <c r="N433">
        <v>0</v>
      </c>
      <c r="O433" t="s">
        <v>44</v>
      </c>
      <c r="P433">
        <v>56800</v>
      </c>
      <c r="Q433">
        <v>1.7</v>
      </c>
      <c r="R433">
        <v>2.9</v>
      </c>
      <c r="S433">
        <v>0.4</v>
      </c>
      <c r="T433">
        <v>0</v>
      </c>
      <c r="U433">
        <v>4.4000000000000004</v>
      </c>
      <c r="V433">
        <v>4.5</v>
      </c>
      <c r="W433">
        <v>4.5</v>
      </c>
      <c r="X433" t="s">
        <v>45</v>
      </c>
      <c r="Y433">
        <v>0</v>
      </c>
      <c r="Z433">
        <v>0</v>
      </c>
      <c r="AB433">
        <v>0</v>
      </c>
      <c r="AC433" t="s">
        <v>46</v>
      </c>
      <c r="AE433">
        <v>1</v>
      </c>
      <c r="AF433">
        <v>0</v>
      </c>
      <c r="AG433" t="s">
        <v>75</v>
      </c>
      <c r="AH433" t="s">
        <v>76</v>
      </c>
      <c r="AI433" t="s">
        <v>57</v>
      </c>
      <c r="AJ433" s="1" t="s">
        <v>356</v>
      </c>
      <c r="AK433">
        <v>0.25</v>
      </c>
      <c r="AL433">
        <v>0</v>
      </c>
    </row>
    <row r="434" spans="1:38" x14ac:dyDescent="0.35">
      <c r="A434" t="s">
        <v>621</v>
      </c>
      <c r="B434" t="s">
        <v>39</v>
      </c>
      <c r="C434" t="s">
        <v>88</v>
      </c>
      <c r="D434">
        <v>3</v>
      </c>
      <c r="E434" t="s">
        <v>67</v>
      </c>
      <c r="F434">
        <v>24</v>
      </c>
      <c r="G434" t="s">
        <v>54</v>
      </c>
      <c r="H434" t="s">
        <v>43</v>
      </c>
      <c r="I434">
        <v>2</v>
      </c>
      <c r="J434">
        <v>5.9</v>
      </c>
      <c r="K434">
        <v>7</v>
      </c>
      <c r="L434">
        <v>1</v>
      </c>
      <c r="M434">
        <v>12</v>
      </c>
      <c r="N434">
        <v>0</v>
      </c>
      <c r="O434" t="s">
        <v>70</v>
      </c>
      <c r="P434">
        <v>40000</v>
      </c>
      <c r="Q434">
        <v>8.3000000000000007</v>
      </c>
      <c r="R434">
        <v>1.7</v>
      </c>
      <c r="S434">
        <v>2.8</v>
      </c>
      <c r="T434">
        <v>0</v>
      </c>
      <c r="U434">
        <v>3</v>
      </c>
      <c r="V434">
        <v>2.6</v>
      </c>
      <c r="W434">
        <v>3.1</v>
      </c>
      <c r="X434" t="s">
        <v>45</v>
      </c>
      <c r="Y434">
        <v>0</v>
      </c>
      <c r="Z434">
        <v>1</v>
      </c>
      <c r="AA434">
        <v>0.6</v>
      </c>
      <c r="AB434">
        <v>0</v>
      </c>
      <c r="AC434" t="s">
        <v>46</v>
      </c>
      <c r="AE434">
        <v>0</v>
      </c>
      <c r="AF434">
        <v>0</v>
      </c>
      <c r="AG434" t="s">
        <v>47</v>
      </c>
      <c r="AH434" t="s">
        <v>48</v>
      </c>
      <c r="AI434" t="s">
        <v>64</v>
      </c>
      <c r="AJ434">
        <v>2.9</v>
      </c>
      <c r="AK434" s="1" t="s">
        <v>84</v>
      </c>
      <c r="AL434">
        <v>0</v>
      </c>
    </row>
    <row r="435" spans="1:38" x14ac:dyDescent="0.35">
      <c r="A435" t="s">
        <v>622</v>
      </c>
      <c r="B435" t="s">
        <v>60</v>
      </c>
      <c r="C435" t="s">
        <v>80</v>
      </c>
      <c r="D435">
        <v>0.9</v>
      </c>
      <c r="E435" t="s">
        <v>41</v>
      </c>
      <c r="F435">
        <v>21</v>
      </c>
      <c r="G435" t="s">
        <v>42</v>
      </c>
      <c r="H435" t="s">
        <v>94</v>
      </c>
      <c r="I435">
        <v>5</v>
      </c>
      <c r="J435">
        <v>14.9</v>
      </c>
      <c r="K435">
        <v>6</v>
      </c>
      <c r="L435">
        <v>5</v>
      </c>
      <c r="M435">
        <v>12</v>
      </c>
      <c r="N435">
        <v>0</v>
      </c>
      <c r="O435" t="s">
        <v>44</v>
      </c>
      <c r="P435">
        <v>69700</v>
      </c>
      <c r="Q435">
        <v>11.1</v>
      </c>
      <c r="R435">
        <v>1.6</v>
      </c>
      <c r="S435">
        <v>1.5</v>
      </c>
      <c r="T435">
        <v>0</v>
      </c>
      <c r="U435">
        <v>3.3</v>
      </c>
      <c r="V435">
        <v>3.6</v>
      </c>
      <c r="W435">
        <v>3.3</v>
      </c>
      <c r="X435" t="s">
        <v>45</v>
      </c>
      <c r="Y435">
        <v>1</v>
      </c>
      <c r="Z435">
        <v>0</v>
      </c>
      <c r="AB435">
        <v>0</v>
      </c>
      <c r="AC435" t="s">
        <v>46</v>
      </c>
      <c r="AE435">
        <v>1</v>
      </c>
      <c r="AF435">
        <v>0</v>
      </c>
      <c r="AG435" t="s">
        <v>75</v>
      </c>
      <c r="AH435" t="s">
        <v>95</v>
      </c>
      <c r="AI435" t="s">
        <v>49</v>
      </c>
      <c r="AJ435">
        <v>3.4</v>
      </c>
      <c r="AK435" s="1" t="s">
        <v>127</v>
      </c>
      <c r="AL435">
        <v>0</v>
      </c>
    </row>
    <row r="436" spans="1:38" x14ac:dyDescent="0.35">
      <c r="A436" t="s">
        <v>623</v>
      </c>
      <c r="B436" t="s">
        <v>73</v>
      </c>
      <c r="C436" t="s">
        <v>113</v>
      </c>
      <c r="D436">
        <v>5.9</v>
      </c>
      <c r="E436" t="s">
        <v>67</v>
      </c>
      <c r="F436">
        <v>36</v>
      </c>
      <c r="G436" t="s">
        <v>42</v>
      </c>
      <c r="H436" t="s">
        <v>55</v>
      </c>
      <c r="I436">
        <v>4</v>
      </c>
      <c r="J436">
        <v>17.399999999999999</v>
      </c>
      <c r="K436">
        <v>14</v>
      </c>
      <c r="L436">
        <v>2</v>
      </c>
      <c r="M436">
        <v>12</v>
      </c>
      <c r="N436">
        <v>0</v>
      </c>
      <c r="O436" t="s">
        <v>70</v>
      </c>
      <c r="P436">
        <v>35100</v>
      </c>
      <c r="Q436">
        <v>7</v>
      </c>
      <c r="R436">
        <v>4.4000000000000004</v>
      </c>
      <c r="S436">
        <v>0.8</v>
      </c>
      <c r="T436">
        <v>0</v>
      </c>
      <c r="U436">
        <v>3.7</v>
      </c>
      <c r="V436">
        <v>4.5999999999999996</v>
      </c>
      <c r="W436">
        <v>4.2</v>
      </c>
      <c r="X436" t="s">
        <v>45</v>
      </c>
      <c r="Y436">
        <v>0</v>
      </c>
      <c r="Z436">
        <v>1</v>
      </c>
      <c r="AA436">
        <v>2.8</v>
      </c>
      <c r="AB436">
        <v>0</v>
      </c>
      <c r="AC436" t="s">
        <v>124</v>
      </c>
      <c r="AD436" s="2">
        <v>45342</v>
      </c>
      <c r="AE436">
        <v>0</v>
      </c>
      <c r="AF436">
        <v>0</v>
      </c>
      <c r="AG436" t="s">
        <v>47</v>
      </c>
      <c r="AH436" t="s">
        <v>83</v>
      </c>
      <c r="AI436" t="s">
        <v>49</v>
      </c>
      <c r="AJ436" s="1" t="s">
        <v>284</v>
      </c>
      <c r="AK436" s="1" t="s">
        <v>115</v>
      </c>
      <c r="AL436">
        <v>1</v>
      </c>
    </row>
    <row r="437" spans="1:38" x14ac:dyDescent="0.35">
      <c r="A437" t="s">
        <v>624</v>
      </c>
      <c r="B437" t="s">
        <v>73</v>
      </c>
      <c r="C437" t="s">
        <v>121</v>
      </c>
      <c r="D437">
        <v>0.8</v>
      </c>
      <c r="E437" t="s">
        <v>67</v>
      </c>
      <c r="F437">
        <v>32</v>
      </c>
      <c r="G437" t="s">
        <v>68</v>
      </c>
      <c r="H437" t="s">
        <v>69</v>
      </c>
      <c r="I437">
        <v>1</v>
      </c>
      <c r="J437">
        <v>1.2</v>
      </c>
      <c r="K437">
        <v>14</v>
      </c>
      <c r="L437">
        <v>0</v>
      </c>
      <c r="M437">
        <v>12</v>
      </c>
      <c r="N437">
        <v>0</v>
      </c>
      <c r="O437" t="s">
        <v>70</v>
      </c>
      <c r="P437">
        <v>39600</v>
      </c>
      <c r="Q437">
        <v>11.6</v>
      </c>
      <c r="R437">
        <v>4.5</v>
      </c>
      <c r="S437">
        <v>1</v>
      </c>
      <c r="T437">
        <v>0</v>
      </c>
      <c r="U437">
        <v>4.2</v>
      </c>
      <c r="V437">
        <v>3.4</v>
      </c>
      <c r="W437">
        <v>3.6</v>
      </c>
      <c r="X437" t="s">
        <v>45</v>
      </c>
      <c r="Y437">
        <v>0</v>
      </c>
      <c r="Z437">
        <v>0</v>
      </c>
      <c r="AB437">
        <v>0</v>
      </c>
      <c r="AC437" t="s">
        <v>46</v>
      </c>
      <c r="AE437">
        <v>1</v>
      </c>
      <c r="AF437">
        <v>0</v>
      </c>
      <c r="AG437" t="s">
        <v>75</v>
      </c>
      <c r="AH437" t="s">
        <v>95</v>
      </c>
      <c r="AI437" t="s">
        <v>64</v>
      </c>
      <c r="AJ437" s="1" t="s">
        <v>114</v>
      </c>
      <c r="AK437">
        <v>8.3333333333333301E-2</v>
      </c>
      <c r="AL437">
        <v>0</v>
      </c>
    </row>
    <row r="438" spans="1:38" x14ac:dyDescent="0.35">
      <c r="A438" t="s">
        <v>625</v>
      </c>
      <c r="B438" t="s">
        <v>73</v>
      </c>
      <c r="C438" t="s">
        <v>121</v>
      </c>
      <c r="D438">
        <v>7.7</v>
      </c>
      <c r="E438" t="s">
        <v>110</v>
      </c>
      <c r="F438">
        <v>35</v>
      </c>
      <c r="G438" t="s">
        <v>68</v>
      </c>
      <c r="H438" t="s">
        <v>43</v>
      </c>
      <c r="I438">
        <v>0</v>
      </c>
      <c r="J438">
        <v>6.2</v>
      </c>
      <c r="K438">
        <v>8</v>
      </c>
      <c r="L438">
        <v>2</v>
      </c>
      <c r="M438">
        <v>12</v>
      </c>
      <c r="N438">
        <v>0</v>
      </c>
      <c r="O438" t="s">
        <v>70</v>
      </c>
      <c r="P438">
        <v>44100</v>
      </c>
      <c r="Q438">
        <v>10.5</v>
      </c>
      <c r="R438">
        <v>2.7</v>
      </c>
      <c r="S438">
        <v>0.5</v>
      </c>
      <c r="T438">
        <v>0</v>
      </c>
      <c r="U438">
        <v>4</v>
      </c>
      <c r="V438">
        <v>3.9</v>
      </c>
      <c r="W438">
        <v>4.2</v>
      </c>
      <c r="X438" t="s">
        <v>45</v>
      </c>
      <c r="Y438">
        <v>0</v>
      </c>
      <c r="Z438">
        <v>0</v>
      </c>
      <c r="AB438">
        <v>1</v>
      </c>
      <c r="AC438" t="s">
        <v>46</v>
      </c>
      <c r="AE438">
        <v>1</v>
      </c>
      <c r="AF438">
        <v>0</v>
      </c>
      <c r="AG438" t="s">
        <v>75</v>
      </c>
      <c r="AH438" t="s">
        <v>83</v>
      </c>
      <c r="AI438" t="s">
        <v>64</v>
      </c>
      <c r="AJ438" s="1" t="s">
        <v>156</v>
      </c>
      <c r="AK438">
        <v>0</v>
      </c>
      <c r="AL438">
        <v>0</v>
      </c>
    </row>
    <row r="439" spans="1:38" x14ac:dyDescent="0.35">
      <c r="A439" t="s">
        <v>626</v>
      </c>
      <c r="B439" t="s">
        <v>117</v>
      </c>
      <c r="C439" t="s">
        <v>189</v>
      </c>
      <c r="D439">
        <v>0.5</v>
      </c>
      <c r="E439" t="s">
        <v>110</v>
      </c>
      <c r="F439">
        <v>32</v>
      </c>
      <c r="G439" t="s">
        <v>42</v>
      </c>
      <c r="H439" t="s">
        <v>55</v>
      </c>
      <c r="I439">
        <v>6</v>
      </c>
      <c r="J439">
        <v>8.4</v>
      </c>
      <c r="K439">
        <v>9</v>
      </c>
      <c r="L439">
        <v>1</v>
      </c>
      <c r="M439">
        <v>12</v>
      </c>
      <c r="N439">
        <v>0</v>
      </c>
      <c r="O439" t="s">
        <v>44</v>
      </c>
      <c r="P439">
        <v>57800</v>
      </c>
      <c r="Q439">
        <v>12.6</v>
      </c>
      <c r="R439">
        <v>3</v>
      </c>
      <c r="S439">
        <v>0.6</v>
      </c>
      <c r="T439">
        <v>0</v>
      </c>
      <c r="U439">
        <v>3.6</v>
      </c>
      <c r="V439">
        <v>1.6</v>
      </c>
      <c r="W439">
        <v>3.9</v>
      </c>
      <c r="X439" t="s">
        <v>45</v>
      </c>
      <c r="Y439">
        <v>0</v>
      </c>
      <c r="Z439">
        <v>0</v>
      </c>
      <c r="AB439">
        <v>0</v>
      </c>
      <c r="AC439" t="s">
        <v>46</v>
      </c>
      <c r="AE439">
        <v>1</v>
      </c>
      <c r="AF439">
        <v>0</v>
      </c>
      <c r="AG439" t="s">
        <v>75</v>
      </c>
      <c r="AH439" t="s">
        <v>95</v>
      </c>
      <c r="AI439" t="s">
        <v>64</v>
      </c>
      <c r="AJ439" s="1" t="s">
        <v>627</v>
      </c>
      <c r="AK439">
        <v>0.5</v>
      </c>
      <c r="AL439">
        <v>0</v>
      </c>
    </row>
    <row r="440" spans="1:38" x14ac:dyDescent="0.35">
      <c r="A440" t="s">
        <v>628</v>
      </c>
      <c r="B440" t="s">
        <v>39</v>
      </c>
      <c r="C440" t="s">
        <v>40</v>
      </c>
      <c r="D440">
        <v>0.8</v>
      </c>
      <c r="E440" t="s">
        <v>81</v>
      </c>
      <c r="F440">
        <v>31</v>
      </c>
      <c r="G440" t="s">
        <v>42</v>
      </c>
      <c r="H440" t="s">
        <v>55</v>
      </c>
      <c r="I440">
        <v>2</v>
      </c>
      <c r="J440">
        <v>12.4</v>
      </c>
      <c r="K440">
        <v>6</v>
      </c>
      <c r="L440">
        <v>2</v>
      </c>
      <c r="M440">
        <v>12</v>
      </c>
      <c r="N440">
        <v>0</v>
      </c>
      <c r="O440" t="s">
        <v>82</v>
      </c>
      <c r="P440">
        <v>28700</v>
      </c>
      <c r="Q440">
        <v>16.7</v>
      </c>
      <c r="R440">
        <v>1.6</v>
      </c>
      <c r="S440">
        <v>0.1</v>
      </c>
      <c r="T440">
        <v>0</v>
      </c>
      <c r="U440">
        <v>3.5</v>
      </c>
      <c r="V440">
        <v>3.3</v>
      </c>
      <c r="W440">
        <v>3.6</v>
      </c>
      <c r="X440" t="s">
        <v>89</v>
      </c>
      <c r="Y440">
        <v>1</v>
      </c>
      <c r="Z440">
        <v>0</v>
      </c>
      <c r="AB440">
        <v>0</v>
      </c>
      <c r="AC440" t="s">
        <v>46</v>
      </c>
      <c r="AE440">
        <v>1</v>
      </c>
      <c r="AF440">
        <v>0</v>
      </c>
      <c r="AG440" t="s">
        <v>75</v>
      </c>
      <c r="AH440" t="s">
        <v>95</v>
      </c>
      <c r="AI440" t="s">
        <v>49</v>
      </c>
      <c r="AJ440" s="1" t="s">
        <v>77</v>
      </c>
      <c r="AK440" s="1" t="s">
        <v>84</v>
      </c>
      <c r="AL440">
        <v>0</v>
      </c>
    </row>
    <row r="441" spans="1:38" x14ac:dyDescent="0.35">
      <c r="A441" t="s">
        <v>629</v>
      </c>
      <c r="B441" t="s">
        <v>39</v>
      </c>
      <c r="C441" t="s">
        <v>88</v>
      </c>
      <c r="D441">
        <v>1.8</v>
      </c>
      <c r="E441" t="s">
        <v>67</v>
      </c>
      <c r="F441">
        <v>31</v>
      </c>
      <c r="G441" t="s">
        <v>42</v>
      </c>
      <c r="H441" t="s">
        <v>55</v>
      </c>
      <c r="I441">
        <v>1</v>
      </c>
      <c r="J441">
        <v>19.5</v>
      </c>
      <c r="K441">
        <v>11</v>
      </c>
      <c r="L441">
        <v>1</v>
      </c>
      <c r="M441">
        <v>12</v>
      </c>
      <c r="N441">
        <v>0</v>
      </c>
      <c r="O441" t="s">
        <v>70</v>
      </c>
      <c r="P441">
        <v>40100</v>
      </c>
      <c r="Q441">
        <v>18.5</v>
      </c>
      <c r="R441">
        <v>3.9</v>
      </c>
      <c r="S441">
        <v>2.5</v>
      </c>
      <c r="T441">
        <v>0</v>
      </c>
      <c r="U441">
        <v>3.3</v>
      </c>
      <c r="V441">
        <v>3.7</v>
      </c>
      <c r="W441">
        <v>3.6</v>
      </c>
      <c r="X441" t="s">
        <v>45</v>
      </c>
      <c r="Y441">
        <v>0</v>
      </c>
      <c r="Z441">
        <v>1</v>
      </c>
      <c r="AA441">
        <v>1.6</v>
      </c>
      <c r="AB441">
        <v>0</v>
      </c>
      <c r="AC441" t="s">
        <v>46</v>
      </c>
      <c r="AE441">
        <v>0</v>
      </c>
      <c r="AF441">
        <v>0</v>
      </c>
      <c r="AG441" t="s">
        <v>47</v>
      </c>
      <c r="AH441" t="s">
        <v>48</v>
      </c>
      <c r="AI441" t="s">
        <v>49</v>
      </c>
      <c r="AJ441" s="1" t="s">
        <v>122</v>
      </c>
      <c r="AK441">
        <v>8.3333333333333301E-2</v>
      </c>
      <c r="AL441">
        <v>0</v>
      </c>
    </row>
    <row r="442" spans="1:38" x14ac:dyDescent="0.35">
      <c r="A442" t="s">
        <v>630</v>
      </c>
      <c r="B442" t="s">
        <v>60</v>
      </c>
      <c r="C442" t="s">
        <v>61</v>
      </c>
      <c r="D442">
        <v>2.7</v>
      </c>
      <c r="E442" t="s">
        <v>67</v>
      </c>
      <c r="F442">
        <v>25</v>
      </c>
      <c r="G442" t="s">
        <v>42</v>
      </c>
      <c r="H442" t="s">
        <v>55</v>
      </c>
      <c r="I442">
        <v>1</v>
      </c>
      <c r="J442">
        <v>43.5</v>
      </c>
      <c r="K442">
        <v>5</v>
      </c>
      <c r="L442">
        <v>3</v>
      </c>
      <c r="M442">
        <v>12</v>
      </c>
      <c r="N442">
        <v>0</v>
      </c>
      <c r="O442" t="s">
        <v>82</v>
      </c>
      <c r="P442">
        <v>26300</v>
      </c>
      <c r="Q442">
        <v>10.9</v>
      </c>
      <c r="R442">
        <v>3.2</v>
      </c>
      <c r="S442">
        <v>0.9</v>
      </c>
      <c r="T442">
        <v>0</v>
      </c>
      <c r="U442">
        <v>3.7</v>
      </c>
      <c r="V442">
        <v>2</v>
      </c>
      <c r="W442">
        <v>2.5</v>
      </c>
      <c r="X442" t="s">
        <v>89</v>
      </c>
      <c r="Y442">
        <v>0</v>
      </c>
      <c r="Z442">
        <v>3</v>
      </c>
      <c r="AA442">
        <v>1.5</v>
      </c>
      <c r="AB442">
        <v>0</v>
      </c>
      <c r="AC442" t="s">
        <v>46</v>
      </c>
      <c r="AE442">
        <v>0</v>
      </c>
      <c r="AF442">
        <v>0</v>
      </c>
      <c r="AG442" t="s">
        <v>47</v>
      </c>
      <c r="AH442" t="s">
        <v>48</v>
      </c>
      <c r="AI442" t="s">
        <v>57</v>
      </c>
      <c r="AJ442" s="1" t="s">
        <v>168</v>
      </c>
      <c r="AK442">
        <v>8.3333333333333301E-2</v>
      </c>
      <c r="AL442">
        <v>0</v>
      </c>
    </row>
    <row r="443" spans="1:38" x14ac:dyDescent="0.35">
      <c r="A443" t="s">
        <v>631</v>
      </c>
      <c r="B443" t="s">
        <v>73</v>
      </c>
      <c r="C443" t="s">
        <v>177</v>
      </c>
      <c r="D443">
        <v>2.2000000000000002</v>
      </c>
      <c r="E443" t="s">
        <v>41</v>
      </c>
      <c r="F443">
        <v>35</v>
      </c>
      <c r="G443" t="s">
        <v>42</v>
      </c>
      <c r="H443" t="s">
        <v>43</v>
      </c>
      <c r="I443">
        <v>3</v>
      </c>
      <c r="J443">
        <v>31.3</v>
      </c>
      <c r="K443">
        <v>14</v>
      </c>
      <c r="L443">
        <v>1</v>
      </c>
      <c r="M443">
        <v>12</v>
      </c>
      <c r="N443">
        <v>0</v>
      </c>
      <c r="O443" t="s">
        <v>44</v>
      </c>
      <c r="P443">
        <v>60700</v>
      </c>
      <c r="Q443">
        <v>6.2</v>
      </c>
      <c r="R443">
        <v>1.8</v>
      </c>
      <c r="S443">
        <v>2.9</v>
      </c>
      <c r="T443">
        <v>0</v>
      </c>
      <c r="U443">
        <v>5</v>
      </c>
      <c r="V443">
        <v>2.2999999999999998</v>
      </c>
      <c r="W443">
        <v>3.3</v>
      </c>
      <c r="X443" t="s">
        <v>45</v>
      </c>
      <c r="Y443">
        <v>0</v>
      </c>
      <c r="Z443">
        <v>0</v>
      </c>
      <c r="AB443">
        <v>0</v>
      </c>
      <c r="AC443" t="s">
        <v>124</v>
      </c>
      <c r="AD443" s="2">
        <v>45980</v>
      </c>
      <c r="AE443">
        <v>1</v>
      </c>
      <c r="AF443">
        <v>0</v>
      </c>
      <c r="AG443" t="s">
        <v>75</v>
      </c>
      <c r="AH443" t="s">
        <v>48</v>
      </c>
      <c r="AI443" t="s">
        <v>57</v>
      </c>
      <c r="AJ443" s="1" t="s">
        <v>122</v>
      </c>
      <c r="AK443">
        <v>0.25</v>
      </c>
      <c r="AL443">
        <v>1</v>
      </c>
    </row>
    <row r="444" spans="1:38" x14ac:dyDescent="0.35">
      <c r="A444" t="s">
        <v>632</v>
      </c>
      <c r="B444" t="s">
        <v>39</v>
      </c>
      <c r="C444" t="s">
        <v>88</v>
      </c>
      <c r="D444">
        <v>2.6</v>
      </c>
      <c r="E444" t="s">
        <v>67</v>
      </c>
      <c r="F444">
        <v>31</v>
      </c>
      <c r="G444" t="s">
        <v>68</v>
      </c>
      <c r="H444" t="s">
        <v>94</v>
      </c>
      <c r="I444">
        <v>6</v>
      </c>
      <c r="J444">
        <v>9.6</v>
      </c>
      <c r="K444">
        <v>8</v>
      </c>
      <c r="L444">
        <v>2</v>
      </c>
      <c r="M444">
        <v>12</v>
      </c>
      <c r="N444">
        <v>0</v>
      </c>
      <c r="O444" t="s">
        <v>70</v>
      </c>
      <c r="P444">
        <v>36000</v>
      </c>
      <c r="Q444">
        <v>8.1999999999999993</v>
      </c>
      <c r="R444">
        <v>3.4</v>
      </c>
      <c r="S444">
        <v>0.3</v>
      </c>
      <c r="T444">
        <v>0</v>
      </c>
      <c r="U444">
        <v>3.1</v>
      </c>
      <c r="V444">
        <v>3.7</v>
      </c>
      <c r="W444">
        <v>4.3</v>
      </c>
      <c r="X444" t="s">
        <v>45</v>
      </c>
      <c r="Y444">
        <v>0</v>
      </c>
      <c r="Z444">
        <v>3</v>
      </c>
      <c r="AA444">
        <v>1.2</v>
      </c>
      <c r="AB444">
        <v>1</v>
      </c>
      <c r="AC444" t="s">
        <v>46</v>
      </c>
      <c r="AE444">
        <v>0</v>
      </c>
      <c r="AF444">
        <v>0</v>
      </c>
      <c r="AG444" t="s">
        <v>47</v>
      </c>
      <c r="AH444" t="s">
        <v>48</v>
      </c>
      <c r="AI444" t="s">
        <v>64</v>
      </c>
      <c r="AJ444" s="1" t="s">
        <v>561</v>
      </c>
      <c r="AK444">
        <v>0.5</v>
      </c>
      <c r="AL444">
        <v>0</v>
      </c>
    </row>
    <row r="445" spans="1:38" x14ac:dyDescent="0.35">
      <c r="A445" t="s">
        <v>633</v>
      </c>
      <c r="B445" t="s">
        <v>73</v>
      </c>
      <c r="C445" t="s">
        <v>177</v>
      </c>
      <c r="D445">
        <v>4.5999999999999996</v>
      </c>
      <c r="E445" t="s">
        <v>41</v>
      </c>
      <c r="F445">
        <v>29</v>
      </c>
      <c r="G445" t="s">
        <v>42</v>
      </c>
      <c r="H445" t="s">
        <v>69</v>
      </c>
      <c r="I445">
        <v>1</v>
      </c>
      <c r="J445">
        <v>9.5</v>
      </c>
      <c r="K445">
        <v>15</v>
      </c>
      <c r="L445">
        <v>1</v>
      </c>
      <c r="M445">
        <v>12</v>
      </c>
      <c r="N445">
        <v>0</v>
      </c>
      <c r="O445" t="s">
        <v>56</v>
      </c>
      <c r="P445">
        <v>78600</v>
      </c>
      <c r="Q445">
        <v>14.3</v>
      </c>
      <c r="R445">
        <v>1.9</v>
      </c>
      <c r="S445">
        <v>2.1</v>
      </c>
      <c r="T445">
        <v>0</v>
      </c>
      <c r="U445">
        <v>3</v>
      </c>
      <c r="V445">
        <v>2.9</v>
      </c>
      <c r="W445">
        <v>3.4</v>
      </c>
      <c r="X445" t="s">
        <v>89</v>
      </c>
      <c r="Y445">
        <v>1</v>
      </c>
      <c r="Z445">
        <v>0</v>
      </c>
      <c r="AB445">
        <v>0</v>
      </c>
      <c r="AC445" t="s">
        <v>46</v>
      </c>
      <c r="AE445">
        <v>1</v>
      </c>
      <c r="AF445">
        <v>0</v>
      </c>
      <c r="AG445" t="s">
        <v>75</v>
      </c>
      <c r="AH445" t="s">
        <v>76</v>
      </c>
      <c r="AI445" t="s">
        <v>64</v>
      </c>
      <c r="AJ445">
        <v>3.1</v>
      </c>
      <c r="AK445">
        <v>8.3333333333333301E-2</v>
      </c>
      <c r="AL445">
        <v>0</v>
      </c>
    </row>
    <row r="446" spans="1:38" x14ac:dyDescent="0.35">
      <c r="A446" t="s">
        <v>634</v>
      </c>
      <c r="B446" t="s">
        <v>98</v>
      </c>
      <c r="C446" t="s">
        <v>99</v>
      </c>
      <c r="D446">
        <v>1.8</v>
      </c>
      <c r="E446" t="s">
        <v>67</v>
      </c>
      <c r="F446">
        <v>25</v>
      </c>
      <c r="G446" t="s">
        <v>42</v>
      </c>
      <c r="H446" t="s">
        <v>63</v>
      </c>
      <c r="I446">
        <v>1</v>
      </c>
      <c r="J446">
        <v>29</v>
      </c>
      <c r="K446">
        <v>9</v>
      </c>
      <c r="L446">
        <v>2</v>
      </c>
      <c r="M446">
        <v>12</v>
      </c>
      <c r="N446">
        <v>0</v>
      </c>
      <c r="O446" t="s">
        <v>82</v>
      </c>
      <c r="P446">
        <v>33700</v>
      </c>
      <c r="Q446">
        <v>4.4000000000000004</v>
      </c>
      <c r="R446">
        <v>3.7</v>
      </c>
      <c r="S446">
        <v>0.4</v>
      </c>
      <c r="T446">
        <v>0</v>
      </c>
      <c r="U446">
        <v>2.9</v>
      </c>
      <c r="V446">
        <v>4.2</v>
      </c>
      <c r="W446">
        <v>2.8</v>
      </c>
      <c r="X446" t="s">
        <v>45</v>
      </c>
      <c r="Y446">
        <v>0</v>
      </c>
      <c r="Z446">
        <v>0</v>
      </c>
      <c r="AB446">
        <v>0</v>
      </c>
      <c r="AC446" t="s">
        <v>46</v>
      </c>
      <c r="AE446">
        <v>1</v>
      </c>
      <c r="AF446">
        <v>0</v>
      </c>
      <c r="AG446" t="s">
        <v>75</v>
      </c>
      <c r="AH446" t="s">
        <v>48</v>
      </c>
      <c r="AI446" t="s">
        <v>57</v>
      </c>
      <c r="AJ446" s="1" t="s">
        <v>108</v>
      </c>
      <c r="AK446">
        <v>8.3333333333333301E-2</v>
      </c>
      <c r="AL446">
        <v>0</v>
      </c>
    </row>
    <row r="447" spans="1:38" x14ac:dyDescent="0.35">
      <c r="A447" t="s">
        <v>635</v>
      </c>
      <c r="B447" t="s">
        <v>39</v>
      </c>
      <c r="C447" t="s">
        <v>40</v>
      </c>
      <c r="D447">
        <v>4.5999999999999996</v>
      </c>
      <c r="E447" t="s">
        <v>110</v>
      </c>
      <c r="F447">
        <v>32</v>
      </c>
      <c r="G447" t="s">
        <v>42</v>
      </c>
      <c r="H447" t="s">
        <v>43</v>
      </c>
      <c r="I447">
        <v>0</v>
      </c>
      <c r="J447">
        <v>10</v>
      </c>
      <c r="K447">
        <v>9</v>
      </c>
      <c r="L447">
        <v>5</v>
      </c>
      <c r="M447">
        <v>12</v>
      </c>
      <c r="N447">
        <v>0</v>
      </c>
      <c r="O447" t="s">
        <v>44</v>
      </c>
      <c r="P447">
        <v>70500</v>
      </c>
      <c r="Q447">
        <v>13.8</v>
      </c>
      <c r="R447">
        <v>2.2000000000000002</v>
      </c>
      <c r="S447">
        <v>0.6</v>
      </c>
      <c r="T447">
        <v>0</v>
      </c>
      <c r="U447">
        <v>3.7</v>
      </c>
      <c r="V447">
        <v>3.5</v>
      </c>
      <c r="W447">
        <v>2.7</v>
      </c>
      <c r="X447" t="s">
        <v>45</v>
      </c>
      <c r="Y447">
        <v>0</v>
      </c>
      <c r="Z447">
        <v>0</v>
      </c>
      <c r="AB447">
        <v>0</v>
      </c>
      <c r="AC447" t="s">
        <v>46</v>
      </c>
      <c r="AE447">
        <v>1</v>
      </c>
      <c r="AF447">
        <v>0</v>
      </c>
      <c r="AG447" t="s">
        <v>75</v>
      </c>
      <c r="AH447" t="s">
        <v>76</v>
      </c>
      <c r="AI447" t="s">
        <v>64</v>
      </c>
      <c r="AJ447" s="1" t="s">
        <v>71</v>
      </c>
      <c r="AK447">
        <v>0</v>
      </c>
      <c r="AL447">
        <v>0</v>
      </c>
    </row>
    <row r="448" spans="1:38" x14ac:dyDescent="0.35">
      <c r="A448" t="s">
        <v>636</v>
      </c>
      <c r="B448" t="s">
        <v>60</v>
      </c>
      <c r="C448" t="s">
        <v>107</v>
      </c>
      <c r="D448">
        <v>0.3</v>
      </c>
      <c r="E448" t="s">
        <v>81</v>
      </c>
      <c r="F448">
        <v>21</v>
      </c>
      <c r="G448" t="s">
        <v>42</v>
      </c>
      <c r="H448" t="s">
        <v>69</v>
      </c>
      <c r="I448">
        <v>5</v>
      </c>
      <c r="J448">
        <v>6.1</v>
      </c>
      <c r="K448">
        <v>5</v>
      </c>
      <c r="L448">
        <v>2</v>
      </c>
      <c r="M448">
        <v>12</v>
      </c>
      <c r="N448">
        <v>0</v>
      </c>
      <c r="O448" t="s">
        <v>82</v>
      </c>
      <c r="P448">
        <v>27100</v>
      </c>
      <c r="Q448">
        <v>7.3</v>
      </c>
      <c r="R448">
        <v>3.5</v>
      </c>
      <c r="S448">
        <v>1.1000000000000001</v>
      </c>
      <c r="T448">
        <v>0</v>
      </c>
      <c r="U448">
        <v>1.4</v>
      </c>
      <c r="V448">
        <v>3.3</v>
      </c>
      <c r="W448">
        <v>3.5</v>
      </c>
      <c r="X448" t="s">
        <v>45</v>
      </c>
      <c r="Y448">
        <v>0</v>
      </c>
      <c r="Z448">
        <v>2</v>
      </c>
      <c r="AA448">
        <v>0.4</v>
      </c>
      <c r="AB448">
        <v>1</v>
      </c>
      <c r="AC448" t="s">
        <v>46</v>
      </c>
      <c r="AE448">
        <v>0</v>
      </c>
      <c r="AF448">
        <v>0</v>
      </c>
      <c r="AG448" t="s">
        <v>47</v>
      </c>
      <c r="AH448" t="s">
        <v>95</v>
      </c>
      <c r="AI448" t="s">
        <v>64</v>
      </c>
      <c r="AJ448" s="1" t="s">
        <v>168</v>
      </c>
      <c r="AK448" s="1" t="s">
        <v>127</v>
      </c>
      <c r="AL448">
        <v>0</v>
      </c>
    </row>
    <row r="449" spans="1:38" x14ac:dyDescent="0.35">
      <c r="A449" t="s">
        <v>637</v>
      </c>
      <c r="B449" t="s">
        <v>39</v>
      </c>
      <c r="C449" t="s">
        <v>66</v>
      </c>
      <c r="D449">
        <v>1.8</v>
      </c>
      <c r="E449" t="s">
        <v>62</v>
      </c>
      <c r="F449">
        <v>31</v>
      </c>
      <c r="G449" t="s">
        <v>68</v>
      </c>
      <c r="H449" t="s">
        <v>69</v>
      </c>
      <c r="I449">
        <v>2</v>
      </c>
      <c r="J449">
        <v>20.5</v>
      </c>
      <c r="K449">
        <v>4</v>
      </c>
      <c r="L449">
        <v>3</v>
      </c>
      <c r="M449">
        <v>12</v>
      </c>
      <c r="N449">
        <v>0</v>
      </c>
      <c r="O449" t="s">
        <v>56</v>
      </c>
      <c r="P449">
        <v>83400</v>
      </c>
      <c r="Q449">
        <v>8.9</v>
      </c>
      <c r="R449">
        <v>2.6</v>
      </c>
      <c r="S449">
        <v>5.5</v>
      </c>
      <c r="T449">
        <v>0</v>
      </c>
      <c r="U449">
        <v>3.2</v>
      </c>
      <c r="V449">
        <v>3</v>
      </c>
      <c r="W449">
        <v>4.5</v>
      </c>
      <c r="X449" t="s">
        <v>45</v>
      </c>
      <c r="Y449">
        <v>0</v>
      </c>
      <c r="Z449">
        <v>1</v>
      </c>
      <c r="AA449">
        <v>0.4</v>
      </c>
      <c r="AB449">
        <v>1</v>
      </c>
      <c r="AC449" t="s">
        <v>46</v>
      </c>
      <c r="AE449">
        <v>0</v>
      </c>
      <c r="AF449">
        <v>0</v>
      </c>
      <c r="AG449" t="s">
        <v>47</v>
      </c>
      <c r="AH449" t="s">
        <v>48</v>
      </c>
      <c r="AI449" t="s">
        <v>57</v>
      </c>
      <c r="AJ449" s="1" t="s">
        <v>126</v>
      </c>
      <c r="AK449" s="1" t="s">
        <v>84</v>
      </c>
      <c r="AL449">
        <v>0</v>
      </c>
    </row>
    <row r="450" spans="1:38" x14ac:dyDescent="0.35">
      <c r="A450" t="s">
        <v>638</v>
      </c>
      <c r="B450" t="s">
        <v>73</v>
      </c>
      <c r="C450" t="s">
        <v>74</v>
      </c>
      <c r="D450">
        <v>0.7</v>
      </c>
      <c r="E450" t="s">
        <v>67</v>
      </c>
      <c r="F450">
        <v>23</v>
      </c>
      <c r="G450" t="s">
        <v>54</v>
      </c>
      <c r="H450" t="s">
        <v>55</v>
      </c>
      <c r="I450">
        <v>5</v>
      </c>
      <c r="J450">
        <v>12.9</v>
      </c>
      <c r="K450">
        <v>5</v>
      </c>
      <c r="L450">
        <v>4</v>
      </c>
      <c r="M450">
        <v>12</v>
      </c>
      <c r="N450">
        <v>0</v>
      </c>
      <c r="O450" t="s">
        <v>70</v>
      </c>
      <c r="P450">
        <v>37100</v>
      </c>
      <c r="Q450">
        <v>4.8</v>
      </c>
      <c r="R450">
        <v>1.1000000000000001</v>
      </c>
      <c r="S450">
        <v>0.8</v>
      </c>
      <c r="T450">
        <v>0</v>
      </c>
      <c r="U450">
        <v>4.0999999999999996</v>
      </c>
      <c r="V450">
        <v>3.5</v>
      </c>
      <c r="W450">
        <v>3.8</v>
      </c>
      <c r="X450" t="s">
        <v>45</v>
      </c>
      <c r="Y450">
        <v>0</v>
      </c>
      <c r="Z450">
        <v>0</v>
      </c>
      <c r="AB450">
        <v>0</v>
      </c>
      <c r="AC450" t="s">
        <v>46</v>
      </c>
      <c r="AE450">
        <v>1</v>
      </c>
      <c r="AF450">
        <v>0</v>
      </c>
      <c r="AG450" t="s">
        <v>75</v>
      </c>
      <c r="AH450" t="s">
        <v>95</v>
      </c>
      <c r="AI450" t="s">
        <v>49</v>
      </c>
      <c r="AJ450" s="1" t="s">
        <v>397</v>
      </c>
      <c r="AK450" s="1" t="s">
        <v>127</v>
      </c>
      <c r="AL450">
        <v>0</v>
      </c>
    </row>
    <row r="451" spans="1:38" x14ac:dyDescent="0.35">
      <c r="A451" t="s">
        <v>639</v>
      </c>
      <c r="B451" t="s">
        <v>39</v>
      </c>
      <c r="C451" t="s">
        <v>88</v>
      </c>
      <c r="D451">
        <v>7.7</v>
      </c>
      <c r="E451" t="s">
        <v>67</v>
      </c>
      <c r="F451">
        <v>35</v>
      </c>
      <c r="G451" t="s">
        <v>54</v>
      </c>
      <c r="H451" t="s">
        <v>55</v>
      </c>
      <c r="I451">
        <v>0</v>
      </c>
      <c r="J451">
        <v>2.2999999999999998</v>
      </c>
      <c r="K451">
        <v>10</v>
      </c>
      <c r="L451">
        <v>4</v>
      </c>
      <c r="M451">
        <v>12</v>
      </c>
      <c r="N451">
        <v>0</v>
      </c>
      <c r="O451" t="s">
        <v>70</v>
      </c>
      <c r="P451">
        <v>36500</v>
      </c>
      <c r="Q451">
        <v>2.7</v>
      </c>
      <c r="R451">
        <v>4.0999999999999996</v>
      </c>
      <c r="S451">
        <v>1.1000000000000001</v>
      </c>
      <c r="T451">
        <v>0</v>
      </c>
      <c r="U451">
        <v>2.8</v>
      </c>
      <c r="V451">
        <v>3.9</v>
      </c>
      <c r="W451">
        <v>1.7</v>
      </c>
      <c r="X451" t="s">
        <v>89</v>
      </c>
      <c r="Y451">
        <v>0</v>
      </c>
      <c r="Z451">
        <v>0</v>
      </c>
      <c r="AB451">
        <v>0</v>
      </c>
      <c r="AC451" t="s">
        <v>124</v>
      </c>
      <c r="AD451" s="2">
        <v>45628</v>
      </c>
      <c r="AE451">
        <v>1</v>
      </c>
      <c r="AF451">
        <v>0</v>
      </c>
      <c r="AG451" t="s">
        <v>75</v>
      </c>
      <c r="AH451" t="s">
        <v>83</v>
      </c>
      <c r="AI451" t="s">
        <v>64</v>
      </c>
      <c r="AJ451" s="1" t="s">
        <v>102</v>
      </c>
      <c r="AK451">
        <v>0</v>
      </c>
      <c r="AL451">
        <v>1</v>
      </c>
    </row>
    <row r="452" spans="1:38" x14ac:dyDescent="0.35">
      <c r="A452" t="s">
        <v>640</v>
      </c>
      <c r="B452" t="s">
        <v>73</v>
      </c>
      <c r="C452" t="s">
        <v>74</v>
      </c>
      <c r="D452">
        <v>2</v>
      </c>
      <c r="E452" t="s">
        <v>67</v>
      </c>
      <c r="F452">
        <v>26</v>
      </c>
      <c r="G452" t="s">
        <v>42</v>
      </c>
      <c r="H452" t="s">
        <v>43</v>
      </c>
      <c r="I452">
        <v>0</v>
      </c>
      <c r="J452">
        <v>7.7</v>
      </c>
      <c r="K452">
        <v>4</v>
      </c>
      <c r="L452">
        <v>0</v>
      </c>
      <c r="M452">
        <v>12</v>
      </c>
      <c r="N452">
        <v>0</v>
      </c>
      <c r="O452" t="s">
        <v>82</v>
      </c>
      <c r="P452">
        <v>32600</v>
      </c>
      <c r="Q452">
        <v>6.9</v>
      </c>
      <c r="R452">
        <v>4.0999999999999996</v>
      </c>
      <c r="S452">
        <v>1.5</v>
      </c>
      <c r="T452">
        <v>0</v>
      </c>
      <c r="U452">
        <v>3.5</v>
      </c>
      <c r="V452">
        <v>3.7</v>
      </c>
      <c r="W452">
        <v>3.9</v>
      </c>
      <c r="X452" t="s">
        <v>45</v>
      </c>
      <c r="Y452">
        <v>0</v>
      </c>
      <c r="Z452">
        <v>2</v>
      </c>
      <c r="AA452">
        <v>0.1</v>
      </c>
      <c r="AB452">
        <v>0</v>
      </c>
      <c r="AC452" t="s">
        <v>46</v>
      </c>
      <c r="AE452">
        <v>0</v>
      </c>
      <c r="AF452">
        <v>0</v>
      </c>
      <c r="AG452" t="s">
        <v>47</v>
      </c>
      <c r="AH452" t="s">
        <v>48</v>
      </c>
      <c r="AI452" t="s">
        <v>64</v>
      </c>
      <c r="AJ452" s="1" t="s">
        <v>58</v>
      </c>
      <c r="AK452">
        <v>0</v>
      </c>
      <c r="AL452">
        <v>0</v>
      </c>
    </row>
    <row r="453" spans="1:38" x14ac:dyDescent="0.35">
      <c r="A453" t="s">
        <v>641</v>
      </c>
      <c r="B453" t="s">
        <v>60</v>
      </c>
      <c r="C453" t="s">
        <v>107</v>
      </c>
      <c r="D453">
        <v>5.7</v>
      </c>
      <c r="E453" t="s">
        <v>67</v>
      </c>
      <c r="F453">
        <v>31</v>
      </c>
      <c r="G453" t="s">
        <v>68</v>
      </c>
      <c r="H453" t="s">
        <v>94</v>
      </c>
      <c r="I453">
        <v>2</v>
      </c>
      <c r="J453">
        <v>2.8</v>
      </c>
      <c r="K453">
        <v>10</v>
      </c>
      <c r="L453">
        <v>1</v>
      </c>
      <c r="M453">
        <v>12</v>
      </c>
      <c r="N453">
        <v>0</v>
      </c>
      <c r="O453" t="s">
        <v>70</v>
      </c>
      <c r="P453">
        <v>45000</v>
      </c>
      <c r="Q453">
        <v>13.2</v>
      </c>
      <c r="R453">
        <v>2.7</v>
      </c>
      <c r="S453">
        <v>1</v>
      </c>
      <c r="T453">
        <v>0</v>
      </c>
      <c r="U453">
        <v>5</v>
      </c>
      <c r="V453">
        <v>2.8</v>
      </c>
      <c r="W453">
        <v>3</v>
      </c>
      <c r="X453" t="s">
        <v>45</v>
      </c>
      <c r="Y453">
        <v>0</v>
      </c>
      <c r="Z453">
        <v>1</v>
      </c>
      <c r="AA453">
        <v>1.6</v>
      </c>
      <c r="AB453">
        <v>0</v>
      </c>
      <c r="AC453" t="s">
        <v>46</v>
      </c>
      <c r="AE453">
        <v>0</v>
      </c>
      <c r="AF453">
        <v>0</v>
      </c>
      <c r="AG453" t="s">
        <v>47</v>
      </c>
      <c r="AH453" t="s">
        <v>83</v>
      </c>
      <c r="AI453" t="s">
        <v>64</v>
      </c>
      <c r="AJ453">
        <v>3.6</v>
      </c>
      <c r="AK453" s="1" t="s">
        <v>84</v>
      </c>
      <c r="AL453">
        <v>0</v>
      </c>
    </row>
    <row r="454" spans="1:38" x14ac:dyDescent="0.35">
      <c r="A454" t="s">
        <v>642</v>
      </c>
      <c r="B454" t="s">
        <v>39</v>
      </c>
      <c r="C454" t="s">
        <v>88</v>
      </c>
      <c r="D454">
        <v>0.6</v>
      </c>
      <c r="E454" t="s">
        <v>67</v>
      </c>
      <c r="F454">
        <v>24</v>
      </c>
      <c r="G454" t="s">
        <v>42</v>
      </c>
      <c r="H454" t="s">
        <v>43</v>
      </c>
      <c r="I454">
        <v>0</v>
      </c>
      <c r="J454">
        <v>0.4</v>
      </c>
      <c r="K454">
        <v>9</v>
      </c>
      <c r="L454">
        <v>2</v>
      </c>
      <c r="M454">
        <v>12</v>
      </c>
      <c r="N454">
        <v>0</v>
      </c>
      <c r="O454" t="s">
        <v>70</v>
      </c>
      <c r="P454">
        <v>40300</v>
      </c>
      <c r="Q454">
        <v>5.2</v>
      </c>
      <c r="R454">
        <v>3.4</v>
      </c>
      <c r="S454">
        <v>0.3</v>
      </c>
      <c r="T454">
        <v>0</v>
      </c>
      <c r="U454">
        <v>3.6</v>
      </c>
      <c r="V454">
        <v>4.3</v>
      </c>
      <c r="W454">
        <v>3.8</v>
      </c>
      <c r="X454" t="s">
        <v>45</v>
      </c>
      <c r="Y454">
        <v>0</v>
      </c>
      <c r="Z454">
        <v>2</v>
      </c>
      <c r="AA454">
        <v>0.1</v>
      </c>
      <c r="AB454">
        <v>0</v>
      </c>
      <c r="AC454" t="s">
        <v>46</v>
      </c>
      <c r="AE454">
        <v>0</v>
      </c>
      <c r="AF454">
        <v>0</v>
      </c>
      <c r="AG454" t="s">
        <v>47</v>
      </c>
      <c r="AH454" t="s">
        <v>95</v>
      </c>
      <c r="AI454" t="s">
        <v>64</v>
      </c>
      <c r="AJ454">
        <v>3.9</v>
      </c>
      <c r="AK454">
        <v>0</v>
      </c>
      <c r="AL454">
        <v>0</v>
      </c>
    </row>
    <row r="455" spans="1:38" x14ac:dyDescent="0.35">
      <c r="A455" t="s">
        <v>643</v>
      </c>
      <c r="B455" t="s">
        <v>73</v>
      </c>
      <c r="C455" t="s">
        <v>113</v>
      </c>
      <c r="D455">
        <v>9.8000000000000007</v>
      </c>
      <c r="E455" t="s">
        <v>110</v>
      </c>
      <c r="F455">
        <v>35</v>
      </c>
      <c r="G455" t="s">
        <v>42</v>
      </c>
      <c r="H455" t="s">
        <v>55</v>
      </c>
      <c r="I455">
        <v>5</v>
      </c>
      <c r="J455">
        <v>34.299999999999997</v>
      </c>
      <c r="K455">
        <v>8</v>
      </c>
      <c r="L455">
        <v>2</v>
      </c>
      <c r="M455">
        <v>12</v>
      </c>
      <c r="N455">
        <v>0</v>
      </c>
      <c r="O455" t="s">
        <v>44</v>
      </c>
      <c r="P455">
        <v>61700</v>
      </c>
      <c r="Q455">
        <v>14.5</v>
      </c>
      <c r="R455">
        <v>3.6</v>
      </c>
      <c r="S455">
        <v>3.1</v>
      </c>
      <c r="T455">
        <v>0</v>
      </c>
      <c r="U455">
        <v>1.3</v>
      </c>
      <c r="V455">
        <v>3.8</v>
      </c>
      <c r="W455">
        <v>3.3</v>
      </c>
      <c r="X455" t="s">
        <v>45</v>
      </c>
      <c r="Y455">
        <v>0</v>
      </c>
      <c r="Z455">
        <v>1</v>
      </c>
      <c r="AA455">
        <v>0.8</v>
      </c>
      <c r="AB455">
        <v>0</v>
      </c>
      <c r="AC455" t="s">
        <v>46</v>
      </c>
      <c r="AE455">
        <v>0</v>
      </c>
      <c r="AF455">
        <v>0</v>
      </c>
      <c r="AG455" t="s">
        <v>47</v>
      </c>
      <c r="AH455" t="s">
        <v>83</v>
      </c>
      <c r="AI455" t="s">
        <v>57</v>
      </c>
      <c r="AJ455" s="1" t="s">
        <v>102</v>
      </c>
      <c r="AK455" s="1" t="s">
        <v>127</v>
      </c>
      <c r="AL455">
        <v>0</v>
      </c>
    </row>
    <row r="456" spans="1:38" x14ac:dyDescent="0.35">
      <c r="A456" t="s">
        <v>644</v>
      </c>
      <c r="B456" t="s">
        <v>73</v>
      </c>
      <c r="C456" t="s">
        <v>74</v>
      </c>
      <c r="D456">
        <v>4</v>
      </c>
      <c r="E456" t="s">
        <v>62</v>
      </c>
      <c r="F456">
        <v>38</v>
      </c>
      <c r="G456" t="s">
        <v>42</v>
      </c>
      <c r="H456" t="s">
        <v>63</v>
      </c>
      <c r="I456">
        <v>4</v>
      </c>
      <c r="J456">
        <v>11.1</v>
      </c>
      <c r="K456">
        <v>11</v>
      </c>
      <c r="L456">
        <v>1</v>
      </c>
      <c r="M456">
        <v>12</v>
      </c>
      <c r="N456">
        <v>0</v>
      </c>
      <c r="O456" t="s">
        <v>293</v>
      </c>
      <c r="P456">
        <v>112800</v>
      </c>
      <c r="Q456">
        <v>5.7</v>
      </c>
      <c r="R456">
        <v>3.6</v>
      </c>
      <c r="S456">
        <v>0.7</v>
      </c>
      <c r="T456">
        <v>0</v>
      </c>
      <c r="U456">
        <v>2</v>
      </c>
      <c r="V456">
        <v>3.5</v>
      </c>
      <c r="W456">
        <v>2.7</v>
      </c>
      <c r="X456" t="s">
        <v>45</v>
      </c>
      <c r="Y456">
        <v>0</v>
      </c>
      <c r="Z456">
        <v>1</v>
      </c>
      <c r="AA456">
        <v>0.6</v>
      </c>
      <c r="AB456">
        <v>1</v>
      </c>
      <c r="AC456" t="s">
        <v>46</v>
      </c>
      <c r="AE456">
        <v>0</v>
      </c>
      <c r="AF456">
        <v>0</v>
      </c>
      <c r="AG456" t="s">
        <v>47</v>
      </c>
      <c r="AH456" t="s">
        <v>76</v>
      </c>
      <c r="AI456" t="s">
        <v>49</v>
      </c>
      <c r="AJ456" s="1" t="s">
        <v>168</v>
      </c>
      <c r="AK456" s="1" t="s">
        <v>115</v>
      </c>
      <c r="AL456">
        <v>0</v>
      </c>
    </row>
    <row r="457" spans="1:38" x14ac:dyDescent="0.35">
      <c r="A457" t="s">
        <v>645</v>
      </c>
      <c r="B457" t="s">
        <v>73</v>
      </c>
      <c r="C457" t="s">
        <v>113</v>
      </c>
      <c r="D457">
        <v>3.7</v>
      </c>
      <c r="E457" t="s">
        <v>110</v>
      </c>
      <c r="F457">
        <v>35</v>
      </c>
      <c r="G457" t="s">
        <v>54</v>
      </c>
      <c r="H457" t="s">
        <v>55</v>
      </c>
      <c r="I457">
        <v>4</v>
      </c>
      <c r="J457">
        <v>7.9</v>
      </c>
      <c r="K457">
        <v>8</v>
      </c>
      <c r="L457">
        <v>1</v>
      </c>
      <c r="M457">
        <v>12</v>
      </c>
      <c r="N457">
        <v>0</v>
      </c>
      <c r="O457" t="s">
        <v>44</v>
      </c>
      <c r="P457">
        <v>56400</v>
      </c>
      <c r="Q457">
        <v>3.7</v>
      </c>
      <c r="R457">
        <v>4.8</v>
      </c>
      <c r="S457">
        <v>0.2</v>
      </c>
      <c r="T457">
        <v>0</v>
      </c>
      <c r="U457">
        <v>3.1</v>
      </c>
      <c r="V457">
        <v>3.3</v>
      </c>
      <c r="W457">
        <v>3.3</v>
      </c>
      <c r="X457" t="s">
        <v>45</v>
      </c>
      <c r="Y457">
        <v>0</v>
      </c>
      <c r="Z457">
        <v>0</v>
      </c>
      <c r="AB457">
        <v>0</v>
      </c>
      <c r="AC457" t="s">
        <v>46</v>
      </c>
      <c r="AE457">
        <v>1</v>
      </c>
      <c r="AF457">
        <v>0</v>
      </c>
      <c r="AG457" t="s">
        <v>75</v>
      </c>
      <c r="AH457" t="s">
        <v>76</v>
      </c>
      <c r="AI457" t="s">
        <v>64</v>
      </c>
      <c r="AJ457" s="1" t="s">
        <v>198</v>
      </c>
      <c r="AK457" s="1" t="s">
        <v>115</v>
      </c>
      <c r="AL457">
        <v>0</v>
      </c>
    </row>
    <row r="458" spans="1:38" x14ac:dyDescent="0.35">
      <c r="A458" t="s">
        <v>646</v>
      </c>
      <c r="B458" t="s">
        <v>60</v>
      </c>
      <c r="C458" t="s">
        <v>107</v>
      </c>
      <c r="D458">
        <v>0.9</v>
      </c>
      <c r="E458" t="s">
        <v>110</v>
      </c>
      <c r="F458">
        <v>28</v>
      </c>
      <c r="G458" t="s">
        <v>68</v>
      </c>
      <c r="H458" t="s">
        <v>63</v>
      </c>
      <c r="I458">
        <v>1</v>
      </c>
      <c r="J458">
        <v>6.5</v>
      </c>
      <c r="K458">
        <v>8</v>
      </c>
      <c r="L458">
        <v>2</v>
      </c>
      <c r="M458">
        <v>12</v>
      </c>
      <c r="N458">
        <v>0</v>
      </c>
      <c r="O458" t="s">
        <v>70</v>
      </c>
      <c r="P458">
        <v>45300</v>
      </c>
      <c r="Q458">
        <v>9</v>
      </c>
      <c r="R458">
        <v>3.6</v>
      </c>
      <c r="S458">
        <v>1.6</v>
      </c>
      <c r="T458">
        <v>0</v>
      </c>
      <c r="U458">
        <v>2.6</v>
      </c>
      <c r="V458">
        <v>3.7</v>
      </c>
      <c r="W458">
        <v>3</v>
      </c>
      <c r="X458" t="s">
        <v>45</v>
      </c>
      <c r="Y458">
        <v>0</v>
      </c>
      <c r="Z458">
        <v>1</v>
      </c>
      <c r="AA458">
        <v>0.3</v>
      </c>
      <c r="AB458">
        <v>1</v>
      </c>
      <c r="AC458" t="s">
        <v>46</v>
      </c>
      <c r="AE458">
        <v>0</v>
      </c>
      <c r="AF458">
        <v>0</v>
      </c>
      <c r="AG458" t="s">
        <v>47</v>
      </c>
      <c r="AH458" t="s">
        <v>95</v>
      </c>
      <c r="AI458" t="s">
        <v>64</v>
      </c>
      <c r="AJ458">
        <v>3.1</v>
      </c>
      <c r="AK458">
        <v>8.3333333333333301E-2</v>
      </c>
      <c r="AL458">
        <v>0</v>
      </c>
    </row>
    <row r="459" spans="1:38" x14ac:dyDescent="0.35">
      <c r="A459" t="s">
        <v>647</v>
      </c>
      <c r="B459" t="s">
        <v>52</v>
      </c>
      <c r="C459" t="s">
        <v>153</v>
      </c>
      <c r="D459">
        <v>1.6</v>
      </c>
      <c r="E459" t="s">
        <v>67</v>
      </c>
      <c r="F459">
        <v>27</v>
      </c>
      <c r="G459" t="s">
        <v>42</v>
      </c>
      <c r="H459" t="s">
        <v>94</v>
      </c>
      <c r="I459">
        <v>3</v>
      </c>
      <c r="J459">
        <v>10.199999999999999</v>
      </c>
      <c r="K459">
        <v>12</v>
      </c>
      <c r="L459">
        <v>4</v>
      </c>
      <c r="M459">
        <v>12</v>
      </c>
      <c r="N459">
        <v>0</v>
      </c>
      <c r="O459" t="s">
        <v>70</v>
      </c>
      <c r="P459">
        <v>41200</v>
      </c>
      <c r="Q459">
        <v>10.7</v>
      </c>
      <c r="R459">
        <v>2.9</v>
      </c>
      <c r="S459">
        <v>3.3</v>
      </c>
      <c r="T459">
        <v>0</v>
      </c>
      <c r="U459">
        <v>3.4</v>
      </c>
      <c r="V459">
        <v>1.6</v>
      </c>
      <c r="W459">
        <v>3.6</v>
      </c>
      <c r="X459" t="s">
        <v>45</v>
      </c>
      <c r="Y459">
        <v>0</v>
      </c>
      <c r="Z459">
        <v>0</v>
      </c>
      <c r="AB459">
        <v>0</v>
      </c>
      <c r="AC459" t="s">
        <v>46</v>
      </c>
      <c r="AE459">
        <v>1</v>
      </c>
      <c r="AF459">
        <v>0</v>
      </c>
      <c r="AG459" t="s">
        <v>75</v>
      </c>
      <c r="AH459" t="s">
        <v>48</v>
      </c>
      <c r="AI459" t="s">
        <v>49</v>
      </c>
      <c r="AJ459" s="1" t="s">
        <v>182</v>
      </c>
      <c r="AK459">
        <v>0.25</v>
      </c>
      <c r="AL459">
        <v>0</v>
      </c>
    </row>
    <row r="460" spans="1:38" x14ac:dyDescent="0.35">
      <c r="A460" t="s">
        <v>648</v>
      </c>
      <c r="B460" t="s">
        <v>39</v>
      </c>
      <c r="C460" t="s">
        <v>385</v>
      </c>
      <c r="D460">
        <v>3.1</v>
      </c>
      <c r="E460" t="s">
        <v>41</v>
      </c>
      <c r="F460">
        <v>32</v>
      </c>
      <c r="G460" t="s">
        <v>54</v>
      </c>
      <c r="H460" t="s">
        <v>94</v>
      </c>
      <c r="I460">
        <v>2</v>
      </c>
      <c r="J460">
        <v>6.4</v>
      </c>
      <c r="K460">
        <v>9</v>
      </c>
      <c r="L460">
        <v>3</v>
      </c>
      <c r="M460">
        <v>12</v>
      </c>
      <c r="N460">
        <v>0</v>
      </c>
      <c r="O460" t="s">
        <v>44</v>
      </c>
      <c r="P460">
        <v>61500</v>
      </c>
      <c r="Q460">
        <v>8.8000000000000007</v>
      </c>
      <c r="R460">
        <v>3.6</v>
      </c>
      <c r="S460">
        <v>0.5</v>
      </c>
      <c r="T460">
        <v>0</v>
      </c>
      <c r="U460">
        <v>3</v>
      </c>
      <c r="V460">
        <v>3.4</v>
      </c>
      <c r="W460">
        <v>2.7</v>
      </c>
      <c r="X460" t="s">
        <v>45</v>
      </c>
      <c r="Y460">
        <v>0</v>
      </c>
      <c r="Z460">
        <v>1</v>
      </c>
      <c r="AB460">
        <v>0</v>
      </c>
      <c r="AC460" t="s">
        <v>46</v>
      </c>
      <c r="AE460">
        <v>1</v>
      </c>
      <c r="AF460">
        <v>0</v>
      </c>
      <c r="AG460" t="s">
        <v>47</v>
      </c>
      <c r="AH460" t="s">
        <v>76</v>
      </c>
      <c r="AI460" t="s">
        <v>64</v>
      </c>
      <c r="AJ460" s="1" t="s">
        <v>104</v>
      </c>
      <c r="AK460" s="1" t="s">
        <v>84</v>
      </c>
      <c r="AL460">
        <v>0</v>
      </c>
    </row>
    <row r="461" spans="1:38" x14ac:dyDescent="0.35">
      <c r="A461" t="s">
        <v>649</v>
      </c>
      <c r="B461" t="s">
        <v>39</v>
      </c>
      <c r="C461" t="s">
        <v>88</v>
      </c>
      <c r="D461">
        <v>1.6</v>
      </c>
      <c r="E461" t="s">
        <v>41</v>
      </c>
      <c r="F461">
        <v>32</v>
      </c>
      <c r="G461" t="s">
        <v>42</v>
      </c>
      <c r="H461" t="s">
        <v>94</v>
      </c>
      <c r="I461">
        <v>1</v>
      </c>
      <c r="J461">
        <v>4</v>
      </c>
      <c r="K461">
        <v>4</v>
      </c>
      <c r="L461">
        <v>1</v>
      </c>
      <c r="M461">
        <v>12</v>
      </c>
      <c r="N461">
        <v>0</v>
      </c>
      <c r="O461" t="s">
        <v>44</v>
      </c>
      <c r="P461">
        <v>66000</v>
      </c>
      <c r="Q461">
        <v>8.6</v>
      </c>
      <c r="R461">
        <v>2.8</v>
      </c>
      <c r="S461">
        <v>0.9</v>
      </c>
      <c r="T461">
        <v>0</v>
      </c>
      <c r="U461">
        <v>4.3</v>
      </c>
      <c r="V461">
        <v>4.7</v>
      </c>
      <c r="W461">
        <v>2.5</v>
      </c>
      <c r="X461" t="s">
        <v>45</v>
      </c>
      <c r="Y461">
        <v>0</v>
      </c>
      <c r="Z461">
        <v>1</v>
      </c>
      <c r="AA461">
        <v>0.1</v>
      </c>
      <c r="AB461">
        <v>0</v>
      </c>
      <c r="AC461" t="s">
        <v>46</v>
      </c>
      <c r="AE461">
        <v>0</v>
      </c>
      <c r="AF461">
        <v>0</v>
      </c>
      <c r="AG461" t="s">
        <v>47</v>
      </c>
      <c r="AH461" t="s">
        <v>48</v>
      </c>
      <c r="AI461" t="s">
        <v>64</v>
      </c>
      <c r="AJ461" s="1" t="s">
        <v>180</v>
      </c>
      <c r="AK461">
        <v>8.3333333333333301E-2</v>
      </c>
      <c r="AL461">
        <v>0</v>
      </c>
    </row>
    <row r="462" spans="1:38" x14ac:dyDescent="0.35">
      <c r="A462" t="s">
        <v>650</v>
      </c>
      <c r="B462" t="s">
        <v>117</v>
      </c>
      <c r="C462" t="s">
        <v>118</v>
      </c>
      <c r="D462">
        <v>7.2</v>
      </c>
      <c r="E462" t="s">
        <v>67</v>
      </c>
      <c r="F462">
        <v>30</v>
      </c>
      <c r="G462" t="s">
        <v>54</v>
      </c>
      <c r="H462" t="s">
        <v>55</v>
      </c>
      <c r="I462">
        <v>3</v>
      </c>
      <c r="J462">
        <v>6.8</v>
      </c>
      <c r="K462">
        <v>8</v>
      </c>
      <c r="L462">
        <v>1</v>
      </c>
      <c r="M462">
        <v>12</v>
      </c>
      <c r="N462">
        <v>0</v>
      </c>
      <c r="O462" t="s">
        <v>70</v>
      </c>
      <c r="P462">
        <v>40700</v>
      </c>
      <c r="Q462">
        <v>14.4</v>
      </c>
      <c r="R462">
        <v>2.2000000000000002</v>
      </c>
      <c r="S462">
        <v>1.1000000000000001</v>
      </c>
      <c r="T462">
        <v>0</v>
      </c>
      <c r="U462">
        <v>2.2999999999999998</v>
      </c>
      <c r="V462">
        <v>3.4</v>
      </c>
      <c r="W462">
        <v>4</v>
      </c>
      <c r="X462" t="s">
        <v>45</v>
      </c>
      <c r="Y462">
        <v>0</v>
      </c>
      <c r="Z462">
        <v>0</v>
      </c>
      <c r="AB462">
        <v>0</v>
      </c>
      <c r="AC462" t="s">
        <v>46</v>
      </c>
      <c r="AE462">
        <v>1</v>
      </c>
      <c r="AF462">
        <v>0</v>
      </c>
      <c r="AG462" t="s">
        <v>75</v>
      </c>
      <c r="AH462" t="s">
        <v>83</v>
      </c>
      <c r="AI462" t="s">
        <v>64</v>
      </c>
      <c r="AJ462" s="1" t="s">
        <v>198</v>
      </c>
      <c r="AK462">
        <v>0.25</v>
      </c>
      <c r="AL462">
        <v>0</v>
      </c>
    </row>
    <row r="463" spans="1:38" x14ac:dyDescent="0.35">
      <c r="A463" t="s">
        <v>651</v>
      </c>
      <c r="B463" t="s">
        <v>73</v>
      </c>
      <c r="C463" t="s">
        <v>177</v>
      </c>
      <c r="D463">
        <v>3.9</v>
      </c>
      <c r="E463" t="s">
        <v>62</v>
      </c>
      <c r="F463">
        <v>30</v>
      </c>
      <c r="G463" t="s">
        <v>54</v>
      </c>
      <c r="H463" t="s">
        <v>69</v>
      </c>
      <c r="I463">
        <v>3</v>
      </c>
      <c r="J463">
        <v>27</v>
      </c>
      <c r="K463">
        <v>8</v>
      </c>
      <c r="L463">
        <v>0</v>
      </c>
      <c r="M463">
        <v>12</v>
      </c>
      <c r="N463">
        <v>0</v>
      </c>
      <c r="O463" t="s">
        <v>56</v>
      </c>
      <c r="P463">
        <v>96000</v>
      </c>
      <c r="Q463">
        <v>8.4</v>
      </c>
      <c r="R463">
        <v>4.3</v>
      </c>
      <c r="S463">
        <v>0.7</v>
      </c>
      <c r="T463">
        <v>0</v>
      </c>
      <c r="U463">
        <v>3.1</v>
      </c>
      <c r="V463">
        <v>3.3</v>
      </c>
      <c r="W463">
        <v>4.3</v>
      </c>
      <c r="X463" t="s">
        <v>45</v>
      </c>
      <c r="Y463">
        <v>0</v>
      </c>
      <c r="Z463">
        <v>1</v>
      </c>
      <c r="AA463">
        <v>1.7</v>
      </c>
      <c r="AB463">
        <v>0</v>
      </c>
      <c r="AC463" t="s">
        <v>46</v>
      </c>
      <c r="AE463">
        <v>0</v>
      </c>
      <c r="AF463">
        <v>0</v>
      </c>
      <c r="AG463" t="s">
        <v>47</v>
      </c>
      <c r="AH463" t="s">
        <v>76</v>
      </c>
      <c r="AI463" t="s">
        <v>57</v>
      </c>
      <c r="AJ463" s="1" t="s">
        <v>126</v>
      </c>
      <c r="AK463">
        <v>0.25</v>
      </c>
      <c r="AL463">
        <v>0</v>
      </c>
    </row>
    <row r="464" spans="1:38" x14ac:dyDescent="0.35">
      <c r="A464" t="s">
        <v>652</v>
      </c>
      <c r="B464" t="s">
        <v>60</v>
      </c>
      <c r="C464" t="s">
        <v>61</v>
      </c>
      <c r="D464">
        <v>1.7</v>
      </c>
      <c r="E464" t="s">
        <v>67</v>
      </c>
      <c r="F464">
        <v>21</v>
      </c>
      <c r="G464" t="s">
        <v>68</v>
      </c>
      <c r="H464" t="s">
        <v>69</v>
      </c>
      <c r="I464">
        <v>1</v>
      </c>
      <c r="J464">
        <v>20.2</v>
      </c>
      <c r="K464">
        <v>12</v>
      </c>
      <c r="L464">
        <v>0</v>
      </c>
      <c r="M464">
        <v>12</v>
      </c>
      <c r="N464">
        <v>0</v>
      </c>
      <c r="O464" t="s">
        <v>82</v>
      </c>
      <c r="P464">
        <v>29800</v>
      </c>
      <c r="Q464">
        <v>6.1</v>
      </c>
      <c r="R464">
        <v>3.7</v>
      </c>
      <c r="S464">
        <v>1.2</v>
      </c>
      <c r="T464">
        <v>0</v>
      </c>
      <c r="U464">
        <v>3.5</v>
      </c>
      <c r="V464">
        <v>2.7</v>
      </c>
      <c r="W464">
        <v>3.9</v>
      </c>
      <c r="X464" t="s">
        <v>45</v>
      </c>
      <c r="Y464">
        <v>0</v>
      </c>
      <c r="Z464">
        <v>0</v>
      </c>
      <c r="AB464">
        <v>1</v>
      </c>
      <c r="AC464" t="s">
        <v>46</v>
      </c>
      <c r="AE464">
        <v>1</v>
      </c>
      <c r="AF464">
        <v>0</v>
      </c>
      <c r="AG464" t="s">
        <v>75</v>
      </c>
      <c r="AH464" t="s">
        <v>48</v>
      </c>
      <c r="AI464" t="s">
        <v>57</v>
      </c>
      <c r="AJ464" s="1" t="s">
        <v>86</v>
      </c>
      <c r="AK464">
        <v>8.3333333333333301E-2</v>
      </c>
      <c r="AL464">
        <v>0</v>
      </c>
    </row>
    <row r="465" spans="1:38" x14ac:dyDescent="0.35">
      <c r="A465" t="s">
        <v>653</v>
      </c>
      <c r="B465" t="s">
        <v>98</v>
      </c>
      <c r="C465" t="s">
        <v>99</v>
      </c>
      <c r="D465">
        <v>6.4</v>
      </c>
      <c r="E465" t="s">
        <v>41</v>
      </c>
      <c r="F465">
        <v>37</v>
      </c>
      <c r="G465" t="s">
        <v>42</v>
      </c>
      <c r="H465" t="s">
        <v>69</v>
      </c>
      <c r="I465">
        <v>1</v>
      </c>
      <c r="J465">
        <v>6.8</v>
      </c>
      <c r="K465">
        <v>7</v>
      </c>
      <c r="L465">
        <v>2</v>
      </c>
      <c r="M465">
        <v>12</v>
      </c>
      <c r="N465">
        <v>0</v>
      </c>
      <c r="O465" t="s">
        <v>44</v>
      </c>
      <c r="P465">
        <v>66000</v>
      </c>
      <c r="Q465">
        <v>3.5</v>
      </c>
      <c r="R465">
        <v>1.5</v>
      </c>
      <c r="S465">
        <v>4.3</v>
      </c>
      <c r="T465">
        <v>0</v>
      </c>
      <c r="U465">
        <v>3.6</v>
      </c>
      <c r="V465">
        <v>3.6</v>
      </c>
      <c r="W465">
        <v>2.9</v>
      </c>
      <c r="X465" t="s">
        <v>45</v>
      </c>
      <c r="Y465">
        <v>0</v>
      </c>
      <c r="Z465">
        <v>0</v>
      </c>
      <c r="AB465">
        <v>0</v>
      </c>
      <c r="AC465" t="s">
        <v>46</v>
      </c>
      <c r="AE465">
        <v>1</v>
      </c>
      <c r="AF465">
        <v>0</v>
      </c>
      <c r="AG465" t="s">
        <v>75</v>
      </c>
      <c r="AH465" t="s">
        <v>83</v>
      </c>
      <c r="AI465" t="s">
        <v>64</v>
      </c>
      <c r="AJ465" s="1" t="s">
        <v>86</v>
      </c>
      <c r="AK465">
        <v>8.3333333333333301E-2</v>
      </c>
      <c r="AL465">
        <v>0</v>
      </c>
    </row>
    <row r="466" spans="1:38" x14ac:dyDescent="0.35">
      <c r="A466" t="s">
        <v>654</v>
      </c>
      <c r="B466" t="s">
        <v>117</v>
      </c>
      <c r="C466" t="s">
        <v>118</v>
      </c>
      <c r="D466">
        <v>2.8</v>
      </c>
      <c r="E466" t="s">
        <v>62</v>
      </c>
      <c r="F466">
        <v>37</v>
      </c>
      <c r="G466" t="s">
        <v>42</v>
      </c>
      <c r="H466" t="s">
        <v>55</v>
      </c>
      <c r="I466">
        <v>4</v>
      </c>
      <c r="J466">
        <v>36.700000000000003</v>
      </c>
      <c r="K466">
        <v>3</v>
      </c>
      <c r="L466">
        <v>3</v>
      </c>
      <c r="M466">
        <v>12</v>
      </c>
      <c r="N466">
        <v>0</v>
      </c>
      <c r="O466" t="s">
        <v>56</v>
      </c>
      <c r="P466">
        <v>95900</v>
      </c>
      <c r="Q466">
        <v>13.1</v>
      </c>
      <c r="R466">
        <v>2.6</v>
      </c>
      <c r="S466">
        <v>1.2</v>
      </c>
      <c r="T466">
        <v>0</v>
      </c>
      <c r="U466">
        <v>3.4</v>
      </c>
      <c r="V466">
        <v>3</v>
      </c>
      <c r="W466">
        <v>2.8</v>
      </c>
      <c r="X466" t="s">
        <v>45</v>
      </c>
      <c r="Y466">
        <v>0</v>
      </c>
      <c r="Z466">
        <v>1</v>
      </c>
      <c r="AA466">
        <v>0.9</v>
      </c>
      <c r="AB466">
        <v>0</v>
      </c>
      <c r="AC466" t="s">
        <v>124</v>
      </c>
      <c r="AD466" s="2">
        <v>45705</v>
      </c>
      <c r="AE466">
        <v>0</v>
      </c>
      <c r="AF466">
        <v>0</v>
      </c>
      <c r="AG466" t="s">
        <v>47</v>
      </c>
      <c r="AH466" t="s">
        <v>48</v>
      </c>
      <c r="AI466" t="s">
        <v>57</v>
      </c>
      <c r="AJ466" s="1" t="s">
        <v>159</v>
      </c>
      <c r="AK466" s="1" t="s">
        <v>115</v>
      </c>
      <c r="AL466">
        <v>1</v>
      </c>
    </row>
    <row r="467" spans="1:38" x14ac:dyDescent="0.35">
      <c r="A467" t="s">
        <v>655</v>
      </c>
      <c r="B467" t="s">
        <v>39</v>
      </c>
      <c r="C467" t="s">
        <v>88</v>
      </c>
      <c r="D467">
        <v>6.3</v>
      </c>
      <c r="E467" t="s">
        <v>110</v>
      </c>
      <c r="F467">
        <v>33</v>
      </c>
      <c r="G467" t="s">
        <v>42</v>
      </c>
      <c r="H467" t="s">
        <v>55</v>
      </c>
      <c r="I467">
        <v>0</v>
      </c>
      <c r="J467">
        <v>9.5</v>
      </c>
      <c r="K467">
        <v>8</v>
      </c>
      <c r="L467">
        <v>2</v>
      </c>
      <c r="M467">
        <v>12</v>
      </c>
      <c r="N467">
        <v>0</v>
      </c>
      <c r="O467" t="s">
        <v>44</v>
      </c>
      <c r="P467">
        <v>51300</v>
      </c>
      <c r="Q467">
        <v>6.3</v>
      </c>
      <c r="R467">
        <v>3.9</v>
      </c>
      <c r="S467">
        <v>1.9</v>
      </c>
      <c r="T467">
        <v>0</v>
      </c>
      <c r="U467">
        <v>1.1000000000000001</v>
      </c>
      <c r="V467">
        <v>4.4000000000000004</v>
      </c>
      <c r="W467">
        <v>2.9</v>
      </c>
      <c r="X467" t="s">
        <v>45</v>
      </c>
      <c r="Y467">
        <v>0</v>
      </c>
      <c r="Z467">
        <v>0</v>
      </c>
      <c r="AB467">
        <v>0</v>
      </c>
      <c r="AC467" t="s">
        <v>46</v>
      </c>
      <c r="AE467">
        <v>1</v>
      </c>
      <c r="AF467">
        <v>0</v>
      </c>
      <c r="AG467" t="s">
        <v>75</v>
      </c>
      <c r="AH467" t="s">
        <v>83</v>
      </c>
      <c r="AI467" t="s">
        <v>64</v>
      </c>
      <c r="AJ467" s="1" t="s">
        <v>144</v>
      </c>
      <c r="AK467">
        <v>0</v>
      </c>
      <c r="AL467">
        <v>0</v>
      </c>
    </row>
    <row r="468" spans="1:38" x14ac:dyDescent="0.35">
      <c r="A468" t="s">
        <v>656</v>
      </c>
      <c r="B468" t="s">
        <v>39</v>
      </c>
      <c r="C468" t="s">
        <v>88</v>
      </c>
      <c r="D468">
        <v>2.5</v>
      </c>
      <c r="E468" t="s">
        <v>81</v>
      </c>
      <c r="F468">
        <v>21</v>
      </c>
      <c r="G468" t="s">
        <v>68</v>
      </c>
      <c r="H468" t="s">
        <v>55</v>
      </c>
      <c r="I468">
        <v>5</v>
      </c>
      <c r="J468">
        <v>4.9000000000000004</v>
      </c>
      <c r="K468">
        <v>8</v>
      </c>
      <c r="L468">
        <v>2</v>
      </c>
      <c r="M468">
        <v>12</v>
      </c>
      <c r="N468">
        <v>0</v>
      </c>
      <c r="O468" t="s">
        <v>82</v>
      </c>
      <c r="P468">
        <v>32000</v>
      </c>
      <c r="Q468">
        <v>6.7</v>
      </c>
      <c r="R468">
        <v>1.8</v>
      </c>
      <c r="S468">
        <v>0.8</v>
      </c>
      <c r="T468">
        <v>0</v>
      </c>
      <c r="U468">
        <v>3.4</v>
      </c>
      <c r="V468">
        <v>2.4</v>
      </c>
      <c r="W468">
        <v>4.0999999999999996</v>
      </c>
      <c r="X468" t="s">
        <v>45</v>
      </c>
      <c r="Y468">
        <v>0</v>
      </c>
      <c r="Z468">
        <v>1</v>
      </c>
      <c r="AA468">
        <v>1.7</v>
      </c>
      <c r="AB468">
        <v>0</v>
      </c>
      <c r="AC468" t="s">
        <v>46</v>
      </c>
      <c r="AE468">
        <v>0</v>
      </c>
      <c r="AF468">
        <v>0</v>
      </c>
      <c r="AG468" t="s">
        <v>47</v>
      </c>
      <c r="AH468" t="s">
        <v>48</v>
      </c>
      <c r="AI468" t="s">
        <v>64</v>
      </c>
      <c r="AJ468" s="1" t="s">
        <v>108</v>
      </c>
      <c r="AK468" s="1" t="s">
        <v>127</v>
      </c>
      <c r="AL468">
        <v>0</v>
      </c>
    </row>
    <row r="469" spans="1:38" x14ac:dyDescent="0.35">
      <c r="A469" t="s">
        <v>657</v>
      </c>
      <c r="B469" t="s">
        <v>60</v>
      </c>
      <c r="C469" t="s">
        <v>107</v>
      </c>
      <c r="D469">
        <v>5.4</v>
      </c>
      <c r="E469" t="s">
        <v>110</v>
      </c>
      <c r="F469">
        <v>34</v>
      </c>
      <c r="G469" t="s">
        <v>54</v>
      </c>
      <c r="H469" t="s">
        <v>43</v>
      </c>
      <c r="I469">
        <v>2</v>
      </c>
      <c r="J469">
        <v>13.3</v>
      </c>
      <c r="K469">
        <v>9</v>
      </c>
      <c r="L469">
        <v>1</v>
      </c>
      <c r="M469">
        <v>12</v>
      </c>
      <c r="N469">
        <v>0</v>
      </c>
      <c r="O469" t="s">
        <v>44</v>
      </c>
      <c r="P469">
        <v>63200</v>
      </c>
      <c r="Q469">
        <v>12.2</v>
      </c>
      <c r="R469">
        <v>2.5</v>
      </c>
      <c r="S469">
        <v>1.5</v>
      </c>
      <c r="T469">
        <v>0</v>
      </c>
      <c r="U469">
        <v>3.2</v>
      </c>
      <c r="V469">
        <v>2.8</v>
      </c>
      <c r="W469">
        <v>2.7</v>
      </c>
      <c r="X469" t="s">
        <v>45</v>
      </c>
      <c r="Y469">
        <v>0</v>
      </c>
      <c r="Z469">
        <v>0</v>
      </c>
      <c r="AB469">
        <v>0</v>
      </c>
      <c r="AC469" t="s">
        <v>46</v>
      </c>
      <c r="AE469">
        <v>1</v>
      </c>
      <c r="AF469">
        <v>0</v>
      </c>
      <c r="AG469" t="s">
        <v>75</v>
      </c>
      <c r="AH469" t="s">
        <v>83</v>
      </c>
      <c r="AI469" t="s">
        <v>49</v>
      </c>
      <c r="AJ469">
        <v>2.9</v>
      </c>
      <c r="AK469" s="1" t="s">
        <v>84</v>
      </c>
      <c r="AL469">
        <v>0</v>
      </c>
    </row>
    <row r="470" spans="1:38" x14ac:dyDescent="0.35">
      <c r="A470" t="s">
        <v>658</v>
      </c>
      <c r="B470" t="s">
        <v>73</v>
      </c>
      <c r="C470" t="s">
        <v>177</v>
      </c>
      <c r="D470">
        <v>2.7</v>
      </c>
      <c r="E470" t="s">
        <v>81</v>
      </c>
      <c r="F470">
        <v>25</v>
      </c>
      <c r="G470" t="s">
        <v>54</v>
      </c>
      <c r="H470" t="s">
        <v>69</v>
      </c>
      <c r="I470">
        <v>3</v>
      </c>
      <c r="J470">
        <v>30.1</v>
      </c>
      <c r="K470">
        <v>11</v>
      </c>
      <c r="L470">
        <v>2</v>
      </c>
      <c r="M470">
        <v>12</v>
      </c>
      <c r="N470">
        <v>0</v>
      </c>
      <c r="O470" t="s">
        <v>82</v>
      </c>
      <c r="P470">
        <v>24500</v>
      </c>
      <c r="Q470">
        <v>16.2</v>
      </c>
      <c r="R470">
        <v>5</v>
      </c>
      <c r="S470">
        <v>1.7</v>
      </c>
      <c r="T470">
        <v>0</v>
      </c>
      <c r="U470">
        <v>4.0999999999999996</v>
      </c>
      <c r="V470">
        <v>2.7</v>
      </c>
      <c r="W470">
        <v>4.0999999999999996</v>
      </c>
      <c r="X470" t="s">
        <v>45</v>
      </c>
      <c r="Y470">
        <v>0</v>
      </c>
      <c r="Z470">
        <v>0</v>
      </c>
      <c r="AB470">
        <v>0</v>
      </c>
      <c r="AC470" t="s">
        <v>46</v>
      </c>
      <c r="AE470">
        <v>1</v>
      </c>
      <c r="AF470">
        <v>0</v>
      </c>
      <c r="AG470" t="s">
        <v>75</v>
      </c>
      <c r="AH470" t="s">
        <v>48</v>
      </c>
      <c r="AI470" t="s">
        <v>57</v>
      </c>
      <c r="AJ470" s="1" t="s">
        <v>187</v>
      </c>
      <c r="AK470">
        <v>0.25</v>
      </c>
      <c r="AL470">
        <v>0</v>
      </c>
    </row>
    <row r="471" spans="1:38" x14ac:dyDescent="0.35">
      <c r="A471" t="s">
        <v>659</v>
      </c>
      <c r="B471" t="s">
        <v>117</v>
      </c>
      <c r="C471" t="s">
        <v>197</v>
      </c>
      <c r="D471">
        <v>7.2</v>
      </c>
      <c r="E471" t="s">
        <v>41</v>
      </c>
      <c r="F471">
        <v>31</v>
      </c>
      <c r="G471" t="s">
        <v>42</v>
      </c>
      <c r="H471" t="s">
        <v>94</v>
      </c>
      <c r="I471">
        <v>4</v>
      </c>
      <c r="J471">
        <v>26.1</v>
      </c>
      <c r="K471">
        <v>6</v>
      </c>
      <c r="L471">
        <v>2</v>
      </c>
      <c r="M471">
        <v>12</v>
      </c>
      <c r="N471">
        <v>0</v>
      </c>
      <c r="O471" t="s">
        <v>56</v>
      </c>
      <c r="P471">
        <v>76000</v>
      </c>
      <c r="Q471">
        <v>9</v>
      </c>
      <c r="R471">
        <v>2.9</v>
      </c>
      <c r="S471">
        <v>2.4</v>
      </c>
      <c r="T471">
        <v>0</v>
      </c>
      <c r="U471">
        <v>4</v>
      </c>
      <c r="V471">
        <v>4.9000000000000004</v>
      </c>
      <c r="W471">
        <v>3.9</v>
      </c>
      <c r="X471" t="s">
        <v>45</v>
      </c>
      <c r="Y471">
        <v>0</v>
      </c>
      <c r="Z471">
        <v>0</v>
      </c>
      <c r="AB471">
        <v>0</v>
      </c>
      <c r="AC471" t="s">
        <v>46</v>
      </c>
      <c r="AE471">
        <v>1</v>
      </c>
      <c r="AF471">
        <v>0</v>
      </c>
      <c r="AG471" t="s">
        <v>75</v>
      </c>
      <c r="AH471" t="s">
        <v>83</v>
      </c>
      <c r="AI471" t="s">
        <v>57</v>
      </c>
      <c r="AJ471" s="1" t="s">
        <v>193</v>
      </c>
      <c r="AK471" s="1" t="s">
        <v>115</v>
      </c>
      <c r="AL471">
        <v>0</v>
      </c>
    </row>
    <row r="472" spans="1:38" x14ac:dyDescent="0.35">
      <c r="A472" t="s">
        <v>660</v>
      </c>
      <c r="B472" t="s">
        <v>98</v>
      </c>
      <c r="C472" t="s">
        <v>151</v>
      </c>
      <c r="D472">
        <v>0.6</v>
      </c>
      <c r="E472" t="s">
        <v>67</v>
      </c>
      <c r="F472">
        <v>29</v>
      </c>
      <c r="G472" t="s">
        <v>42</v>
      </c>
      <c r="H472" t="s">
        <v>94</v>
      </c>
      <c r="I472">
        <v>3</v>
      </c>
      <c r="J472">
        <v>5.2</v>
      </c>
      <c r="K472">
        <v>7</v>
      </c>
      <c r="L472">
        <v>0</v>
      </c>
      <c r="M472">
        <v>12</v>
      </c>
      <c r="N472">
        <v>0</v>
      </c>
      <c r="O472" t="s">
        <v>70</v>
      </c>
      <c r="P472">
        <v>45200</v>
      </c>
      <c r="Q472">
        <v>7.5</v>
      </c>
      <c r="R472">
        <v>4.2</v>
      </c>
      <c r="S472">
        <v>0.7</v>
      </c>
      <c r="T472">
        <v>0</v>
      </c>
      <c r="U472">
        <v>3.5</v>
      </c>
      <c r="V472">
        <v>3</v>
      </c>
      <c r="W472">
        <v>4.4000000000000004</v>
      </c>
      <c r="X472" t="s">
        <v>45</v>
      </c>
      <c r="Y472">
        <v>0</v>
      </c>
      <c r="Z472">
        <v>0</v>
      </c>
      <c r="AB472">
        <v>0</v>
      </c>
      <c r="AC472" t="s">
        <v>46</v>
      </c>
      <c r="AE472">
        <v>1</v>
      </c>
      <c r="AF472">
        <v>0</v>
      </c>
      <c r="AG472" t="s">
        <v>75</v>
      </c>
      <c r="AH472" t="s">
        <v>95</v>
      </c>
      <c r="AI472" t="s">
        <v>64</v>
      </c>
      <c r="AJ472" s="1" t="s">
        <v>190</v>
      </c>
      <c r="AK472">
        <v>0.25</v>
      </c>
      <c r="AL472">
        <v>0</v>
      </c>
    </row>
    <row r="473" spans="1:38" x14ac:dyDescent="0.35">
      <c r="A473" t="s">
        <v>661</v>
      </c>
      <c r="B473" t="s">
        <v>52</v>
      </c>
      <c r="C473" t="s">
        <v>53</v>
      </c>
      <c r="D473">
        <v>1.2</v>
      </c>
      <c r="E473" t="s">
        <v>110</v>
      </c>
      <c r="F473">
        <v>28</v>
      </c>
      <c r="G473" t="s">
        <v>234</v>
      </c>
      <c r="H473" t="s">
        <v>69</v>
      </c>
      <c r="I473">
        <v>2</v>
      </c>
      <c r="J473">
        <v>3.2</v>
      </c>
      <c r="K473">
        <v>8</v>
      </c>
      <c r="L473">
        <v>2</v>
      </c>
      <c r="M473">
        <v>12</v>
      </c>
      <c r="N473">
        <v>0</v>
      </c>
      <c r="O473" t="s">
        <v>44</v>
      </c>
      <c r="P473">
        <v>51200</v>
      </c>
      <c r="Q473">
        <v>8</v>
      </c>
      <c r="R473">
        <v>4.5999999999999996</v>
      </c>
      <c r="S473">
        <v>1</v>
      </c>
      <c r="T473">
        <v>0</v>
      </c>
      <c r="U473">
        <v>3.6</v>
      </c>
      <c r="V473">
        <v>2.7</v>
      </c>
      <c r="W473">
        <v>4.3</v>
      </c>
      <c r="X473" t="s">
        <v>45</v>
      </c>
      <c r="Y473">
        <v>0</v>
      </c>
      <c r="Z473">
        <v>1</v>
      </c>
      <c r="AB473">
        <v>0</v>
      </c>
      <c r="AC473" t="s">
        <v>46</v>
      </c>
      <c r="AE473">
        <v>1</v>
      </c>
      <c r="AF473">
        <v>0</v>
      </c>
      <c r="AG473" t="s">
        <v>47</v>
      </c>
      <c r="AH473" t="s">
        <v>48</v>
      </c>
      <c r="AI473" t="s">
        <v>64</v>
      </c>
      <c r="AJ473" s="1" t="s">
        <v>149</v>
      </c>
      <c r="AK473" s="1" t="s">
        <v>84</v>
      </c>
      <c r="AL473">
        <v>0</v>
      </c>
    </row>
    <row r="474" spans="1:38" x14ac:dyDescent="0.35">
      <c r="A474" t="s">
        <v>662</v>
      </c>
      <c r="B474" t="s">
        <v>73</v>
      </c>
      <c r="C474" t="s">
        <v>113</v>
      </c>
      <c r="D474">
        <v>3.3</v>
      </c>
      <c r="E474" t="s">
        <v>41</v>
      </c>
      <c r="F474">
        <v>27</v>
      </c>
      <c r="G474" t="s">
        <v>42</v>
      </c>
      <c r="H474" t="s">
        <v>55</v>
      </c>
      <c r="I474">
        <v>6</v>
      </c>
      <c r="J474">
        <v>7.3</v>
      </c>
      <c r="K474">
        <v>14</v>
      </c>
      <c r="L474">
        <v>4</v>
      </c>
      <c r="M474">
        <v>12</v>
      </c>
      <c r="N474">
        <v>0</v>
      </c>
      <c r="O474" t="s">
        <v>44</v>
      </c>
      <c r="P474">
        <v>67900</v>
      </c>
      <c r="Q474">
        <v>6.2</v>
      </c>
      <c r="R474">
        <v>2.4</v>
      </c>
      <c r="S474">
        <v>2.6</v>
      </c>
      <c r="T474">
        <v>0</v>
      </c>
      <c r="U474">
        <v>4.5</v>
      </c>
      <c r="V474">
        <v>1.3</v>
      </c>
      <c r="W474">
        <v>3.8</v>
      </c>
      <c r="X474" t="s">
        <v>89</v>
      </c>
      <c r="Y474">
        <v>0</v>
      </c>
      <c r="Z474">
        <v>0</v>
      </c>
      <c r="AB474">
        <v>0</v>
      </c>
      <c r="AC474" t="s">
        <v>46</v>
      </c>
      <c r="AE474">
        <v>1</v>
      </c>
      <c r="AF474">
        <v>0</v>
      </c>
      <c r="AG474" t="s">
        <v>75</v>
      </c>
      <c r="AH474" t="s">
        <v>76</v>
      </c>
      <c r="AI474" t="s">
        <v>64</v>
      </c>
      <c r="AJ474" s="1" t="s">
        <v>162</v>
      </c>
      <c r="AK474">
        <v>0.5</v>
      </c>
      <c r="AL474">
        <v>0</v>
      </c>
    </row>
    <row r="475" spans="1:38" x14ac:dyDescent="0.35">
      <c r="A475" t="s">
        <v>663</v>
      </c>
      <c r="B475" t="s">
        <v>73</v>
      </c>
      <c r="C475" t="s">
        <v>177</v>
      </c>
      <c r="D475">
        <v>2.1</v>
      </c>
      <c r="E475" t="s">
        <v>81</v>
      </c>
      <c r="F475">
        <v>26</v>
      </c>
      <c r="G475" t="s">
        <v>54</v>
      </c>
      <c r="H475" t="s">
        <v>43</v>
      </c>
      <c r="I475">
        <v>2</v>
      </c>
      <c r="J475">
        <v>15.1</v>
      </c>
      <c r="K475">
        <v>6</v>
      </c>
      <c r="L475">
        <v>1</v>
      </c>
      <c r="M475">
        <v>12</v>
      </c>
      <c r="N475">
        <v>0</v>
      </c>
      <c r="O475" t="s">
        <v>82</v>
      </c>
      <c r="P475">
        <v>30900</v>
      </c>
      <c r="Q475">
        <v>6.6</v>
      </c>
      <c r="R475">
        <v>3.4</v>
      </c>
      <c r="S475">
        <v>0.8</v>
      </c>
      <c r="T475">
        <v>0</v>
      </c>
      <c r="U475">
        <v>4.3</v>
      </c>
      <c r="V475">
        <v>2.4</v>
      </c>
      <c r="W475">
        <v>2.2000000000000002</v>
      </c>
      <c r="X475" t="s">
        <v>45</v>
      </c>
      <c r="Y475">
        <v>0</v>
      </c>
      <c r="Z475">
        <v>0</v>
      </c>
      <c r="AB475">
        <v>0</v>
      </c>
      <c r="AC475" t="s">
        <v>46</v>
      </c>
      <c r="AE475">
        <v>1</v>
      </c>
      <c r="AF475">
        <v>0</v>
      </c>
      <c r="AG475" t="s">
        <v>75</v>
      </c>
      <c r="AH475" t="s">
        <v>48</v>
      </c>
      <c r="AI475" t="s">
        <v>49</v>
      </c>
      <c r="AJ475" s="1" t="s">
        <v>146</v>
      </c>
      <c r="AK475" s="1" t="s">
        <v>84</v>
      </c>
      <c r="AL475">
        <v>0</v>
      </c>
    </row>
    <row r="476" spans="1:38" x14ac:dyDescent="0.35">
      <c r="A476" t="s">
        <v>664</v>
      </c>
      <c r="B476" t="s">
        <v>98</v>
      </c>
      <c r="C476" t="s">
        <v>148</v>
      </c>
      <c r="D476">
        <v>2.7</v>
      </c>
      <c r="E476" t="s">
        <v>67</v>
      </c>
      <c r="F476">
        <v>29</v>
      </c>
      <c r="G476" t="s">
        <v>42</v>
      </c>
      <c r="H476" t="s">
        <v>55</v>
      </c>
      <c r="I476">
        <v>3</v>
      </c>
      <c r="J476">
        <v>18.3</v>
      </c>
      <c r="K476">
        <v>11</v>
      </c>
      <c r="L476">
        <v>3</v>
      </c>
      <c r="M476">
        <v>12</v>
      </c>
      <c r="N476">
        <v>0</v>
      </c>
      <c r="O476" t="s">
        <v>70</v>
      </c>
      <c r="P476">
        <v>37100</v>
      </c>
      <c r="Q476">
        <v>6.6</v>
      </c>
      <c r="R476">
        <v>5</v>
      </c>
      <c r="S476">
        <v>0.3</v>
      </c>
      <c r="T476">
        <v>0</v>
      </c>
      <c r="U476">
        <v>3.5</v>
      </c>
      <c r="V476">
        <v>3.7</v>
      </c>
      <c r="W476">
        <v>3.9</v>
      </c>
      <c r="X476" t="s">
        <v>45</v>
      </c>
      <c r="Y476">
        <v>0</v>
      </c>
      <c r="Z476">
        <v>1</v>
      </c>
      <c r="AA476">
        <v>1.5</v>
      </c>
      <c r="AB476">
        <v>0</v>
      </c>
      <c r="AC476" t="s">
        <v>46</v>
      </c>
      <c r="AE476">
        <v>0</v>
      </c>
      <c r="AF476">
        <v>0</v>
      </c>
      <c r="AG476" t="s">
        <v>47</v>
      </c>
      <c r="AH476" t="s">
        <v>48</v>
      </c>
      <c r="AI476" t="s">
        <v>49</v>
      </c>
      <c r="AJ476" s="1" t="s">
        <v>58</v>
      </c>
      <c r="AK476">
        <v>0.25</v>
      </c>
      <c r="AL476">
        <v>0</v>
      </c>
    </row>
    <row r="477" spans="1:38" x14ac:dyDescent="0.35">
      <c r="A477" t="s">
        <v>665</v>
      </c>
      <c r="B477" t="s">
        <v>98</v>
      </c>
      <c r="C477" t="s">
        <v>99</v>
      </c>
      <c r="D477">
        <v>5.8</v>
      </c>
      <c r="E477" t="s">
        <v>110</v>
      </c>
      <c r="F477">
        <v>30</v>
      </c>
      <c r="G477" t="s">
        <v>42</v>
      </c>
      <c r="H477" t="s">
        <v>55</v>
      </c>
      <c r="I477">
        <v>6</v>
      </c>
      <c r="J477">
        <v>23.6</v>
      </c>
      <c r="K477">
        <v>9</v>
      </c>
      <c r="L477">
        <v>2</v>
      </c>
      <c r="M477">
        <v>12</v>
      </c>
      <c r="N477">
        <v>0</v>
      </c>
      <c r="O477" t="s">
        <v>44</v>
      </c>
      <c r="P477">
        <v>63300</v>
      </c>
      <c r="Q477">
        <v>11.6</v>
      </c>
      <c r="R477">
        <v>3.6</v>
      </c>
      <c r="S477">
        <v>0.7</v>
      </c>
      <c r="T477">
        <v>0</v>
      </c>
      <c r="U477">
        <v>5</v>
      </c>
      <c r="V477">
        <v>3.7</v>
      </c>
      <c r="W477">
        <v>3.5</v>
      </c>
      <c r="X477" t="s">
        <v>45</v>
      </c>
      <c r="Y477">
        <v>0</v>
      </c>
      <c r="Z477">
        <v>0</v>
      </c>
      <c r="AB477">
        <v>0</v>
      </c>
      <c r="AC477" t="s">
        <v>46</v>
      </c>
      <c r="AE477">
        <v>1</v>
      </c>
      <c r="AF477">
        <v>0</v>
      </c>
      <c r="AG477" t="s">
        <v>75</v>
      </c>
      <c r="AH477" t="s">
        <v>83</v>
      </c>
      <c r="AI477" t="s">
        <v>57</v>
      </c>
      <c r="AJ477" s="1" t="s">
        <v>222</v>
      </c>
      <c r="AK477">
        <v>0.5</v>
      </c>
      <c r="AL477">
        <v>0</v>
      </c>
    </row>
    <row r="478" spans="1:38" x14ac:dyDescent="0.35">
      <c r="A478" t="s">
        <v>666</v>
      </c>
      <c r="B478" t="s">
        <v>52</v>
      </c>
      <c r="C478" t="s">
        <v>93</v>
      </c>
      <c r="D478">
        <v>2.6</v>
      </c>
      <c r="E478" t="s">
        <v>67</v>
      </c>
      <c r="F478">
        <v>24</v>
      </c>
      <c r="G478" t="s">
        <v>42</v>
      </c>
      <c r="H478" t="s">
        <v>55</v>
      </c>
      <c r="I478">
        <v>1</v>
      </c>
      <c r="J478">
        <v>11.6</v>
      </c>
      <c r="K478">
        <v>13</v>
      </c>
      <c r="L478">
        <v>1</v>
      </c>
      <c r="M478">
        <v>12</v>
      </c>
      <c r="N478">
        <v>0</v>
      </c>
      <c r="O478" t="s">
        <v>70</v>
      </c>
      <c r="P478">
        <v>35600</v>
      </c>
      <c r="Q478">
        <v>7.6</v>
      </c>
      <c r="R478">
        <v>5</v>
      </c>
      <c r="S478">
        <v>2.5</v>
      </c>
      <c r="T478">
        <v>0</v>
      </c>
      <c r="U478">
        <v>2.7</v>
      </c>
      <c r="V478">
        <v>2.6</v>
      </c>
      <c r="W478">
        <v>3.1</v>
      </c>
      <c r="X478" t="s">
        <v>45</v>
      </c>
      <c r="Y478">
        <v>0</v>
      </c>
      <c r="Z478">
        <v>1</v>
      </c>
      <c r="AA478">
        <v>1.9</v>
      </c>
      <c r="AB478">
        <v>0</v>
      </c>
      <c r="AC478" t="s">
        <v>46</v>
      </c>
      <c r="AE478">
        <v>0</v>
      </c>
      <c r="AF478">
        <v>0</v>
      </c>
      <c r="AG478" t="s">
        <v>47</v>
      </c>
      <c r="AH478" t="s">
        <v>48</v>
      </c>
      <c r="AI478" t="s">
        <v>49</v>
      </c>
      <c r="AJ478" s="1" t="s">
        <v>144</v>
      </c>
      <c r="AK478">
        <v>8.3333333333333301E-2</v>
      </c>
      <c r="AL478">
        <v>0</v>
      </c>
    </row>
    <row r="479" spans="1:38" x14ac:dyDescent="0.35">
      <c r="A479" t="s">
        <v>667</v>
      </c>
      <c r="B479" t="s">
        <v>39</v>
      </c>
      <c r="C479" t="s">
        <v>88</v>
      </c>
      <c r="D479">
        <v>4.7</v>
      </c>
      <c r="E479" t="s">
        <v>81</v>
      </c>
      <c r="F479">
        <v>29</v>
      </c>
      <c r="G479" t="s">
        <v>42</v>
      </c>
      <c r="H479" t="s">
        <v>55</v>
      </c>
      <c r="I479">
        <v>4</v>
      </c>
      <c r="J479">
        <v>11.9</v>
      </c>
      <c r="K479">
        <v>10</v>
      </c>
      <c r="L479">
        <v>2</v>
      </c>
      <c r="M479">
        <v>12</v>
      </c>
      <c r="N479">
        <v>0</v>
      </c>
      <c r="O479" t="s">
        <v>82</v>
      </c>
      <c r="P479">
        <v>27500</v>
      </c>
      <c r="Q479">
        <v>13.4</v>
      </c>
      <c r="R479">
        <v>2.6</v>
      </c>
      <c r="S479">
        <v>2.8</v>
      </c>
      <c r="T479">
        <v>0</v>
      </c>
      <c r="U479">
        <v>2.2000000000000002</v>
      </c>
      <c r="V479">
        <v>2.7</v>
      </c>
      <c r="W479">
        <v>4.5</v>
      </c>
      <c r="X479" t="s">
        <v>45</v>
      </c>
      <c r="Y479">
        <v>0</v>
      </c>
      <c r="Z479">
        <v>0</v>
      </c>
      <c r="AB479">
        <v>0</v>
      </c>
      <c r="AC479" t="s">
        <v>46</v>
      </c>
      <c r="AE479">
        <v>1</v>
      </c>
      <c r="AF479">
        <v>0</v>
      </c>
      <c r="AG479" t="s">
        <v>75</v>
      </c>
      <c r="AH479" t="s">
        <v>76</v>
      </c>
      <c r="AI479" t="s">
        <v>49</v>
      </c>
      <c r="AJ479" s="1" t="s">
        <v>50</v>
      </c>
      <c r="AK479" s="1" t="s">
        <v>115</v>
      </c>
      <c r="AL479">
        <v>0</v>
      </c>
    </row>
    <row r="480" spans="1:38" x14ac:dyDescent="0.35">
      <c r="A480" t="s">
        <v>668</v>
      </c>
      <c r="B480" t="s">
        <v>39</v>
      </c>
      <c r="C480" t="s">
        <v>88</v>
      </c>
      <c r="D480">
        <v>1.8</v>
      </c>
      <c r="E480" t="s">
        <v>81</v>
      </c>
      <c r="F480">
        <v>29</v>
      </c>
      <c r="G480" t="s">
        <v>42</v>
      </c>
      <c r="H480" t="s">
        <v>55</v>
      </c>
      <c r="I480">
        <v>2</v>
      </c>
      <c r="J480">
        <v>11.2</v>
      </c>
      <c r="K480">
        <v>11</v>
      </c>
      <c r="L480">
        <v>4</v>
      </c>
      <c r="M480">
        <v>12</v>
      </c>
      <c r="N480">
        <v>0</v>
      </c>
      <c r="O480" t="s">
        <v>82</v>
      </c>
      <c r="P480">
        <v>30700</v>
      </c>
      <c r="Q480">
        <v>7.5</v>
      </c>
      <c r="R480">
        <v>4.8</v>
      </c>
      <c r="S480">
        <v>2.1</v>
      </c>
      <c r="T480">
        <v>0</v>
      </c>
      <c r="U480">
        <v>3.3</v>
      </c>
      <c r="V480">
        <v>4.9000000000000004</v>
      </c>
      <c r="W480">
        <v>3.3</v>
      </c>
      <c r="X480" t="s">
        <v>45</v>
      </c>
      <c r="Y480">
        <v>0</v>
      </c>
      <c r="Z480">
        <v>0</v>
      </c>
      <c r="AB480">
        <v>0</v>
      </c>
      <c r="AC480" t="s">
        <v>46</v>
      </c>
      <c r="AE480">
        <v>1</v>
      </c>
      <c r="AF480">
        <v>0</v>
      </c>
      <c r="AG480" t="s">
        <v>75</v>
      </c>
      <c r="AH480" t="s">
        <v>48</v>
      </c>
      <c r="AI480" t="s">
        <v>49</v>
      </c>
      <c r="AJ480" s="1" t="s">
        <v>180</v>
      </c>
      <c r="AK480" s="1" t="s">
        <v>84</v>
      </c>
      <c r="AL480">
        <v>0</v>
      </c>
    </row>
    <row r="481" spans="1:38" x14ac:dyDescent="0.35">
      <c r="A481" t="s">
        <v>669</v>
      </c>
      <c r="B481" t="s">
        <v>98</v>
      </c>
      <c r="C481" t="s">
        <v>148</v>
      </c>
      <c r="D481">
        <v>0.5</v>
      </c>
      <c r="E481" t="s">
        <v>67</v>
      </c>
      <c r="F481">
        <v>26</v>
      </c>
      <c r="G481" t="s">
        <v>68</v>
      </c>
      <c r="H481" t="s">
        <v>69</v>
      </c>
      <c r="I481">
        <v>3</v>
      </c>
      <c r="J481">
        <v>21.4</v>
      </c>
      <c r="K481">
        <v>15</v>
      </c>
      <c r="L481">
        <v>0</v>
      </c>
      <c r="M481">
        <v>12</v>
      </c>
      <c r="N481">
        <v>0</v>
      </c>
      <c r="O481" t="s">
        <v>70</v>
      </c>
      <c r="P481">
        <v>38500</v>
      </c>
      <c r="Q481">
        <v>6.5</v>
      </c>
      <c r="R481">
        <v>3.2</v>
      </c>
      <c r="S481">
        <v>3.2</v>
      </c>
      <c r="T481">
        <v>0</v>
      </c>
      <c r="U481">
        <v>3</v>
      </c>
      <c r="V481">
        <v>5</v>
      </c>
      <c r="W481">
        <v>3</v>
      </c>
      <c r="X481" t="s">
        <v>45</v>
      </c>
      <c r="Y481">
        <v>0</v>
      </c>
      <c r="Z481">
        <v>0</v>
      </c>
      <c r="AB481">
        <v>2</v>
      </c>
      <c r="AC481" t="s">
        <v>46</v>
      </c>
      <c r="AE481">
        <v>1</v>
      </c>
      <c r="AF481">
        <v>0</v>
      </c>
      <c r="AG481" t="s">
        <v>75</v>
      </c>
      <c r="AH481" t="s">
        <v>95</v>
      </c>
      <c r="AI481" t="s">
        <v>57</v>
      </c>
      <c r="AJ481" s="1" t="s">
        <v>266</v>
      </c>
      <c r="AK481">
        <v>0.25</v>
      </c>
      <c r="AL481">
        <v>0</v>
      </c>
    </row>
    <row r="482" spans="1:38" x14ac:dyDescent="0.35">
      <c r="A482" t="s">
        <v>670</v>
      </c>
      <c r="B482" t="s">
        <v>98</v>
      </c>
      <c r="C482" t="s">
        <v>99</v>
      </c>
      <c r="D482">
        <v>6.2</v>
      </c>
      <c r="E482" t="s">
        <v>110</v>
      </c>
      <c r="F482">
        <v>27</v>
      </c>
      <c r="G482" t="s">
        <v>68</v>
      </c>
      <c r="H482" t="s">
        <v>55</v>
      </c>
      <c r="I482">
        <v>2</v>
      </c>
      <c r="J482">
        <v>18.5</v>
      </c>
      <c r="K482">
        <v>6</v>
      </c>
      <c r="L482">
        <v>2</v>
      </c>
      <c r="M482">
        <v>12</v>
      </c>
      <c r="N482">
        <v>0</v>
      </c>
      <c r="O482" t="s">
        <v>44</v>
      </c>
      <c r="P482">
        <v>56000</v>
      </c>
      <c r="Q482">
        <v>13.1</v>
      </c>
      <c r="R482">
        <v>2.9</v>
      </c>
      <c r="S482">
        <v>4.0999999999999996</v>
      </c>
      <c r="T482">
        <v>0</v>
      </c>
      <c r="U482">
        <v>1.1000000000000001</v>
      </c>
      <c r="V482">
        <v>4.2</v>
      </c>
      <c r="W482">
        <v>4.3</v>
      </c>
      <c r="X482" t="s">
        <v>45</v>
      </c>
      <c r="Y482">
        <v>0</v>
      </c>
      <c r="Z482">
        <v>1</v>
      </c>
      <c r="AA482">
        <v>0.2</v>
      </c>
      <c r="AB482">
        <v>0</v>
      </c>
      <c r="AC482" t="s">
        <v>46</v>
      </c>
      <c r="AE482">
        <v>0</v>
      </c>
      <c r="AF482">
        <v>0</v>
      </c>
      <c r="AG482" t="s">
        <v>47</v>
      </c>
      <c r="AH482" t="s">
        <v>83</v>
      </c>
      <c r="AI482" t="s">
        <v>49</v>
      </c>
      <c r="AJ482" s="1" t="s">
        <v>249</v>
      </c>
      <c r="AK482" s="1" t="s">
        <v>84</v>
      </c>
      <c r="AL482">
        <v>0</v>
      </c>
    </row>
    <row r="483" spans="1:38" x14ac:dyDescent="0.35">
      <c r="A483" t="s">
        <v>671</v>
      </c>
      <c r="B483" t="s">
        <v>73</v>
      </c>
      <c r="C483" t="s">
        <v>74</v>
      </c>
      <c r="D483">
        <v>11.2</v>
      </c>
      <c r="E483" t="s">
        <v>110</v>
      </c>
      <c r="F483">
        <v>41</v>
      </c>
      <c r="G483" t="s">
        <v>42</v>
      </c>
      <c r="H483" t="s">
        <v>55</v>
      </c>
      <c r="I483">
        <v>2</v>
      </c>
      <c r="J483">
        <v>5</v>
      </c>
      <c r="K483">
        <v>7</v>
      </c>
      <c r="L483">
        <v>2</v>
      </c>
      <c r="M483">
        <v>12</v>
      </c>
      <c r="N483">
        <v>0</v>
      </c>
      <c r="O483" t="s">
        <v>70</v>
      </c>
      <c r="P483">
        <v>45600</v>
      </c>
      <c r="Q483">
        <v>8.1</v>
      </c>
      <c r="R483">
        <v>3.8</v>
      </c>
      <c r="S483">
        <v>2.2000000000000002</v>
      </c>
      <c r="T483">
        <v>0</v>
      </c>
      <c r="U483">
        <v>2.7</v>
      </c>
      <c r="V483">
        <v>4.5999999999999996</v>
      </c>
      <c r="W483">
        <v>3.1</v>
      </c>
      <c r="X483" t="s">
        <v>45</v>
      </c>
      <c r="Y483">
        <v>0</v>
      </c>
      <c r="Z483">
        <v>0</v>
      </c>
      <c r="AB483">
        <v>1</v>
      </c>
      <c r="AC483" t="s">
        <v>46</v>
      </c>
      <c r="AE483">
        <v>1</v>
      </c>
      <c r="AF483">
        <v>0</v>
      </c>
      <c r="AG483" t="s">
        <v>75</v>
      </c>
      <c r="AH483" t="s">
        <v>83</v>
      </c>
      <c r="AI483" t="s">
        <v>64</v>
      </c>
      <c r="AJ483" s="1" t="s">
        <v>77</v>
      </c>
      <c r="AK483" s="1" t="s">
        <v>84</v>
      </c>
      <c r="AL483">
        <v>0</v>
      </c>
    </row>
    <row r="484" spans="1:38" x14ac:dyDescent="0.35">
      <c r="A484" t="s">
        <v>672</v>
      </c>
      <c r="B484" t="s">
        <v>117</v>
      </c>
      <c r="C484" t="s">
        <v>197</v>
      </c>
      <c r="D484">
        <v>4.4000000000000004</v>
      </c>
      <c r="E484" t="s">
        <v>81</v>
      </c>
      <c r="F484">
        <v>21</v>
      </c>
      <c r="G484" t="s">
        <v>234</v>
      </c>
      <c r="H484" t="s">
        <v>55</v>
      </c>
      <c r="I484">
        <v>1</v>
      </c>
      <c r="J484">
        <v>16.899999999999999</v>
      </c>
      <c r="K484">
        <v>13</v>
      </c>
      <c r="L484">
        <v>2</v>
      </c>
      <c r="M484">
        <v>12</v>
      </c>
      <c r="N484">
        <v>0</v>
      </c>
      <c r="O484" t="s">
        <v>82</v>
      </c>
      <c r="P484">
        <v>27800</v>
      </c>
      <c r="Q484">
        <v>7.5</v>
      </c>
      <c r="R484">
        <v>3.1</v>
      </c>
      <c r="S484">
        <v>1</v>
      </c>
      <c r="T484">
        <v>0</v>
      </c>
      <c r="U484">
        <v>3.6</v>
      </c>
      <c r="V484">
        <v>4.8</v>
      </c>
      <c r="W484">
        <v>2.9</v>
      </c>
      <c r="X484" t="s">
        <v>45</v>
      </c>
      <c r="Y484">
        <v>0</v>
      </c>
      <c r="Z484">
        <v>1</v>
      </c>
      <c r="AA484">
        <v>1.7</v>
      </c>
      <c r="AB484">
        <v>0</v>
      </c>
      <c r="AC484" t="s">
        <v>46</v>
      </c>
      <c r="AE484">
        <v>0</v>
      </c>
      <c r="AF484">
        <v>0</v>
      </c>
      <c r="AG484" t="s">
        <v>47</v>
      </c>
      <c r="AH484" t="s">
        <v>76</v>
      </c>
      <c r="AI484" t="s">
        <v>49</v>
      </c>
      <c r="AJ484" s="1" t="s">
        <v>459</v>
      </c>
      <c r="AK484">
        <v>8.3333333333333301E-2</v>
      </c>
      <c r="AL484">
        <v>0</v>
      </c>
    </row>
    <row r="485" spans="1:38" x14ac:dyDescent="0.35">
      <c r="A485" t="s">
        <v>673</v>
      </c>
      <c r="B485" t="s">
        <v>98</v>
      </c>
      <c r="C485" t="s">
        <v>148</v>
      </c>
      <c r="D485">
        <v>3.5</v>
      </c>
      <c r="E485" t="s">
        <v>67</v>
      </c>
      <c r="F485">
        <v>28</v>
      </c>
      <c r="G485" t="s">
        <v>234</v>
      </c>
      <c r="H485" t="s">
        <v>69</v>
      </c>
      <c r="I485">
        <v>1</v>
      </c>
      <c r="J485">
        <v>20.399999999999999</v>
      </c>
      <c r="K485">
        <v>12</v>
      </c>
      <c r="L485">
        <v>2</v>
      </c>
      <c r="M485">
        <v>12</v>
      </c>
      <c r="N485">
        <v>0</v>
      </c>
      <c r="O485" t="s">
        <v>70</v>
      </c>
      <c r="P485">
        <v>42900</v>
      </c>
      <c r="Q485">
        <v>8.1</v>
      </c>
      <c r="R485">
        <v>3.1</v>
      </c>
      <c r="S485">
        <v>0.2</v>
      </c>
      <c r="T485">
        <v>0</v>
      </c>
      <c r="U485">
        <v>3.2</v>
      </c>
      <c r="V485">
        <v>5</v>
      </c>
      <c r="W485">
        <v>2.5</v>
      </c>
      <c r="X485" t="s">
        <v>45</v>
      </c>
      <c r="Y485">
        <v>0</v>
      </c>
      <c r="Z485">
        <v>1</v>
      </c>
      <c r="AA485">
        <v>2.1</v>
      </c>
      <c r="AB485">
        <v>0</v>
      </c>
      <c r="AC485" t="s">
        <v>46</v>
      </c>
      <c r="AE485">
        <v>0</v>
      </c>
      <c r="AF485">
        <v>0</v>
      </c>
      <c r="AG485" t="s">
        <v>47</v>
      </c>
      <c r="AH485" t="s">
        <v>76</v>
      </c>
      <c r="AI485" t="s">
        <v>57</v>
      </c>
      <c r="AJ485" s="1" t="s">
        <v>126</v>
      </c>
      <c r="AK485">
        <v>8.3333333333333301E-2</v>
      </c>
      <c r="AL485">
        <v>0</v>
      </c>
    </row>
    <row r="486" spans="1:38" x14ac:dyDescent="0.35">
      <c r="A486" t="s">
        <v>674</v>
      </c>
      <c r="B486" t="s">
        <v>73</v>
      </c>
      <c r="C486" t="s">
        <v>113</v>
      </c>
      <c r="D486">
        <v>4</v>
      </c>
      <c r="E486" t="s">
        <v>67</v>
      </c>
      <c r="F486">
        <v>28</v>
      </c>
      <c r="G486" t="s">
        <v>42</v>
      </c>
      <c r="H486" t="s">
        <v>69</v>
      </c>
      <c r="I486">
        <v>3</v>
      </c>
      <c r="J486">
        <v>21.6</v>
      </c>
      <c r="K486">
        <v>7</v>
      </c>
      <c r="L486">
        <v>0</v>
      </c>
      <c r="M486">
        <v>12</v>
      </c>
      <c r="N486">
        <v>0</v>
      </c>
      <c r="O486" t="s">
        <v>70</v>
      </c>
      <c r="P486">
        <v>35500</v>
      </c>
      <c r="Q486">
        <v>13.9</v>
      </c>
      <c r="R486">
        <v>3.6</v>
      </c>
      <c r="S486">
        <v>0.3</v>
      </c>
      <c r="T486">
        <v>0</v>
      </c>
      <c r="U486">
        <v>2.6</v>
      </c>
      <c r="V486">
        <v>2.9</v>
      </c>
      <c r="W486">
        <v>2.7</v>
      </c>
      <c r="X486" t="s">
        <v>45</v>
      </c>
      <c r="Y486">
        <v>0</v>
      </c>
      <c r="Z486">
        <v>0</v>
      </c>
      <c r="AB486">
        <v>0</v>
      </c>
      <c r="AC486" t="s">
        <v>46</v>
      </c>
      <c r="AE486">
        <v>1</v>
      </c>
      <c r="AF486">
        <v>0</v>
      </c>
      <c r="AG486" t="s">
        <v>75</v>
      </c>
      <c r="AH486" t="s">
        <v>76</v>
      </c>
      <c r="AI486" t="s">
        <v>57</v>
      </c>
      <c r="AJ486" s="1" t="s">
        <v>168</v>
      </c>
      <c r="AK486">
        <v>0.25</v>
      </c>
      <c r="AL486">
        <v>0</v>
      </c>
    </row>
    <row r="487" spans="1:38" x14ac:dyDescent="0.35">
      <c r="A487" t="s">
        <v>675</v>
      </c>
      <c r="B487" t="s">
        <v>98</v>
      </c>
      <c r="C487" t="s">
        <v>99</v>
      </c>
      <c r="D487">
        <v>8.9</v>
      </c>
      <c r="E487" t="s">
        <v>67</v>
      </c>
      <c r="F487">
        <v>35</v>
      </c>
      <c r="G487" t="s">
        <v>42</v>
      </c>
      <c r="H487" t="s">
        <v>55</v>
      </c>
      <c r="I487">
        <v>1</v>
      </c>
      <c r="J487">
        <v>12.9</v>
      </c>
      <c r="K487">
        <v>11</v>
      </c>
      <c r="L487">
        <v>5</v>
      </c>
      <c r="M487">
        <v>12</v>
      </c>
      <c r="N487">
        <v>0</v>
      </c>
      <c r="O487" t="s">
        <v>70</v>
      </c>
      <c r="P487">
        <v>45500</v>
      </c>
      <c r="Q487">
        <v>9.1999999999999993</v>
      </c>
      <c r="R487">
        <v>1.6</v>
      </c>
      <c r="S487">
        <v>0.5</v>
      </c>
      <c r="T487">
        <v>0</v>
      </c>
      <c r="U487">
        <v>3.3</v>
      </c>
      <c r="V487">
        <v>2.4</v>
      </c>
      <c r="W487">
        <v>2.8</v>
      </c>
      <c r="X487" t="s">
        <v>45</v>
      </c>
      <c r="Y487">
        <v>0</v>
      </c>
      <c r="Z487">
        <v>1</v>
      </c>
      <c r="AA487">
        <v>1</v>
      </c>
      <c r="AB487">
        <v>0</v>
      </c>
      <c r="AC487" t="s">
        <v>46</v>
      </c>
      <c r="AE487">
        <v>0</v>
      </c>
      <c r="AF487">
        <v>0</v>
      </c>
      <c r="AG487" t="s">
        <v>47</v>
      </c>
      <c r="AH487" t="s">
        <v>83</v>
      </c>
      <c r="AI487" t="s">
        <v>49</v>
      </c>
      <c r="AJ487" s="1" t="s">
        <v>212</v>
      </c>
      <c r="AK487">
        <v>8.3333333333333301E-2</v>
      </c>
      <c r="AL487">
        <v>0</v>
      </c>
    </row>
    <row r="488" spans="1:38" x14ac:dyDescent="0.35">
      <c r="A488" t="s">
        <v>676</v>
      </c>
      <c r="B488" t="s">
        <v>52</v>
      </c>
      <c r="C488" t="s">
        <v>53</v>
      </c>
      <c r="D488">
        <v>4.4000000000000004</v>
      </c>
      <c r="E488" t="s">
        <v>110</v>
      </c>
      <c r="F488">
        <v>33</v>
      </c>
      <c r="G488" t="s">
        <v>42</v>
      </c>
      <c r="H488" t="s">
        <v>55</v>
      </c>
      <c r="I488">
        <v>3</v>
      </c>
      <c r="J488">
        <v>12.4</v>
      </c>
      <c r="K488">
        <v>5</v>
      </c>
      <c r="L488">
        <v>1</v>
      </c>
      <c r="M488">
        <v>12</v>
      </c>
      <c r="N488">
        <v>0</v>
      </c>
      <c r="O488" t="s">
        <v>44</v>
      </c>
      <c r="P488">
        <v>55600</v>
      </c>
      <c r="Q488">
        <v>13</v>
      </c>
      <c r="R488">
        <v>2.5</v>
      </c>
      <c r="S488">
        <v>2.9</v>
      </c>
      <c r="T488">
        <v>0</v>
      </c>
      <c r="U488">
        <v>3.4</v>
      </c>
      <c r="V488">
        <v>4.9000000000000004</v>
      </c>
      <c r="W488">
        <v>3.9</v>
      </c>
      <c r="X488" t="s">
        <v>89</v>
      </c>
      <c r="Y488">
        <v>0</v>
      </c>
      <c r="Z488">
        <v>2</v>
      </c>
      <c r="AB488">
        <v>0</v>
      </c>
      <c r="AC488" t="s">
        <v>46</v>
      </c>
      <c r="AE488">
        <v>1</v>
      </c>
      <c r="AF488">
        <v>0</v>
      </c>
      <c r="AG488" t="s">
        <v>47</v>
      </c>
      <c r="AH488" t="s">
        <v>76</v>
      </c>
      <c r="AI488" t="s">
        <v>49</v>
      </c>
      <c r="AJ488" s="1" t="s">
        <v>677</v>
      </c>
      <c r="AK488">
        <v>0.25</v>
      </c>
      <c r="AL488">
        <v>0</v>
      </c>
    </row>
    <row r="489" spans="1:38" x14ac:dyDescent="0.35">
      <c r="A489" t="s">
        <v>678</v>
      </c>
      <c r="B489" t="s">
        <v>73</v>
      </c>
      <c r="C489" t="s">
        <v>177</v>
      </c>
      <c r="D489">
        <v>6.4</v>
      </c>
      <c r="E489" t="s">
        <v>67</v>
      </c>
      <c r="F489">
        <v>37</v>
      </c>
      <c r="G489" t="s">
        <v>54</v>
      </c>
      <c r="H489" t="s">
        <v>63</v>
      </c>
      <c r="I489">
        <v>4</v>
      </c>
      <c r="J489">
        <v>9.8000000000000007</v>
      </c>
      <c r="K489">
        <v>4</v>
      </c>
      <c r="L489">
        <v>1</v>
      </c>
      <c r="M489">
        <v>12</v>
      </c>
      <c r="N489">
        <v>0</v>
      </c>
      <c r="O489" t="s">
        <v>70</v>
      </c>
      <c r="P489">
        <v>39500</v>
      </c>
      <c r="Q489">
        <v>7.1</v>
      </c>
      <c r="R489">
        <v>3.9</v>
      </c>
      <c r="S489">
        <v>0.6</v>
      </c>
      <c r="T489">
        <v>0</v>
      </c>
      <c r="U489">
        <v>3.9</v>
      </c>
      <c r="V489">
        <v>2.2999999999999998</v>
      </c>
      <c r="W489">
        <v>2.6</v>
      </c>
      <c r="X489" t="s">
        <v>45</v>
      </c>
      <c r="Y489">
        <v>0</v>
      </c>
      <c r="Z489">
        <v>0</v>
      </c>
      <c r="AB489">
        <v>0</v>
      </c>
      <c r="AC489" t="s">
        <v>124</v>
      </c>
      <c r="AD489" s="2">
        <v>46284</v>
      </c>
      <c r="AE489">
        <v>1</v>
      </c>
      <c r="AF489">
        <v>0</v>
      </c>
      <c r="AG489" t="s">
        <v>75</v>
      </c>
      <c r="AH489" t="s">
        <v>83</v>
      </c>
      <c r="AI489" t="s">
        <v>64</v>
      </c>
      <c r="AJ489" s="1" t="s">
        <v>679</v>
      </c>
      <c r="AK489" s="1" t="s">
        <v>115</v>
      </c>
      <c r="AL489">
        <v>1</v>
      </c>
    </row>
    <row r="490" spans="1:38" x14ac:dyDescent="0.35">
      <c r="A490" t="s">
        <v>680</v>
      </c>
      <c r="B490" t="s">
        <v>117</v>
      </c>
      <c r="C490" t="s">
        <v>681</v>
      </c>
      <c r="D490">
        <v>6.2</v>
      </c>
      <c r="E490" t="s">
        <v>110</v>
      </c>
      <c r="F490">
        <v>29</v>
      </c>
      <c r="G490" t="s">
        <v>42</v>
      </c>
      <c r="H490" t="s">
        <v>69</v>
      </c>
      <c r="I490">
        <v>5</v>
      </c>
      <c r="J490">
        <v>10.7</v>
      </c>
      <c r="K490">
        <v>4</v>
      </c>
      <c r="L490">
        <v>2</v>
      </c>
      <c r="M490">
        <v>12</v>
      </c>
      <c r="N490">
        <v>0</v>
      </c>
      <c r="O490" t="s">
        <v>44</v>
      </c>
      <c r="P490">
        <v>64300</v>
      </c>
      <c r="Q490">
        <v>12.4</v>
      </c>
      <c r="R490">
        <v>4.0999999999999996</v>
      </c>
      <c r="S490">
        <v>0.6</v>
      </c>
      <c r="T490">
        <v>0</v>
      </c>
      <c r="U490">
        <v>2.7</v>
      </c>
      <c r="V490">
        <v>2.2999999999999998</v>
      </c>
      <c r="W490">
        <v>1.9</v>
      </c>
      <c r="X490" t="s">
        <v>45</v>
      </c>
      <c r="Y490">
        <v>0</v>
      </c>
      <c r="Z490">
        <v>2</v>
      </c>
      <c r="AA490">
        <v>4.9000000000000004</v>
      </c>
      <c r="AB490">
        <v>0</v>
      </c>
      <c r="AC490" t="s">
        <v>46</v>
      </c>
      <c r="AE490">
        <v>0</v>
      </c>
      <c r="AF490">
        <v>0</v>
      </c>
      <c r="AG490" t="s">
        <v>47</v>
      </c>
      <c r="AH490" t="s">
        <v>83</v>
      </c>
      <c r="AI490" t="s">
        <v>49</v>
      </c>
      <c r="AJ490" s="1" t="s">
        <v>319</v>
      </c>
      <c r="AK490" s="1" t="s">
        <v>127</v>
      </c>
      <c r="AL490">
        <v>0</v>
      </c>
    </row>
    <row r="491" spans="1:38" x14ac:dyDescent="0.35">
      <c r="A491" t="s">
        <v>682</v>
      </c>
      <c r="B491" t="s">
        <v>117</v>
      </c>
      <c r="C491" t="s">
        <v>118</v>
      </c>
      <c r="D491">
        <v>7.6</v>
      </c>
      <c r="E491" t="s">
        <v>62</v>
      </c>
      <c r="F491">
        <v>36</v>
      </c>
      <c r="G491" t="s">
        <v>42</v>
      </c>
      <c r="H491" t="s">
        <v>69</v>
      </c>
      <c r="I491">
        <v>2</v>
      </c>
      <c r="J491">
        <v>32.9</v>
      </c>
      <c r="K491">
        <v>10</v>
      </c>
      <c r="L491">
        <v>6</v>
      </c>
      <c r="M491">
        <v>12</v>
      </c>
      <c r="N491">
        <v>0</v>
      </c>
      <c r="O491" t="s">
        <v>56</v>
      </c>
      <c r="P491">
        <v>98800</v>
      </c>
      <c r="Q491">
        <v>9</v>
      </c>
      <c r="R491">
        <v>3.5</v>
      </c>
      <c r="S491">
        <v>0.6</v>
      </c>
      <c r="T491">
        <v>0</v>
      </c>
      <c r="U491">
        <v>4.0999999999999996</v>
      </c>
      <c r="V491">
        <v>2.2999999999999998</v>
      </c>
      <c r="W491">
        <v>3.6</v>
      </c>
      <c r="X491" t="s">
        <v>45</v>
      </c>
      <c r="Y491">
        <v>0</v>
      </c>
      <c r="Z491">
        <v>0</v>
      </c>
      <c r="AB491">
        <v>0</v>
      </c>
      <c r="AC491" t="s">
        <v>46</v>
      </c>
      <c r="AE491">
        <v>1</v>
      </c>
      <c r="AF491">
        <v>0</v>
      </c>
      <c r="AG491" t="s">
        <v>75</v>
      </c>
      <c r="AH491" t="s">
        <v>83</v>
      </c>
      <c r="AI491" t="s">
        <v>57</v>
      </c>
      <c r="AJ491" s="1" t="s">
        <v>90</v>
      </c>
      <c r="AK491" s="1" t="s">
        <v>84</v>
      </c>
      <c r="AL491">
        <v>0</v>
      </c>
    </row>
    <row r="492" spans="1:38" x14ac:dyDescent="0.35">
      <c r="A492" t="s">
        <v>683</v>
      </c>
      <c r="B492" t="s">
        <v>39</v>
      </c>
      <c r="C492" t="s">
        <v>66</v>
      </c>
      <c r="D492">
        <v>3.4</v>
      </c>
      <c r="E492" t="s">
        <v>110</v>
      </c>
      <c r="F492">
        <v>30</v>
      </c>
      <c r="G492" t="s">
        <v>68</v>
      </c>
      <c r="H492" t="s">
        <v>43</v>
      </c>
      <c r="I492">
        <v>5</v>
      </c>
      <c r="J492">
        <v>11</v>
      </c>
      <c r="K492">
        <v>8</v>
      </c>
      <c r="L492">
        <v>5</v>
      </c>
      <c r="M492">
        <v>12</v>
      </c>
      <c r="N492">
        <v>0</v>
      </c>
      <c r="O492" t="s">
        <v>44</v>
      </c>
      <c r="P492">
        <v>51400</v>
      </c>
      <c r="Q492">
        <v>11.5</v>
      </c>
      <c r="R492">
        <v>3.4</v>
      </c>
      <c r="S492">
        <v>1.2</v>
      </c>
      <c r="T492">
        <v>0</v>
      </c>
      <c r="U492">
        <v>2.2999999999999998</v>
      </c>
      <c r="V492">
        <v>3.1</v>
      </c>
      <c r="W492">
        <v>2.9</v>
      </c>
      <c r="X492" t="s">
        <v>45</v>
      </c>
      <c r="Y492">
        <v>0</v>
      </c>
      <c r="Z492">
        <v>1</v>
      </c>
      <c r="AA492">
        <v>1.4</v>
      </c>
      <c r="AB492">
        <v>0</v>
      </c>
      <c r="AC492" t="s">
        <v>124</v>
      </c>
      <c r="AD492" s="2">
        <v>45979</v>
      </c>
      <c r="AE492">
        <v>0</v>
      </c>
      <c r="AF492">
        <v>0</v>
      </c>
      <c r="AG492" t="s">
        <v>47</v>
      </c>
      <c r="AH492" t="s">
        <v>76</v>
      </c>
      <c r="AI492" t="s">
        <v>49</v>
      </c>
      <c r="AJ492" s="1" t="s">
        <v>170</v>
      </c>
      <c r="AK492" s="1" t="s">
        <v>127</v>
      </c>
      <c r="AL492">
        <v>1</v>
      </c>
    </row>
    <row r="493" spans="1:38" x14ac:dyDescent="0.35">
      <c r="A493" t="s">
        <v>684</v>
      </c>
      <c r="B493" t="s">
        <v>39</v>
      </c>
      <c r="C493" t="s">
        <v>88</v>
      </c>
      <c r="D493">
        <v>2.4</v>
      </c>
      <c r="E493" t="s">
        <v>110</v>
      </c>
      <c r="F493">
        <v>22</v>
      </c>
      <c r="G493" t="s">
        <v>42</v>
      </c>
      <c r="H493" t="s">
        <v>94</v>
      </c>
      <c r="I493">
        <v>3</v>
      </c>
      <c r="J493">
        <v>5.4</v>
      </c>
      <c r="K493">
        <v>7</v>
      </c>
      <c r="L493">
        <v>0</v>
      </c>
      <c r="M493">
        <v>12</v>
      </c>
      <c r="N493">
        <v>0</v>
      </c>
      <c r="O493" t="s">
        <v>44</v>
      </c>
      <c r="P493">
        <v>51000</v>
      </c>
      <c r="Q493">
        <v>11.9</v>
      </c>
      <c r="R493">
        <v>3.6</v>
      </c>
      <c r="S493">
        <v>1.6</v>
      </c>
      <c r="T493">
        <v>0</v>
      </c>
      <c r="U493">
        <v>2.8</v>
      </c>
      <c r="V493">
        <v>1.4</v>
      </c>
      <c r="W493">
        <v>3.4</v>
      </c>
      <c r="X493" t="s">
        <v>45</v>
      </c>
      <c r="Y493">
        <v>0</v>
      </c>
      <c r="Z493">
        <v>1</v>
      </c>
      <c r="AA493">
        <v>1.1000000000000001</v>
      </c>
      <c r="AB493">
        <v>0</v>
      </c>
      <c r="AC493" t="s">
        <v>46</v>
      </c>
      <c r="AE493">
        <v>0</v>
      </c>
      <c r="AF493">
        <v>0</v>
      </c>
      <c r="AG493" t="s">
        <v>47</v>
      </c>
      <c r="AH493" t="s">
        <v>48</v>
      </c>
      <c r="AI493" t="s">
        <v>64</v>
      </c>
      <c r="AJ493" s="1" t="s">
        <v>111</v>
      </c>
      <c r="AK493">
        <v>0.25</v>
      </c>
      <c r="AL493">
        <v>0</v>
      </c>
    </row>
    <row r="494" spans="1:38" x14ac:dyDescent="0.35">
      <c r="A494" t="s">
        <v>685</v>
      </c>
      <c r="B494" t="s">
        <v>39</v>
      </c>
      <c r="C494" t="s">
        <v>40</v>
      </c>
      <c r="D494">
        <v>5.5</v>
      </c>
      <c r="E494" t="s">
        <v>81</v>
      </c>
      <c r="F494">
        <v>39</v>
      </c>
      <c r="G494" t="s">
        <v>68</v>
      </c>
      <c r="H494" t="s">
        <v>94</v>
      </c>
      <c r="I494">
        <v>4</v>
      </c>
      <c r="J494">
        <v>13.1</v>
      </c>
      <c r="K494">
        <v>7</v>
      </c>
      <c r="L494">
        <v>4</v>
      </c>
      <c r="M494">
        <v>12</v>
      </c>
      <c r="N494">
        <v>0</v>
      </c>
      <c r="O494" t="s">
        <v>82</v>
      </c>
      <c r="P494">
        <v>29800</v>
      </c>
      <c r="Q494">
        <v>4.2</v>
      </c>
      <c r="R494">
        <v>4.0999999999999996</v>
      </c>
      <c r="S494">
        <v>1.6</v>
      </c>
      <c r="T494">
        <v>0</v>
      </c>
      <c r="U494">
        <v>4.8</v>
      </c>
      <c r="V494">
        <v>1.9</v>
      </c>
      <c r="W494">
        <v>4.4000000000000004</v>
      </c>
      <c r="X494" t="s">
        <v>45</v>
      </c>
      <c r="Y494">
        <v>0</v>
      </c>
      <c r="Z494">
        <v>0</v>
      </c>
      <c r="AB494">
        <v>0</v>
      </c>
      <c r="AC494" t="s">
        <v>46</v>
      </c>
      <c r="AE494">
        <v>1</v>
      </c>
      <c r="AF494">
        <v>0</v>
      </c>
      <c r="AG494" t="s">
        <v>75</v>
      </c>
      <c r="AH494" t="s">
        <v>83</v>
      </c>
      <c r="AI494" t="s">
        <v>49</v>
      </c>
      <c r="AJ494" s="1" t="s">
        <v>58</v>
      </c>
      <c r="AK494" s="1" t="s">
        <v>115</v>
      </c>
      <c r="AL494">
        <v>0</v>
      </c>
    </row>
    <row r="495" spans="1:38" x14ac:dyDescent="0.35">
      <c r="A495" t="s">
        <v>686</v>
      </c>
      <c r="B495" t="s">
        <v>98</v>
      </c>
      <c r="C495" t="s">
        <v>99</v>
      </c>
      <c r="D495">
        <v>7.2</v>
      </c>
      <c r="E495" t="s">
        <v>81</v>
      </c>
      <c r="F495">
        <v>27</v>
      </c>
      <c r="G495" t="s">
        <v>42</v>
      </c>
      <c r="H495" t="s">
        <v>43</v>
      </c>
      <c r="I495">
        <v>3</v>
      </c>
      <c r="J495">
        <v>18</v>
      </c>
      <c r="K495">
        <v>11</v>
      </c>
      <c r="L495">
        <v>2</v>
      </c>
      <c r="M495">
        <v>12</v>
      </c>
      <c r="N495">
        <v>0</v>
      </c>
      <c r="O495" t="s">
        <v>82</v>
      </c>
      <c r="P495">
        <v>33000</v>
      </c>
      <c r="Q495">
        <v>8.3000000000000007</v>
      </c>
      <c r="R495">
        <v>1.9</v>
      </c>
      <c r="S495">
        <v>0.6</v>
      </c>
      <c r="T495">
        <v>0</v>
      </c>
      <c r="U495">
        <v>2.4</v>
      </c>
      <c r="V495">
        <v>2.6</v>
      </c>
      <c r="W495">
        <v>3.5</v>
      </c>
      <c r="X495" t="s">
        <v>45</v>
      </c>
      <c r="Y495">
        <v>0</v>
      </c>
      <c r="Z495">
        <v>2</v>
      </c>
      <c r="AA495">
        <v>1</v>
      </c>
      <c r="AB495">
        <v>0</v>
      </c>
      <c r="AC495" t="s">
        <v>46</v>
      </c>
      <c r="AE495">
        <v>0</v>
      </c>
      <c r="AF495">
        <v>0</v>
      </c>
      <c r="AG495" t="s">
        <v>47</v>
      </c>
      <c r="AH495" t="s">
        <v>83</v>
      </c>
      <c r="AI495" t="s">
        <v>49</v>
      </c>
      <c r="AJ495" s="1" t="s">
        <v>212</v>
      </c>
      <c r="AK495">
        <v>0.25</v>
      </c>
      <c r="AL495">
        <v>0</v>
      </c>
    </row>
    <row r="496" spans="1:38" x14ac:dyDescent="0.35">
      <c r="A496" t="s">
        <v>687</v>
      </c>
      <c r="B496" t="s">
        <v>39</v>
      </c>
      <c r="C496" t="s">
        <v>66</v>
      </c>
      <c r="D496">
        <v>8.1</v>
      </c>
      <c r="E496" t="s">
        <v>81</v>
      </c>
      <c r="F496">
        <v>36</v>
      </c>
      <c r="G496" t="s">
        <v>42</v>
      </c>
      <c r="H496" t="s">
        <v>69</v>
      </c>
      <c r="I496">
        <v>3</v>
      </c>
      <c r="J496">
        <v>21</v>
      </c>
      <c r="K496">
        <v>10</v>
      </c>
      <c r="L496">
        <v>3</v>
      </c>
      <c r="M496">
        <v>12</v>
      </c>
      <c r="N496">
        <v>0</v>
      </c>
      <c r="O496" t="s">
        <v>82</v>
      </c>
      <c r="P496">
        <v>25200</v>
      </c>
      <c r="Q496">
        <v>11.8</v>
      </c>
      <c r="R496">
        <v>2.7</v>
      </c>
      <c r="S496">
        <v>2.8</v>
      </c>
      <c r="T496">
        <v>0</v>
      </c>
      <c r="U496">
        <v>2.7</v>
      </c>
      <c r="V496">
        <v>2.1</v>
      </c>
      <c r="W496">
        <v>4.5999999999999996</v>
      </c>
      <c r="X496" t="s">
        <v>45</v>
      </c>
      <c r="Y496">
        <v>0</v>
      </c>
      <c r="Z496">
        <v>0</v>
      </c>
      <c r="AB496">
        <v>1</v>
      </c>
      <c r="AC496" t="s">
        <v>46</v>
      </c>
      <c r="AE496">
        <v>1</v>
      </c>
      <c r="AF496">
        <v>0</v>
      </c>
      <c r="AG496" t="s">
        <v>75</v>
      </c>
      <c r="AH496" t="s">
        <v>83</v>
      </c>
      <c r="AI496" t="s">
        <v>57</v>
      </c>
      <c r="AJ496" s="1" t="s">
        <v>50</v>
      </c>
      <c r="AK496">
        <v>0.25</v>
      </c>
      <c r="AL496">
        <v>0</v>
      </c>
    </row>
    <row r="497" spans="1:38" x14ac:dyDescent="0.35">
      <c r="A497" t="s">
        <v>688</v>
      </c>
      <c r="B497" t="s">
        <v>117</v>
      </c>
      <c r="C497" t="s">
        <v>197</v>
      </c>
      <c r="D497">
        <v>9.6</v>
      </c>
      <c r="E497" t="s">
        <v>110</v>
      </c>
      <c r="F497">
        <v>37</v>
      </c>
      <c r="G497" t="s">
        <v>68</v>
      </c>
      <c r="H497" t="s">
        <v>55</v>
      </c>
      <c r="I497">
        <v>4</v>
      </c>
      <c r="J497">
        <v>4</v>
      </c>
      <c r="K497">
        <v>10</v>
      </c>
      <c r="L497">
        <v>3</v>
      </c>
      <c r="M497">
        <v>12</v>
      </c>
      <c r="N497">
        <v>0</v>
      </c>
      <c r="O497" t="s">
        <v>44</v>
      </c>
      <c r="P497">
        <v>64000</v>
      </c>
      <c r="Q497">
        <v>12.5</v>
      </c>
      <c r="R497">
        <v>3.1</v>
      </c>
      <c r="S497">
        <v>1.1000000000000001</v>
      </c>
      <c r="T497">
        <v>0</v>
      </c>
      <c r="U497">
        <v>2.2000000000000002</v>
      </c>
      <c r="V497">
        <v>4.2</v>
      </c>
      <c r="W497">
        <v>3.3</v>
      </c>
      <c r="X497" t="s">
        <v>45</v>
      </c>
      <c r="Y497">
        <v>0</v>
      </c>
      <c r="Z497">
        <v>1</v>
      </c>
      <c r="AA497">
        <v>8.3000000000000007</v>
      </c>
      <c r="AB497">
        <v>0</v>
      </c>
      <c r="AC497" t="s">
        <v>46</v>
      </c>
      <c r="AE497">
        <v>0</v>
      </c>
      <c r="AF497">
        <v>0</v>
      </c>
      <c r="AG497" t="s">
        <v>47</v>
      </c>
      <c r="AH497" t="s">
        <v>83</v>
      </c>
      <c r="AI497" t="s">
        <v>64</v>
      </c>
      <c r="AJ497" s="1" t="s">
        <v>198</v>
      </c>
      <c r="AK497" s="1" t="s">
        <v>115</v>
      </c>
      <c r="AL497">
        <v>0</v>
      </c>
    </row>
    <row r="498" spans="1:38" x14ac:dyDescent="0.35">
      <c r="A498" t="s">
        <v>689</v>
      </c>
      <c r="B498" t="s">
        <v>52</v>
      </c>
      <c r="C498" t="s">
        <v>153</v>
      </c>
      <c r="D498">
        <v>6.8</v>
      </c>
      <c r="E498" t="s">
        <v>41</v>
      </c>
      <c r="F498">
        <v>34</v>
      </c>
      <c r="G498" t="s">
        <v>54</v>
      </c>
      <c r="H498" t="s">
        <v>69</v>
      </c>
      <c r="I498">
        <v>6</v>
      </c>
      <c r="J498">
        <v>28.3</v>
      </c>
      <c r="K498">
        <v>9</v>
      </c>
      <c r="L498">
        <v>1</v>
      </c>
      <c r="M498">
        <v>12</v>
      </c>
      <c r="N498">
        <v>0</v>
      </c>
      <c r="O498" t="s">
        <v>56</v>
      </c>
      <c r="P498">
        <v>75700</v>
      </c>
      <c r="Q498">
        <v>13</v>
      </c>
      <c r="R498">
        <v>3.4</v>
      </c>
      <c r="S498">
        <v>2.5</v>
      </c>
      <c r="T498">
        <v>0</v>
      </c>
      <c r="U498">
        <v>2.6</v>
      </c>
      <c r="V498">
        <v>3.2</v>
      </c>
      <c r="W498">
        <v>4.2</v>
      </c>
      <c r="X498" t="s">
        <v>45</v>
      </c>
      <c r="Y498">
        <v>0</v>
      </c>
      <c r="Z498">
        <v>1</v>
      </c>
      <c r="AA498">
        <v>3.4</v>
      </c>
      <c r="AB498">
        <v>0</v>
      </c>
      <c r="AC498" t="s">
        <v>46</v>
      </c>
      <c r="AE498">
        <v>0</v>
      </c>
      <c r="AF498">
        <v>0</v>
      </c>
      <c r="AG498" t="s">
        <v>47</v>
      </c>
      <c r="AH498" t="s">
        <v>83</v>
      </c>
      <c r="AI498" t="s">
        <v>57</v>
      </c>
      <c r="AJ498" s="1" t="s">
        <v>90</v>
      </c>
      <c r="AK498">
        <v>0.5</v>
      </c>
      <c r="AL498">
        <v>0</v>
      </c>
    </row>
    <row r="499" spans="1:38" x14ac:dyDescent="0.35">
      <c r="A499" t="s">
        <v>690</v>
      </c>
      <c r="B499" t="s">
        <v>39</v>
      </c>
      <c r="C499" t="s">
        <v>40</v>
      </c>
      <c r="D499">
        <v>2.2999999999999998</v>
      </c>
      <c r="E499" t="s">
        <v>81</v>
      </c>
      <c r="F499">
        <v>26</v>
      </c>
      <c r="G499" t="s">
        <v>54</v>
      </c>
      <c r="H499" t="s">
        <v>43</v>
      </c>
      <c r="I499">
        <v>3</v>
      </c>
      <c r="J499">
        <v>17.5</v>
      </c>
      <c r="K499">
        <v>7</v>
      </c>
      <c r="L499">
        <v>2</v>
      </c>
      <c r="M499">
        <v>12</v>
      </c>
      <c r="N499">
        <v>0</v>
      </c>
      <c r="O499" t="s">
        <v>82</v>
      </c>
      <c r="P499">
        <v>30000</v>
      </c>
      <c r="Q499">
        <v>8.4</v>
      </c>
      <c r="R499">
        <v>1.3</v>
      </c>
      <c r="S499">
        <v>1.3</v>
      </c>
      <c r="T499">
        <v>0</v>
      </c>
      <c r="U499">
        <v>3.4</v>
      </c>
      <c r="V499">
        <v>3.7</v>
      </c>
      <c r="W499">
        <v>3</v>
      </c>
      <c r="X499" t="s">
        <v>45</v>
      </c>
      <c r="Y499">
        <v>0</v>
      </c>
      <c r="Z499">
        <v>1</v>
      </c>
      <c r="AA499">
        <v>0</v>
      </c>
      <c r="AB499">
        <v>0</v>
      </c>
      <c r="AC499" t="s">
        <v>46</v>
      </c>
      <c r="AE499">
        <v>0</v>
      </c>
      <c r="AF499">
        <v>0</v>
      </c>
      <c r="AG499" t="s">
        <v>47</v>
      </c>
      <c r="AH499" t="s">
        <v>48</v>
      </c>
      <c r="AI499" t="s">
        <v>49</v>
      </c>
      <c r="AJ499" s="1" t="s">
        <v>86</v>
      </c>
      <c r="AK499">
        <v>0.25</v>
      </c>
      <c r="AL499">
        <v>0</v>
      </c>
    </row>
    <row r="500" spans="1:38" x14ac:dyDescent="0.35">
      <c r="A500" t="s">
        <v>691</v>
      </c>
      <c r="B500" t="s">
        <v>98</v>
      </c>
      <c r="C500" t="s">
        <v>148</v>
      </c>
      <c r="D500">
        <v>4.4000000000000004</v>
      </c>
      <c r="E500" t="s">
        <v>81</v>
      </c>
      <c r="F500">
        <v>34</v>
      </c>
      <c r="G500" t="s">
        <v>42</v>
      </c>
      <c r="H500" t="s">
        <v>55</v>
      </c>
      <c r="I500">
        <v>3</v>
      </c>
      <c r="J500">
        <v>27.2</v>
      </c>
      <c r="K500">
        <v>9</v>
      </c>
      <c r="L500">
        <v>1</v>
      </c>
      <c r="M500">
        <v>12</v>
      </c>
      <c r="N500">
        <v>0</v>
      </c>
      <c r="O500" t="s">
        <v>70</v>
      </c>
      <c r="P500">
        <v>37300</v>
      </c>
      <c r="Q500">
        <v>14.2</v>
      </c>
      <c r="R500">
        <v>2.1</v>
      </c>
      <c r="S500">
        <v>0.6</v>
      </c>
      <c r="T500">
        <v>0</v>
      </c>
      <c r="U500">
        <v>3.9</v>
      </c>
      <c r="V500">
        <v>3.6</v>
      </c>
      <c r="W500">
        <v>3.5</v>
      </c>
      <c r="X500" t="s">
        <v>45</v>
      </c>
      <c r="Y500">
        <v>0</v>
      </c>
      <c r="Z500">
        <v>0</v>
      </c>
      <c r="AB500">
        <v>0</v>
      </c>
      <c r="AC500" t="s">
        <v>46</v>
      </c>
      <c r="AE500">
        <v>1</v>
      </c>
      <c r="AF500">
        <v>0</v>
      </c>
      <c r="AG500" t="s">
        <v>75</v>
      </c>
      <c r="AH500" t="s">
        <v>76</v>
      </c>
      <c r="AI500" t="s">
        <v>57</v>
      </c>
      <c r="AJ500" s="1" t="s">
        <v>266</v>
      </c>
      <c r="AK500">
        <v>0.25</v>
      </c>
      <c r="AL500">
        <v>0</v>
      </c>
    </row>
    <row r="501" spans="1:38" x14ac:dyDescent="0.35">
      <c r="A501" t="s">
        <v>692</v>
      </c>
      <c r="B501" t="s">
        <v>117</v>
      </c>
      <c r="C501" t="s">
        <v>189</v>
      </c>
      <c r="D501">
        <v>4.0999999999999996</v>
      </c>
      <c r="E501" t="s">
        <v>67</v>
      </c>
      <c r="F501">
        <v>24</v>
      </c>
      <c r="G501" t="s">
        <v>68</v>
      </c>
      <c r="H501" t="s">
        <v>63</v>
      </c>
      <c r="I501">
        <v>5</v>
      </c>
      <c r="J501">
        <v>2.6</v>
      </c>
      <c r="K501">
        <v>10</v>
      </c>
      <c r="L501">
        <v>0</v>
      </c>
      <c r="M501">
        <v>12</v>
      </c>
      <c r="N501">
        <v>0</v>
      </c>
      <c r="O501" t="s">
        <v>70</v>
      </c>
      <c r="P501">
        <v>36800</v>
      </c>
      <c r="Q501">
        <v>5.4</v>
      </c>
      <c r="R501">
        <v>3.2</v>
      </c>
      <c r="S501">
        <v>0.8</v>
      </c>
      <c r="T501">
        <v>0</v>
      </c>
      <c r="U501">
        <v>3.3</v>
      </c>
      <c r="V501">
        <v>3</v>
      </c>
      <c r="W501">
        <v>2.7</v>
      </c>
      <c r="X501" t="s">
        <v>45</v>
      </c>
      <c r="Y501">
        <v>0</v>
      </c>
      <c r="Z501">
        <v>1</v>
      </c>
      <c r="AA501">
        <v>1.1000000000000001</v>
      </c>
      <c r="AB501">
        <v>0</v>
      </c>
      <c r="AC501" t="s">
        <v>46</v>
      </c>
      <c r="AE501">
        <v>0</v>
      </c>
      <c r="AF501">
        <v>0</v>
      </c>
      <c r="AG501" t="s">
        <v>47</v>
      </c>
      <c r="AH501" t="s">
        <v>76</v>
      </c>
      <c r="AI501" t="s">
        <v>64</v>
      </c>
      <c r="AJ501">
        <v>3</v>
      </c>
      <c r="AK501" s="1" t="s">
        <v>127</v>
      </c>
      <c r="AL501">
        <v>0</v>
      </c>
    </row>
    <row r="502" spans="1:38" x14ac:dyDescent="0.35">
      <c r="A502" t="s">
        <v>693</v>
      </c>
      <c r="B502" t="s">
        <v>39</v>
      </c>
      <c r="C502" t="s">
        <v>40</v>
      </c>
      <c r="D502">
        <v>3.8</v>
      </c>
      <c r="E502" t="s">
        <v>110</v>
      </c>
      <c r="F502">
        <v>30</v>
      </c>
      <c r="G502" t="s">
        <v>42</v>
      </c>
      <c r="H502" t="s">
        <v>94</v>
      </c>
      <c r="I502">
        <v>2</v>
      </c>
      <c r="J502">
        <v>22.2</v>
      </c>
      <c r="K502">
        <v>10</v>
      </c>
      <c r="L502">
        <v>1</v>
      </c>
      <c r="M502">
        <v>12</v>
      </c>
      <c r="N502">
        <v>0</v>
      </c>
      <c r="O502" t="s">
        <v>70</v>
      </c>
      <c r="P502">
        <v>45600</v>
      </c>
      <c r="Q502">
        <v>2</v>
      </c>
      <c r="R502">
        <v>4.0999999999999996</v>
      </c>
      <c r="S502">
        <v>0.5</v>
      </c>
      <c r="T502">
        <v>0</v>
      </c>
      <c r="U502">
        <v>3</v>
      </c>
      <c r="V502">
        <v>4.0999999999999996</v>
      </c>
      <c r="W502">
        <v>2.7</v>
      </c>
      <c r="X502" t="s">
        <v>45</v>
      </c>
      <c r="Y502">
        <v>0</v>
      </c>
      <c r="Z502">
        <v>0</v>
      </c>
      <c r="AB502">
        <v>1</v>
      </c>
      <c r="AC502" t="s">
        <v>46</v>
      </c>
      <c r="AE502">
        <v>1</v>
      </c>
      <c r="AF502">
        <v>0</v>
      </c>
      <c r="AG502" t="s">
        <v>75</v>
      </c>
      <c r="AH502" t="s">
        <v>76</v>
      </c>
      <c r="AI502" t="s">
        <v>57</v>
      </c>
      <c r="AJ502" s="1" t="s">
        <v>235</v>
      </c>
      <c r="AK502" s="1" t="s">
        <v>84</v>
      </c>
      <c r="AL502">
        <v>0</v>
      </c>
    </row>
    <row r="503" spans="1:38" x14ac:dyDescent="0.35">
      <c r="A503" t="s">
        <v>694</v>
      </c>
      <c r="B503" t="s">
        <v>60</v>
      </c>
      <c r="C503" t="s">
        <v>80</v>
      </c>
      <c r="D503">
        <v>5.5</v>
      </c>
      <c r="E503" t="s">
        <v>110</v>
      </c>
      <c r="F503">
        <v>29</v>
      </c>
      <c r="G503" t="s">
        <v>54</v>
      </c>
      <c r="H503" t="s">
        <v>55</v>
      </c>
      <c r="I503">
        <v>4</v>
      </c>
      <c r="J503">
        <v>3.8</v>
      </c>
      <c r="K503">
        <v>12</v>
      </c>
      <c r="L503">
        <v>2</v>
      </c>
      <c r="M503">
        <v>12</v>
      </c>
      <c r="N503">
        <v>0</v>
      </c>
      <c r="O503" t="s">
        <v>44</v>
      </c>
      <c r="P503">
        <v>56000</v>
      </c>
      <c r="Q503">
        <v>6.9</v>
      </c>
      <c r="R503">
        <v>2.8</v>
      </c>
      <c r="S503">
        <v>0.2</v>
      </c>
      <c r="T503">
        <v>0</v>
      </c>
      <c r="U503">
        <v>2.2000000000000002</v>
      </c>
      <c r="V503">
        <v>3.6</v>
      </c>
      <c r="W503">
        <v>3.2</v>
      </c>
      <c r="X503" t="s">
        <v>45</v>
      </c>
      <c r="Y503">
        <v>0</v>
      </c>
      <c r="Z503">
        <v>0</v>
      </c>
      <c r="AB503">
        <v>0</v>
      </c>
      <c r="AC503" t="s">
        <v>46</v>
      </c>
      <c r="AE503">
        <v>1</v>
      </c>
      <c r="AF503">
        <v>0</v>
      </c>
      <c r="AG503" t="s">
        <v>75</v>
      </c>
      <c r="AH503" t="s">
        <v>83</v>
      </c>
      <c r="AI503" t="s">
        <v>64</v>
      </c>
      <c r="AJ503">
        <v>3</v>
      </c>
      <c r="AK503" s="1" t="s">
        <v>115</v>
      </c>
      <c r="AL503">
        <v>0</v>
      </c>
    </row>
    <row r="504" spans="1:38" x14ac:dyDescent="0.35">
      <c r="A504" t="s">
        <v>695</v>
      </c>
      <c r="B504" t="s">
        <v>60</v>
      </c>
      <c r="C504" t="s">
        <v>107</v>
      </c>
      <c r="D504">
        <v>3.2</v>
      </c>
      <c r="E504" t="s">
        <v>110</v>
      </c>
      <c r="F504">
        <v>26</v>
      </c>
      <c r="G504" t="s">
        <v>42</v>
      </c>
      <c r="H504" t="s">
        <v>63</v>
      </c>
      <c r="I504">
        <v>4</v>
      </c>
      <c r="J504">
        <v>8.1</v>
      </c>
      <c r="K504">
        <v>7</v>
      </c>
      <c r="L504">
        <v>2</v>
      </c>
      <c r="M504">
        <v>12</v>
      </c>
      <c r="N504">
        <v>0</v>
      </c>
      <c r="O504" t="s">
        <v>44</v>
      </c>
      <c r="P504">
        <v>55200</v>
      </c>
      <c r="Q504">
        <v>12.8</v>
      </c>
      <c r="R504">
        <v>2.6</v>
      </c>
      <c r="S504">
        <v>1.4</v>
      </c>
      <c r="T504">
        <v>0</v>
      </c>
      <c r="U504">
        <v>2.6</v>
      </c>
      <c r="V504">
        <v>2.9</v>
      </c>
      <c r="W504">
        <v>2.2999999999999998</v>
      </c>
      <c r="X504" t="s">
        <v>45</v>
      </c>
      <c r="Y504">
        <v>0</v>
      </c>
      <c r="Z504">
        <v>0</v>
      </c>
      <c r="AB504">
        <v>1</v>
      </c>
      <c r="AC504" t="s">
        <v>46</v>
      </c>
      <c r="AE504">
        <v>1</v>
      </c>
      <c r="AF504">
        <v>0</v>
      </c>
      <c r="AG504" t="s">
        <v>75</v>
      </c>
      <c r="AH504" t="s">
        <v>76</v>
      </c>
      <c r="AI504" t="s">
        <v>64</v>
      </c>
      <c r="AJ504">
        <v>2.6</v>
      </c>
      <c r="AK504" s="1" t="s">
        <v>115</v>
      </c>
      <c r="AL504">
        <v>0</v>
      </c>
    </row>
    <row r="505" spans="1:38" x14ac:dyDescent="0.35">
      <c r="A505" t="s">
        <v>696</v>
      </c>
      <c r="B505" t="s">
        <v>117</v>
      </c>
      <c r="C505" t="s">
        <v>197</v>
      </c>
      <c r="D505">
        <v>3.2</v>
      </c>
      <c r="E505" t="s">
        <v>41</v>
      </c>
      <c r="F505">
        <v>31</v>
      </c>
      <c r="G505" t="s">
        <v>42</v>
      </c>
      <c r="H505" t="s">
        <v>55</v>
      </c>
      <c r="I505">
        <v>4</v>
      </c>
      <c r="J505">
        <v>17.899999999999999</v>
      </c>
      <c r="K505">
        <v>8</v>
      </c>
      <c r="L505">
        <v>1</v>
      </c>
      <c r="M505">
        <v>12</v>
      </c>
      <c r="N505">
        <v>0</v>
      </c>
      <c r="O505" t="s">
        <v>56</v>
      </c>
      <c r="P505">
        <v>78700</v>
      </c>
      <c r="Q505">
        <v>3.7</v>
      </c>
      <c r="R505">
        <v>3.7</v>
      </c>
      <c r="S505">
        <v>0.4</v>
      </c>
      <c r="T505">
        <v>0</v>
      </c>
      <c r="U505">
        <v>1.9</v>
      </c>
      <c r="V505">
        <v>1.7</v>
      </c>
      <c r="W505">
        <v>3.5</v>
      </c>
      <c r="X505" t="s">
        <v>45</v>
      </c>
      <c r="Y505">
        <v>0</v>
      </c>
      <c r="Z505">
        <v>0</v>
      </c>
      <c r="AB505">
        <v>0</v>
      </c>
      <c r="AC505" t="s">
        <v>46</v>
      </c>
      <c r="AE505">
        <v>1</v>
      </c>
      <c r="AF505">
        <v>0</v>
      </c>
      <c r="AG505" t="s">
        <v>75</v>
      </c>
      <c r="AH505" t="s">
        <v>76</v>
      </c>
      <c r="AI505" t="s">
        <v>49</v>
      </c>
      <c r="AJ505" s="1" t="s">
        <v>263</v>
      </c>
      <c r="AK505" s="1" t="s">
        <v>115</v>
      </c>
      <c r="AL505">
        <v>0</v>
      </c>
    </row>
    <row r="506" spans="1:38" x14ac:dyDescent="0.35">
      <c r="A506" t="s">
        <v>697</v>
      </c>
      <c r="B506" t="s">
        <v>117</v>
      </c>
      <c r="C506" t="s">
        <v>197</v>
      </c>
      <c r="D506">
        <v>11.7</v>
      </c>
      <c r="E506" t="s">
        <v>67</v>
      </c>
      <c r="F506">
        <v>42</v>
      </c>
      <c r="G506" t="s">
        <v>54</v>
      </c>
      <c r="H506" t="s">
        <v>43</v>
      </c>
      <c r="I506">
        <v>2</v>
      </c>
      <c r="J506">
        <v>3.4</v>
      </c>
      <c r="K506">
        <v>7</v>
      </c>
      <c r="L506">
        <v>4</v>
      </c>
      <c r="M506">
        <v>12</v>
      </c>
      <c r="N506">
        <v>0</v>
      </c>
      <c r="O506" t="s">
        <v>70</v>
      </c>
      <c r="P506">
        <v>40700</v>
      </c>
      <c r="Q506">
        <v>2.1</v>
      </c>
      <c r="R506">
        <v>2.9</v>
      </c>
      <c r="S506">
        <v>0.3</v>
      </c>
      <c r="T506">
        <v>0</v>
      </c>
      <c r="U506">
        <v>4</v>
      </c>
      <c r="V506">
        <v>3.7</v>
      </c>
      <c r="W506">
        <v>3.2</v>
      </c>
      <c r="X506" t="s">
        <v>45</v>
      </c>
      <c r="Y506">
        <v>0</v>
      </c>
      <c r="Z506">
        <v>0</v>
      </c>
      <c r="AB506">
        <v>0</v>
      </c>
      <c r="AC506" t="s">
        <v>46</v>
      </c>
      <c r="AE506">
        <v>1</v>
      </c>
      <c r="AF506">
        <v>0</v>
      </c>
      <c r="AG506" t="s">
        <v>75</v>
      </c>
      <c r="AH506" t="s">
        <v>83</v>
      </c>
      <c r="AI506" t="s">
        <v>64</v>
      </c>
      <c r="AJ506" s="1" t="s">
        <v>190</v>
      </c>
      <c r="AK506" s="1" t="s">
        <v>84</v>
      </c>
      <c r="AL506">
        <v>0</v>
      </c>
    </row>
    <row r="507" spans="1:38" x14ac:dyDescent="0.35">
      <c r="A507" t="s">
        <v>698</v>
      </c>
      <c r="B507" t="s">
        <v>39</v>
      </c>
      <c r="C507" t="s">
        <v>88</v>
      </c>
      <c r="D507">
        <v>3.5</v>
      </c>
      <c r="E507" t="s">
        <v>110</v>
      </c>
      <c r="F507">
        <v>28</v>
      </c>
      <c r="G507" t="s">
        <v>42</v>
      </c>
      <c r="H507" t="s">
        <v>94</v>
      </c>
      <c r="I507">
        <v>1</v>
      </c>
      <c r="J507">
        <v>6.4</v>
      </c>
      <c r="K507">
        <v>5</v>
      </c>
      <c r="L507">
        <v>1</v>
      </c>
      <c r="M507">
        <v>12</v>
      </c>
      <c r="N507">
        <v>0</v>
      </c>
      <c r="O507" t="s">
        <v>70</v>
      </c>
      <c r="P507">
        <v>47900</v>
      </c>
      <c r="Q507">
        <v>1.1000000000000001</v>
      </c>
      <c r="R507">
        <v>4</v>
      </c>
      <c r="S507">
        <v>2.4</v>
      </c>
      <c r="T507">
        <v>0</v>
      </c>
      <c r="U507">
        <v>4</v>
      </c>
      <c r="V507">
        <v>2.1</v>
      </c>
      <c r="W507">
        <v>3.6</v>
      </c>
      <c r="X507" t="s">
        <v>45</v>
      </c>
      <c r="Y507">
        <v>0</v>
      </c>
      <c r="Z507">
        <v>0</v>
      </c>
      <c r="AB507">
        <v>0</v>
      </c>
      <c r="AC507" t="s">
        <v>46</v>
      </c>
      <c r="AE507">
        <v>1</v>
      </c>
      <c r="AF507">
        <v>0</v>
      </c>
      <c r="AG507" t="s">
        <v>75</v>
      </c>
      <c r="AH507" t="s">
        <v>76</v>
      </c>
      <c r="AI507" t="s">
        <v>64</v>
      </c>
      <c r="AJ507" s="1" t="s">
        <v>198</v>
      </c>
      <c r="AK507">
        <v>8.3333333333333301E-2</v>
      </c>
      <c r="AL507">
        <v>0</v>
      </c>
    </row>
    <row r="508" spans="1:38" x14ac:dyDescent="0.35">
      <c r="A508" t="s">
        <v>699</v>
      </c>
      <c r="B508" t="s">
        <v>98</v>
      </c>
      <c r="C508" t="s">
        <v>99</v>
      </c>
      <c r="D508">
        <v>7.5</v>
      </c>
      <c r="E508" t="s">
        <v>110</v>
      </c>
      <c r="F508">
        <v>37</v>
      </c>
      <c r="G508" t="s">
        <v>54</v>
      </c>
      <c r="H508" t="s">
        <v>55</v>
      </c>
      <c r="I508">
        <v>3</v>
      </c>
      <c r="J508">
        <v>2.6</v>
      </c>
      <c r="K508">
        <v>11</v>
      </c>
      <c r="L508">
        <v>5</v>
      </c>
      <c r="M508">
        <v>12</v>
      </c>
      <c r="N508">
        <v>0</v>
      </c>
      <c r="O508" t="s">
        <v>70</v>
      </c>
      <c r="P508">
        <v>45900</v>
      </c>
      <c r="Q508">
        <v>10.9</v>
      </c>
      <c r="R508">
        <v>3</v>
      </c>
      <c r="S508">
        <v>3.4</v>
      </c>
      <c r="T508">
        <v>0</v>
      </c>
      <c r="U508">
        <v>3.3</v>
      </c>
      <c r="V508">
        <v>3.5</v>
      </c>
      <c r="W508">
        <v>2.2999999999999998</v>
      </c>
      <c r="X508" t="s">
        <v>45</v>
      </c>
      <c r="Y508">
        <v>0</v>
      </c>
      <c r="Z508">
        <v>0</v>
      </c>
      <c r="AB508">
        <v>0</v>
      </c>
      <c r="AC508" t="s">
        <v>124</v>
      </c>
      <c r="AD508" s="2">
        <v>45359</v>
      </c>
      <c r="AE508">
        <v>1</v>
      </c>
      <c r="AF508">
        <v>0</v>
      </c>
      <c r="AG508" t="s">
        <v>75</v>
      </c>
      <c r="AH508" t="s">
        <v>83</v>
      </c>
      <c r="AI508" t="s">
        <v>64</v>
      </c>
      <c r="AJ508" s="1" t="s">
        <v>627</v>
      </c>
      <c r="AK508">
        <v>0.25</v>
      </c>
      <c r="AL508">
        <v>1</v>
      </c>
    </row>
    <row r="509" spans="1:38" x14ac:dyDescent="0.35">
      <c r="A509" t="s">
        <v>700</v>
      </c>
      <c r="B509" t="s">
        <v>60</v>
      </c>
      <c r="C509" t="s">
        <v>61</v>
      </c>
      <c r="D509">
        <v>7.8</v>
      </c>
      <c r="E509" t="s">
        <v>67</v>
      </c>
      <c r="F509">
        <v>34</v>
      </c>
      <c r="G509" t="s">
        <v>42</v>
      </c>
      <c r="H509" t="s">
        <v>43</v>
      </c>
      <c r="I509">
        <v>1</v>
      </c>
      <c r="J509">
        <v>17.600000000000001</v>
      </c>
      <c r="K509">
        <v>4</v>
      </c>
      <c r="L509">
        <v>1</v>
      </c>
      <c r="M509">
        <v>12</v>
      </c>
      <c r="N509">
        <v>0</v>
      </c>
      <c r="O509" t="s">
        <v>82</v>
      </c>
      <c r="P509">
        <v>34500</v>
      </c>
      <c r="Q509">
        <v>2.2000000000000002</v>
      </c>
      <c r="R509">
        <v>2.2000000000000002</v>
      </c>
      <c r="S509">
        <v>0.6</v>
      </c>
      <c r="T509">
        <v>0</v>
      </c>
      <c r="U509">
        <v>3.7</v>
      </c>
      <c r="V509">
        <v>3.3</v>
      </c>
      <c r="W509">
        <v>4</v>
      </c>
      <c r="X509" t="s">
        <v>45</v>
      </c>
      <c r="Y509">
        <v>0</v>
      </c>
      <c r="Z509">
        <v>0</v>
      </c>
      <c r="AB509">
        <v>1</v>
      </c>
      <c r="AC509" t="s">
        <v>46</v>
      </c>
      <c r="AE509">
        <v>1</v>
      </c>
      <c r="AF509">
        <v>0</v>
      </c>
      <c r="AG509" t="s">
        <v>75</v>
      </c>
      <c r="AH509" t="s">
        <v>83</v>
      </c>
      <c r="AI509" t="s">
        <v>49</v>
      </c>
      <c r="AJ509" s="1" t="s">
        <v>266</v>
      </c>
      <c r="AK509">
        <v>8.3333333333333301E-2</v>
      </c>
      <c r="AL509">
        <v>0</v>
      </c>
    </row>
    <row r="510" spans="1:38" x14ac:dyDescent="0.35">
      <c r="A510" t="s">
        <v>701</v>
      </c>
      <c r="B510" t="s">
        <v>52</v>
      </c>
      <c r="C510" t="s">
        <v>93</v>
      </c>
      <c r="D510">
        <v>4.4000000000000004</v>
      </c>
      <c r="E510" t="s">
        <v>41</v>
      </c>
      <c r="F510">
        <v>27</v>
      </c>
      <c r="G510" t="s">
        <v>42</v>
      </c>
      <c r="H510" t="s">
        <v>69</v>
      </c>
      <c r="I510">
        <v>6</v>
      </c>
      <c r="J510">
        <v>4.9000000000000004</v>
      </c>
      <c r="K510">
        <v>7</v>
      </c>
      <c r="L510">
        <v>2</v>
      </c>
      <c r="M510">
        <v>12</v>
      </c>
      <c r="N510">
        <v>0</v>
      </c>
      <c r="O510" t="s">
        <v>44</v>
      </c>
      <c r="P510">
        <v>68900</v>
      </c>
      <c r="Q510">
        <v>10.199999999999999</v>
      </c>
      <c r="R510">
        <v>4.5</v>
      </c>
      <c r="S510">
        <v>8</v>
      </c>
      <c r="T510">
        <v>0</v>
      </c>
      <c r="U510">
        <v>4.0999999999999996</v>
      </c>
      <c r="V510">
        <v>2</v>
      </c>
      <c r="W510">
        <v>4.8</v>
      </c>
      <c r="X510" t="s">
        <v>45</v>
      </c>
      <c r="Y510">
        <v>0</v>
      </c>
      <c r="Z510">
        <v>1</v>
      </c>
      <c r="AA510">
        <v>1.4</v>
      </c>
      <c r="AB510">
        <v>0</v>
      </c>
      <c r="AC510" t="s">
        <v>46</v>
      </c>
      <c r="AE510">
        <v>0</v>
      </c>
      <c r="AF510">
        <v>0</v>
      </c>
      <c r="AG510" t="s">
        <v>47</v>
      </c>
      <c r="AH510" t="s">
        <v>76</v>
      </c>
      <c r="AI510" t="s">
        <v>64</v>
      </c>
      <c r="AJ510" s="1" t="s">
        <v>187</v>
      </c>
      <c r="AK510">
        <v>0.5</v>
      </c>
      <c r="AL510">
        <v>0</v>
      </c>
    </row>
    <row r="511" spans="1:38" x14ac:dyDescent="0.35">
      <c r="A511" t="s">
        <v>702</v>
      </c>
      <c r="B511" t="s">
        <v>73</v>
      </c>
      <c r="C511" t="s">
        <v>177</v>
      </c>
      <c r="D511">
        <v>3.3</v>
      </c>
      <c r="E511" t="s">
        <v>81</v>
      </c>
      <c r="F511">
        <v>28</v>
      </c>
      <c r="G511" t="s">
        <v>68</v>
      </c>
      <c r="H511" t="s">
        <v>55</v>
      </c>
      <c r="I511">
        <v>3</v>
      </c>
      <c r="J511">
        <v>10.4</v>
      </c>
      <c r="K511">
        <v>13</v>
      </c>
      <c r="L511">
        <v>1</v>
      </c>
      <c r="M511">
        <v>12</v>
      </c>
      <c r="N511">
        <v>0</v>
      </c>
      <c r="O511" t="s">
        <v>82</v>
      </c>
      <c r="P511">
        <v>28100</v>
      </c>
      <c r="Q511">
        <v>6.7</v>
      </c>
      <c r="R511">
        <v>4.3</v>
      </c>
      <c r="S511">
        <v>2.2999999999999998</v>
      </c>
      <c r="T511">
        <v>0</v>
      </c>
      <c r="U511">
        <v>3.4</v>
      </c>
      <c r="V511">
        <v>3.4</v>
      </c>
      <c r="W511">
        <v>4.5999999999999996</v>
      </c>
      <c r="X511" t="s">
        <v>45</v>
      </c>
      <c r="Y511">
        <v>0</v>
      </c>
      <c r="Z511">
        <v>1</v>
      </c>
      <c r="AA511">
        <v>2.6</v>
      </c>
      <c r="AB511">
        <v>0</v>
      </c>
      <c r="AC511" t="s">
        <v>46</v>
      </c>
      <c r="AE511">
        <v>0</v>
      </c>
      <c r="AF511">
        <v>0</v>
      </c>
      <c r="AG511" t="s">
        <v>47</v>
      </c>
      <c r="AH511" t="s">
        <v>76</v>
      </c>
      <c r="AI511" t="s">
        <v>49</v>
      </c>
      <c r="AJ511" s="1" t="s">
        <v>397</v>
      </c>
      <c r="AK511">
        <v>0.25</v>
      </c>
      <c r="AL511">
        <v>0</v>
      </c>
    </row>
    <row r="512" spans="1:38" x14ac:dyDescent="0.35">
      <c r="A512" t="s">
        <v>703</v>
      </c>
      <c r="B512" t="s">
        <v>73</v>
      </c>
      <c r="C512" t="s">
        <v>177</v>
      </c>
      <c r="D512">
        <v>1.8</v>
      </c>
      <c r="E512" t="s">
        <v>110</v>
      </c>
      <c r="F512">
        <v>27</v>
      </c>
      <c r="G512" t="s">
        <v>42</v>
      </c>
      <c r="H512" t="s">
        <v>43</v>
      </c>
      <c r="I512">
        <v>1</v>
      </c>
      <c r="J512">
        <v>14.1</v>
      </c>
      <c r="K512">
        <v>6</v>
      </c>
      <c r="L512">
        <v>1</v>
      </c>
      <c r="M512">
        <v>12</v>
      </c>
      <c r="N512">
        <v>0</v>
      </c>
      <c r="O512" t="s">
        <v>44</v>
      </c>
      <c r="P512">
        <v>64900</v>
      </c>
      <c r="Q512">
        <v>4.9000000000000004</v>
      </c>
      <c r="R512">
        <v>2.2999999999999998</v>
      </c>
      <c r="S512">
        <v>1.4</v>
      </c>
      <c r="T512">
        <v>0</v>
      </c>
      <c r="U512">
        <v>4.5999999999999996</v>
      </c>
      <c r="V512">
        <v>3.4</v>
      </c>
      <c r="W512">
        <v>4.9000000000000004</v>
      </c>
      <c r="X512" t="s">
        <v>45</v>
      </c>
      <c r="Y512">
        <v>0</v>
      </c>
      <c r="Z512">
        <v>0</v>
      </c>
      <c r="AB512">
        <v>0</v>
      </c>
      <c r="AC512" t="s">
        <v>46</v>
      </c>
      <c r="AE512">
        <v>1</v>
      </c>
      <c r="AF512">
        <v>0</v>
      </c>
      <c r="AG512" t="s">
        <v>75</v>
      </c>
      <c r="AH512" t="s">
        <v>48</v>
      </c>
      <c r="AI512" t="s">
        <v>49</v>
      </c>
      <c r="AJ512">
        <v>4.3</v>
      </c>
      <c r="AK512">
        <v>8.3333333333333301E-2</v>
      </c>
      <c r="AL512">
        <v>0</v>
      </c>
    </row>
    <row r="513" spans="1:38" x14ac:dyDescent="0.35">
      <c r="A513" t="s">
        <v>704</v>
      </c>
      <c r="B513" t="s">
        <v>60</v>
      </c>
      <c r="C513" t="s">
        <v>107</v>
      </c>
      <c r="D513">
        <v>0.8</v>
      </c>
      <c r="E513" t="s">
        <v>110</v>
      </c>
      <c r="F513">
        <v>24</v>
      </c>
      <c r="G513" t="s">
        <v>42</v>
      </c>
      <c r="H513" t="s">
        <v>55</v>
      </c>
      <c r="I513">
        <v>4</v>
      </c>
      <c r="J513">
        <v>13</v>
      </c>
      <c r="K513">
        <v>12</v>
      </c>
      <c r="L513">
        <v>5</v>
      </c>
      <c r="M513">
        <v>12</v>
      </c>
      <c r="N513">
        <v>0</v>
      </c>
      <c r="O513" t="s">
        <v>70</v>
      </c>
      <c r="P513">
        <v>41400</v>
      </c>
      <c r="Q513">
        <v>4</v>
      </c>
      <c r="R513">
        <v>3.6</v>
      </c>
      <c r="S513">
        <v>0.1</v>
      </c>
      <c r="T513">
        <v>0</v>
      </c>
      <c r="U513">
        <v>2.4</v>
      </c>
      <c r="V513">
        <v>3.4</v>
      </c>
      <c r="W513">
        <v>3.4</v>
      </c>
      <c r="X513" t="s">
        <v>45</v>
      </c>
      <c r="Y513">
        <v>0</v>
      </c>
      <c r="Z513">
        <v>0</v>
      </c>
      <c r="AB513">
        <v>1</v>
      </c>
      <c r="AC513" t="s">
        <v>46</v>
      </c>
      <c r="AE513">
        <v>1</v>
      </c>
      <c r="AF513">
        <v>0</v>
      </c>
      <c r="AG513" t="s">
        <v>75</v>
      </c>
      <c r="AH513" t="s">
        <v>95</v>
      </c>
      <c r="AI513" t="s">
        <v>49</v>
      </c>
      <c r="AJ513" s="1" t="s">
        <v>159</v>
      </c>
      <c r="AK513" s="1" t="s">
        <v>115</v>
      </c>
      <c r="AL513">
        <v>0</v>
      </c>
    </row>
    <row r="514" spans="1:38" x14ac:dyDescent="0.35">
      <c r="A514" t="s">
        <v>705</v>
      </c>
      <c r="B514" t="s">
        <v>73</v>
      </c>
      <c r="C514" t="s">
        <v>74</v>
      </c>
      <c r="D514">
        <v>5.7</v>
      </c>
      <c r="E514" t="s">
        <v>41</v>
      </c>
      <c r="F514">
        <v>33</v>
      </c>
      <c r="G514" t="s">
        <v>42</v>
      </c>
      <c r="H514" t="s">
        <v>69</v>
      </c>
      <c r="I514">
        <v>6</v>
      </c>
      <c r="J514">
        <v>12.1</v>
      </c>
      <c r="K514">
        <v>14</v>
      </c>
      <c r="L514">
        <v>1</v>
      </c>
      <c r="M514">
        <v>12</v>
      </c>
      <c r="N514">
        <v>0</v>
      </c>
      <c r="O514" t="s">
        <v>56</v>
      </c>
      <c r="P514">
        <v>76900</v>
      </c>
      <c r="Q514">
        <v>8.8000000000000007</v>
      </c>
      <c r="R514">
        <v>2.9</v>
      </c>
      <c r="S514">
        <v>1.9</v>
      </c>
      <c r="T514">
        <v>0</v>
      </c>
      <c r="U514">
        <v>3</v>
      </c>
      <c r="V514">
        <v>3.3</v>
      </c>
      <c r="W514">
        <v>3.1</v>
      </c>
      <c r="X514" t="s">
        <v>45</v>
      </c>
      <c r="Y514">
        <v>0</v>
      </c>
      <c r="Z514">
        <v>0</v>
      </c>
      <c r="AB514">
        <v>0</v>
      </c>
      <c r="AC514" t="s">
        <v>46</v>
      </c>
      <c r="AE514">
        <v>1</v>
      </c>
      <c r="AF514">
        <v>0</v>
      </c>
      <c r="AG514" t="s">
        <v>75</v>
      </c>
      <c r="AH514" t="s">
        <v>83</v>
      </c>
      <c r="AI514" t="s">
        <v>49</v>
      </c>
      <c r="AJ514" s="1" t="s">
        <v>50</v>
      </c>
      <c r="AK514">
        <v>0.5</v>
      </c>
      <c r="AL514">
        <v>0</v>
      </c>
    </row>
    <row r="515" spans="1:38" x14ac:dyDescent="0.35">
      <c r="A515" t="s">
        <v>706</v>
      </c>
      <c r="B515" t="s">
        <v>98</v>
      </c>
      <c r="C515" t="s">
        <v>151</v>
      </c>
      <c r="D515">
        <v>5</v>
      </c>
      <c r="E515" t="s">
        <v>67</v>
      </c>
      <c r="F515">
        <v>32</v>
      </c>
      <c r="G515" t="s">
        <v>68</v>
      </c>
      <c r="H515" t="s">
        <v>55</v>
      </c>
      <c r="I515">
        <v>5</v>
      </c>
      <c r="J515">
        <v>12.1</v>
      </c>
      <c r="K515">
        <v>7</v>
      </c>
      <c r="L515">
        <v>1</v>
      </c>
      <c r="M515">
        <v>12</v>
      </c>
      <c r="N515">
        <v>0</v>
      </c>
      <c r="O515" t="s">
        <v>70</v>
      </c>
      <c r="P515">
        <v>36300</v>
      </c>
      <c r="Q515">
        <v>5</v>
      </c>
      <c r="R515">
        <v>3.8</v>
      </c>
      <c r="S515">
        <v>0.3</v>
      </c>
      <c r="T515">
        <v>0</v>
      </c>
      <c r="U515">
        <v>2.9</v>
      </c>
      <c r="V515">
        <v>2.6</v>
      </c>
      <c r="W515">
        <v>3.8</v>
      </c>
      <c r="X515" t="s">
        <v>45</v>
      </c>
      <c r="Y515">
        <v>0</v>
      </c>
      <c r="Z515">
        <v>1</v>
      </c>
      <c r="AA515">
        <v>1.3</v>
      </c>
      <c r="AB515">
        <v>0</v>
      </c>
      <c r="AC515" t="s">
        <v>46</v>
      </c>
      <c r="AE515">
        <v>0</v>
      </c>
      <c r="AF515">
        <v>0</v>
      </c>
      <c r="AG515" t="s">
        <v>47</v>
      </c>
      <c r="AH515" t="s">
        <v>76</v>
      </c>
      <c r="AI515" t="s">
        <v>49</v>
      </c>
      <c r="AJ515">
        <v>3.1</v>
      </c>
      <c r="AK515" s="1" t="s">
        <v>127</v>
      </c>
      <c r="AL515">
        <v>0</v>
      </c>
    </row>
    <row r="516" spans="1:38" x14ac:dyDescent="0.35">
      <c r="A516" t="s">
        <v>707</v>
      </c>
      <c r="B516" t="s">
        <v>98</v>
      </c>
      <c r="C516" t="s">
        <v>148</v>
      </c>
      <c r="D516">
        <v>6.3</v>
      </c>
      <c r="E516" t="s">
        <v>67</v>
      </c>
      <c r="F516">
        <v>26</v>
      </c>
      <c r="G516" t="s">
        <v>42</v>
      </c>
      <c r="H516" t="s">
        <v>55</v>
      </c>
      <c r="I516">
        <v>2</v>
      </c>
      <c r="J516">
        <v>2.8</v>
      </c>
      <c r="K516">
        <v>13</v>
      </c>
      <c r="L516">
        <v>2</v>
      </c>
      <c r="M516">
        <v>12</v>
      </c>
      <c r="N516">
        <v>0</v>
      </c>
      <c r="O516" t="s">
        <v>70</v>
      </c>
      <c r="P516">
        <v>41500</v>
      </c>
      <c r="Q516">
        <v>8</v>
      </c>
      <c r="R516">
        <v>2.4</v>
      </c>
      <c r="S516">
        <v>0.4</v>
      </c>
      <c r="T516">
        <v>0</v>
      </c>
      <c r="U516">
        <v>3.9</v>
      </c>
      <c r="V516">
        <v>3.7</v>
      </c>
      <c r="W516">
        <v>3.2</v>
      </c>
      <c r="X516" t="s">
        <v>45</v>
      </c>
      <c r="Y516">
        <v>0</v>
      </c>
      <c r="Z516">
        <v>0</v>
      </c>
      <c r="AB516">
        <v>1</v>
      </c>
      <c r="AC516" t="s">
        <v>46</v>
      </c>
      <c r="AE516">
        <v>1</v>
      </c>
      <c r="AF516">
        <v>0</v>
      </c>
      <c r="AG516" t="s">
        <v>75</v>
      </c>
      <c r="AH516" t="s">
        <v>83</v>
      </c>
      <c r="AI516" t="s">
        <v>64</v>
      </c>
      <c r="AJ516">
        <v>3.6</v>
      </c>
      <c r="AK516" s="1" t="s">
        <v>84</v>
      </c>
      <c r="AL516">
        <v>0</v>
      </c>
    </row>
    <row r="517" spans="1:38" x14ac:dyDescent="0.35">
      <c r="A517" t="s">
        <v>708</v>
      </c>
      <c r="B517" t="s">
        <v>73</v>
      </c>
      <c r="C517" t="s">
        <v>74</v>
      </c>
      <c r="D517">
        <v>2.6</v>
      </c>
      <c r="E517" t="s">
        <v>41</v>
      </c>
      <c r="F517">
        <v>22</v>
      </c>
      <c r="G517" t="s">
        <v>42</v>
      </c>
      <c r="H517" t="s">
        <v>69</v>
      </c>
      <c r="I517">
        <v>3</v>
      </c>
      <c r="J517">
        <v>8.5</v>
      </c>
      <c r="K517">
        <v>9</v>
      </c>
      <c r="L517">
        <v>3</v>
      </c>
      <c r="M517">
        <v>12</v>
      </c>
      <c r="N517">
        <v>0</v>
      </c>
      <c r="O517" t="s">
        <v>44</v>
      </c>
      <c r="P517">
        <v>65900</v>
      </c>
      <c r="Q517">
        <v>9.6</v>
      </c>
      <c r="R517">
        <v>4</v>
      </c>
      <c r="S517">
        <v>2</v>
      </c>
      <c r="T517">
        <v>0</v>
      </c>
      <c r="U517">
        <v>2</v>
      </c>
      <c r="V517">
        <v>2.6</v>
      </c>
      <c r="W517">
        <v>2</v>
      </c>
      <c r="X517" t="s">
        <v>45</v>
      </c>
      <c r="Y517">
        <v>0</v>
      </c>
      <c r="Z517">
        <v>0</v>
      </c>
      <c r="AB517">
        <v>0</v>
      </c>
      <c r="AC517" t="s">
        <v>46</v>
      </c>
      <c r="AE517">
        <v>1</v>
      </c>
      <c r="AF517">
        <v>0</v>
      </c>
      <c r="AG517" t="s">
        <v>75</v>
      </c>
      <c r="AH517" t="s">
        <v>48</v>
      </c>
      <c r="AI517" t="s">
        <v>64</v>
      </c>
      <c r="AJ517" s="1" t="s">
        <v>709</v>
      </c>
      <c r="AK517">
        <v>0.25</v>
      </c>
      <c r="AL517">
        <v>0</v>
      </c>
    </row>
    <row r="518" spans="1:38" x14ac:dyDescent="0.35">
      <c r="A518" t="s">
        <v>710</v>
      </c>
      <c r="B518" t="s">
        <v>98</v>
      </c>
      <c r="C518" t="s">
        <v>151</v>
      </c>
      <c r="D518">
        <v>12.4</v>
      </c>
      <c r="E518" t="s">
        <v>41</v>
      </c>
      <c r="F518">
        <v>40</v>
      </c>
      <c r="G518" t="s">
        <v>42</v>
      </c>
      <c r="H518" t="s">
        <v>55</v>
      </c>
      <c r="I518">
        <v>6</v>
      </c>
      <c r="J518">
        <v>12</v>
      </c>
      <c r="K518">
        <v>4</v>
      </c>
      <c r="L518">
        <v>4</v>
      </c>
      <c r="M518">
        <v>12</v>
      </c>
      <c r="N518">
        <v>0</v>
      </c>
      <c r="O518" t="s">
        <v>56</v>
      </c>
      <c r="P518">
        <v>91000</v>
      </c>
      <c r="Q518">
        <v>10.5</v>
      </c>
      <c r="R518">
        <v>4.3</v>
      </c>
      <c r="S518">
        <v>5.2</v>
      </c>
      <c r="T518">
        <v>0</v>
      </c>
      <c r="U518">
        <v>4.5999999999999996</v>
      </c>
      <c r="V518">
        <v>2.2000000000000002</v>
      </c>
      <c r="W518">
        <v>4.0999999999999996</v>
      </c>
      <c r="X518" t="s">
        <v>45</v>
      </c>
      <c r="Y518">
        <v>0</v>
      </c>
      <c r="Z518">
        <v>1</v>
      </c>
      <c r="AA518">
        <v>0.3</v>
      </c>
      <c r="AB518">
        <v>0</v>
      </c>
      <c r="AC518" t="s">
        <v>46</v>
      </c>
      <c r="AE518">
        <v>0</v>
      </c>
      <c r="AF518">
        <v>0</v>
      </c>
      <c r="AG518" t="s">
        <v>47</v>
      </c>
      <c r="AH518" t="s">
        <v>83</v>
      </c>
      <c r="AI518" t="s">
        <v>49</v>
      </c>
      <c r="AJ518" s="1" t="s">
        <v>187</v>
      </c>
      <c r="AK518">
        <v>0.5</v>
      </c>
      <c r="AL518">
        <v>0</v>
      </c>
    </row>
    <row r="519" spans="1:38" x14ac:dyDescent="0.35">
      <c r="A519" t="s">
        <v>711</v>
      </c>
      <c r="B519" t="s">
        <v>39</v>
      </c>
      <c r="C519" t="s">
        <v>66</v>
      </c>
      <c r="D519">
        <v>5.3</v>
      </c>
      <c r="E519" t="s">
        <v>67</v>
      </c>
      <c r="F519">
        <v>28</v>
      </c>
      <c r="G519" t="s">
        <v>42</v>
      </c>
      <c r="H519" t="s">
        <v>43</v>
      </c>
      <c r="I519">
        <v>3</v>
      </c>
      <c r="J519">
        <v>11</v>
      </c>
      <c r="K519">
        <v>4</v>
      </c>
      <c r="L519">
        <v>1</v>
      </c>
      <c r="M519">
        <v>12</v>
      </c>
      <c r="N519">
        <v>0</v>
      </c>
      <c r="O519" t="s">
        <v>70</v>
      </c>
      <c r="P519">
        <v>44800</v>
      </c>
      <c r="Q519">
        <v>11.7</v>
      </c>
      <c r="R519">
        <v>2.2999999999999998</v>
      </c>
      <c r="S519">
        <v>1.4</v>
      </c>
      <c r="T519">
        <v>0</v>
      </c>
      <c r="U519">
        <v>3.3</v>
      </c>
      <c r="V519">
        <v>3.8</v>
      </c>
      <c r="W519">
        <v>3.2</v>
      </c>
      <c r="X519" t="s">
        <v>45</v>
      </c>
      <c r="Y519">
        <v>1</v>
      </c>
      <c r="Z519">
        <v>1</v>
      </c>
      <c r="AA519">
        <v>1.7</v>
      </c>
      <c r="AB519">
        <v>0</v>
      </c>
      <c r="AC519" t="s">
        <v>46</v>
      </c>
      <c r="AE519">
        <v>0</v>
      </c>
      <c r="AF519">
        <v>0</v>
      </c>
      <c r="AG519" t="s">
        <v>47</v>
      </c>
      <c r="AH519" t="s">
        <v>83</v>
      </c>
      <c r="AI519" t="s">
        <v>49</v>
      </c>
      <c r="AJ519" s="1" t="s">
        <v>174</v>
      </c>
      <c r="AK519">
        <v>0.25</v>
      </c>
      <c r="AL519">
        <v>0</v>
      </c>
    </row>
    <row r="520" spans="1:38" x14ac:dyDescent="0.35">
      <c r="A520" t="s">
        <v>712</v>
      </c>
      <c r="B520" t="s">
        <v>73</v>
      </c>
      <c r="C520" t="s">
        <v>177</v>
      </c>
      <c r="D520">
        <v>3.4</v>
      </c>
      <c r="E520" t="s">
        <v>110</v>
      </c>
      <c r="F520">
        <v>31</v>
      </c>
      <c r="G520" t="s">
        <v>42</v>
      </c>
      <c r="H520" t="s">
        <v>69</v>
      </c>
      <c r="I520">
        <v>2</v>
      </c>
      <c r="J520">
        <v>9.3000000000000007</v>
      </c>
      <c r="K520">
        <v>11</v>
      </c>
      <c r="L520">
        <v>3</v>
      </c>
      <c r="M520">
        <v>12</v>
      </c>
      <c r="N520">
        <v>0</v>
      </c>
      <c r="O520" t="s">
        <v>44</v>
      </c>
      <c r="P520">
        <v>52400</v>
      </c>
      <c r="Q520">
        <v>8.6999999999999993</v>
      </c>
      <c r="R520">
        <v>3.3</v>
      </c>
      <c r="S520">
        <v>2.7</v>
      </c>
      <c r="T520">
        <v>0</v>
      </c>
      <c r="U520">
        <v>4.9000000000000004</v>
      </c>
      <c r="V520">
        <v>4</v>
      </c>
      <c r="W520">
        <v>2.2000000000000002</v>
      </c>
      <c r="X520" t="s">
        <v>45</v>
      </c>
      <c r="Y520">
        <v>0</v>
      </c>
      <c r="Z520">
        <v>0</v>
      </c>
      <c r="AB520">
        <v>0</v>
      </c>
      <c r="AC520" t="s">
        <v>46</v>
      </c>
      <c r="AE520">
        <v>1</v>
      </c>
      <c r="AF520">
        <v>0</v>
      </c>
      <c r="AG520" t="s">
        <v>75</v>
      </c>
      <c r="AH520" t="s">
        <v>76</v>
      </c>
      <c r="AI520" t="s">
        <v>64</v>
      </c>
      <c r="AJ520" s="1" t="s">
        <v>561</v>
      </c>
      <c r="AK520" s="1" t="s">
        <v>84</v>
      </c>
      <c r="AL520">
        <v>0</v>
      </c>
    </row>
    <row r="521" spans="1:38" x14ac:dyDescent="0.35">
      <c r="A521" t="s">
        <v>713</v>
      </c>
      <c r="B521" t="s">
        <v>60</v>
      </c>
      <c r="C521" t="s">
        <v>107</v>
      </c>
      <c r="D521">
        <v>0.4</v>
      </c>
      <c r="E521" t="s">
        <v>67</v>
      </c>
      <c r="F521">
        <v>30</v>
      </c>
      <c r="G521" t="s">
        <v>54</v>
      </c>
      <c r="H521" t="s">
        <v>94</v>
      </c>
      <c r="I521">
        <v>2</v>
      </c>
      <c r="J521">
        <v>5.6</v>
      </c>
      <c r="K521">
        <v>14</v>
      </c>
      <c r="L521">
        <v>0</v>
      </c>
      <c r="M521">
        <v>12</v>
      </c>
      <c r="N521">
        <v>0</v>
      </c>
      <c r="O521" t="s">
        <v>70</v>
      </c>
      <c r="P521">
        <v>44600</v>
      </c>
      <c r="Q521">
        <v>3.8</v>
      </c>
      <c r="R521">
        <v>4.3</v>
      </c>
      <c r="S521">
        <v>5.0999999999999996</v>
      </c>
      <c r="T521">
        <v>0</v>
      </c>
      <c r="U521">
        <v>3.3</v>
      </c>
      <c r="V521">
        <v>3.7</v>
      </c>
      <c r="W521">
        <v>3</v>
      </c>
      <c r="X521" t="s">
        <v>45</v>
      </c>
      <c r="Y521">
        <v>0</v>
      </c>
      <c r="Z521">
        <v>0</v>
      </c>
      <c r="AB521">
        <v>0</v>
      </c>
      <c r="AC521" t="s">
        <v>46</v>
      </c>
      <c r="AE521">
        <v>1</v>
      </c>
      <c r="AF521">
        <v>0</v>
      </c>
      <c r="AG521" t="s">
        <v>75</v>
      </c>
      <c r="AH521" t="s">
        <v>95</v>
      </c>
      <c r="AI521" t="s">
        <v>64</v>
      </c>
      <c r="AJ521" s="1" t="s">
        <v>90</v>
      </c>
      <c r="AK521" s="1" t="s">
        <v>84</v>
      </c>
      <c r="AL521">
        <v>0</v>
      </c>
    </row>
    <row r="522" spans="1:38" x14ac:dyDescent="0.35">
      <c r="A522" t="s">
        <v>714</v>
      </c>
      <c r="B522" t="s">
        <v>60</v>
      </c>
      <c r="C522" t="s">
        <v>61</v>
      </c>
      <c r="D522">
        <v>2.8</v>
      </c>
      <c r="E522" t="s">
        <v>110</v>
      </c>
      <c r="F522">
        <v>24</v>
      </c>
      <c r="G522" t="s">
        <v>42</v>
      </c>
      <c r="H522" t="s">
        <v>55</v>
      </c>
      <c r="I522">
        <v>2</v>
      </c>
      <c r="J522">
        <v>12.8</v>
      </c>
      <c r="K522">
        <v>4</v>
      </c>
      <c r="L522">
        <v>3</v>
      </c>
      <c r="M522">
        <v>12</v>
      </c>
      <c r="N522">
        <v>0</v>
      </c>
      <c r="O522" t="s">
        <v>44</v>
      </c>
      <c r="P522">
        <v>57400</v>
      </c>
      <c r="Q522">
        <v>9.9</v>
      </c>
      <c r="R522">
        <v>2.2999999999999998</v>
      </c>
      <c r="S522">
        <v>0.2</v>
      </c>
      <c r="T522">
        <v>0</v>
      </c>
      <c r="U522">
        <v>2.8</v>
      </c>
      <c r="V522">
        <v>3</v>
      </c>
      <c r="W522">
        <v>3.2</v>
      </c>
      <c r="X522" t="s">
        <v>45</v>
      </c>
      <c r="Y522">
        <v>0</v>
      </c>
      <c r="Z522">
        <v>0</v>
      </c>
      <c r="AB522">
        <v>2</v>
      </c>
      <c r="AC522" t="s">
        <v>46</v>
      </c>
      <c r="AE522">
        <v>1</v>
      </c>
      <c r="AF522">
        <v>0</v>
      </c>
      <c r="AG522" t="s">
        <v>75</v>
      </c>
      <c r="AH522" t="s">
        <v>48</v>
      </c>
      <c r="AI522" t="s">
        <v>49</v>
      </c>
      <c r="AJ522">
        <v>3</v>
      </c>
      <c r="AK522" s="1" t="s">
        <v>84</v>
      </c>
      <c r="AL522">
        <v>0</v>
      </c>
    </row>
    <row r="523" spans="1:38" x14ac:dyDescent="0.35">
      <c r="A523" t="s">
        <v>715</v>
      </c>
      <c r="B523" t="s">
        <v>98</v>
      </c>
      <c r="C523" t="s">
        <v>148</v>
      </c>
      <c r="D523">
        <v>6.5</v>
      </c>
      <c r="E523" t="s">
        <v>41</v>
      </c>
      <c r="F523">
        <v>27</v>
      </c>
      <c r="G523" t="s">
        <v>42</v>
      </c>
      <c r="H523" t="s">
        <v>94</v>
      </c>
      <c r="I523">
        <v>3</v>
      </c>
      <c r="J523">
        <v>14.7</v>
      </c>
      <c r="K523">
        <v>8</v>
      </c>
      <c r="L523">
        <v>1</v>
      </c>
      <c r="M523">
        <v>12</v>
      </c>
      <c r="N523">
        <v>0</v>
      </c>
      <c r="O523" t="s">
        <v>56</v>
      </c>
      <c r="P523">
        <v>87200</v>
      </c>
      <c r="Q523">
        <v>10.6</v>
      </c>
      <c r="R523">
        <v>2.6</v>
      </c>
      <c r="S523">
        <v>2.1</v>
      </c>
      <c r="T523">
        <v>0</v>
      </c>
      <c r="U523">
        <v>3.9</v>
      </c>
      <c r="V523">
        <v>3.3</v>
      </c>
      <c r="W523">
        <v>3.4</v>
      </c>
      <c r="X523" t="s">
        <v>45</v>
      </c>
      <c r="Y523">
        <v>1</v>
      </c>
      <c r="Z523">
        <v>2</v>
      </c>
      <c r="AA523">
        <v>3.3</v>
      </c>
      <c r="AB523">
        <v>0</v>
      </c>
      <c r="AC523" t="s">
        <v>46</v>
      </c>
      <c r="AE523">
        <v>0</v>
      </c>
      <c r="AF523">
        <v>0</v>
      </c>
      <c r="AG523" t="s">
        <v>47</v>
      </c>
      <c r="AH523" t="s">
        <v>83</v>
      </c>
      <c r="AI523" t="s">
        <v>49</v>
      </c>
      <c r="AJ523" s="1" t="s">
        <v>122</v>
      </c>
      <c r="AK523">
        <v>0.25</v>
      </c>
      <c r="AL523">
        <v>0</v>
      </c>
    </row>
    <row r="524" spans="1:38" x14ac:dyDescent="0.35">
      <c r="A524" t="s">
        <v>716</v>
      </c>
      <c r="B524" t="s">
        <v>73</v>
      </c>
      <c r="C524" t="s">
        <v>177</v>
      </c>
      <c r="D524">
        <v>9.5</v>
      </c>
      <c r="E524" t="s">
        <v>67</v>
      </c>
      <c r="F524">
        <v>42</v>
      </c>
      <c r="G524" t="s">
        <v>42</v>
      </c>
      <c r="H524" t="s">
        <v>69</v>
      </c>
      <c r="I524">
        <v>0</v>
      </c>
      <c r="J524">
        <v>7.1</v>
      </c>
      <c r="K524">
        <v>9</v>
      </c>
      <c r="L524">
        <v>1</v>
      </c>
      <c r="M524">
        <v>12</v>
      </c>
      <c r="N524">
        <v>0</v>
      </c>
      <c r="O524" t="s">
        <v>70</v>
      </c>
      <c r="P524">
        <v>42100</v>
      </c>
      <c r="Q524">
        <v>7.3</v>
      </c>
      <c r="R524">
        <v>3.8</v>
      </c>
      <c r="S524">
        <v>3.5</v>
      </c>
      <c r="T524">
        <v>0</v>
      </c>
      <c r="U524">
        <v>4.2</v>
      </c>
      <c r="V524">
        <v>4.5</v>
      </c>
      <c r="W524">
        <v>3.4</v>
      </c>
      <c r="X524" t="s">
        <v>45</v>
      </c>
      <c r="Y524">
        <v>0</v>
      </c>
      <c r="Z524">
        <v>1</v>
      </c>
      <c r="AA524">
        <v>4.9000000000000004</v>
      </c>
      <c r="AB524">
        <v>1</v>
      </c>
      <c r="AC524" t="s">
        <v>46</v>
      </c>
      <c r="AE524">
        <v>0</v>
      </c>
      <c r="AF524">
        <v>0</v>
      </c>
      <c r="AG524" t="s">
        <v>47</v>
      </c>
      <c r="AH524" t="s">
        <v>83</v>
      </c>
      <c r="AI524" t="s">
        <v>64</v>
      </c>
      <c r="AJ524" s="1" t="s">
        <v>288</v>
      </c>
      <c r="AK524">
        <v>0</v>
      </c>
      <c r="AL524">
        <v>0</v>
      </c>
    </row>
    <row r="525" spans="1:38" x14ac:dyDescent="0.35">
      <c r="A525" t="s">
        <v>717</v>
      </c>
      <c r="B525" t="s">
        <v>39</v>
      </c>
      <c r="C525" t="s">
        <v>66</v>
      </c>
      <c r="D525">
        <v>3.9</v>
      </c>
      <c r="E525" t="s">
        <v>67</v>
      </c>
      <c r="F525">
        <v>31</v>
      </c>
      <c r="G525" t="s">
        <v>68</v>
      </c>
      <c r="H525" t="s">
        <v>55</v>
      </c>
      <c r="I525">
        <v>3</v>
      </c>
      <c r="J525">
        <v>21.1</v>
      </c>
      <c r="K525">
        <v>12</v>
      </c>
      <c r="L525">
        <v>1</v>
      </c>
      <c r="M525">
        <v>12</v>
      </c>
      <c r="N525">
        <v>0</v>
      </c>
      <c r="O525" t="s">
        <v>70</v>
      </c>
      <c r="P525">
        <v>43500</v>
      </c>
      <c r="Q525">
        <v>6.8</v>
      </c>
      <c r="R525">
        <v>3.1</v>
      </c>
      <c r="S525">
        <v>3</v>
      </c>
      <c r="T525">
        <v>0</v>
      </c>
      <c r="U525">
        <v>2.7</v>
      </c>
      <c r="V525">
        <v>1.4</v>
      </c>
      <c r="W525">
        <v>4.5</v>
      </c>
      <c r="X525" t="s">
        <v>45</v>
      </c>
      <c r="Y525">
        <v>0</v>
      </c>
      <c r="Z525">
        <v>0</v>
      </c>
      <c r="AB525">
        <v>0</v>
      </c>
      <c r="AC525" t="s">
        <v>46</v>
      </c>
      <c r="AE525">
        <v>1</v>
      </c>
      <c r="AF525">
        <v>0</v>
      </c>
      <c r="AG525" t="s">
        <v>75</v>
      </c>
      <c r="AH525" t="s">
        <v>76</v>
      </c>
      <c r="AI525" t="s">
        <v>57</v>
      </c>
      <c r="AJ525" s="1" t="s">
        <v>182</v>
      </c>
      <c r="AK525">
        <v>0.25</v>
      </c>
      <c r="AL525">
        <v>0</v>
      </c>
    </row>
    <row r="526" spans="1:38" x14ac:dyDescent="0.35">
      <c r="A526" t="s">
        <v>718</v>
      </c>
      <c r="B526" t="s">
        <v>73</v>
      </c>
      <c r="C526" t="s">
        <v>177</v>
      </c>
      <c r="D526">
        <v>10.5</v>
      </c>
      <c r="E526" t="s">
        <v>62</v>
      </c>
      <c r="F526">
        <v>35</v>
      </c>
      <c r="G526" t="s">
        <v>42</v>
      </c>
      <c r="H526" t="s">
        <v>94</v>
      </c>
      <c r="I526">
        <v>4</v>
      </c>
      <c r="J526">
        <v>28.8</v>
      </c>
      <c r="K526">
        <v>11</v>
      </c>
      <c r="L526">
        <v>2</v>
      </c>
      <c r="M526">
        <v>12</v>
      </c>
      <c r="N526">
        <v>0</v>
      </c>
      <c r="O526" t="s">
        <v>56</v>
      </c>
      <c r="P526">
        <v>97200</v>
      </c>
      <c r="Q526">
        <v>17.899999999999999</v>
      </c>
      <c r="R526">
        <v>1.8</v>
      </c>
      <c r="S526">
        <v>3.3</v>
      </c>
      <c r="T526">
        <v>0</v>
      </c>
      <c r="U526">
        <v>1.5</v>
      </c>
      <c r="V526">
        <v>3.7</v>
      </c>
      <c r="W526">
        <v>2.4</v>
      </c>
      <c r="X526" t="s">
        <v>45</v>
      </c>
      <c r="Y526">
        <v>0</v>
      </c>
      <c r="Z526">
        <v>2</v>
      </c>
      <c r="AA526">
        <v>5.4</v>
      </c>
      <c r="AB526">
        <v>2</v>
      </c>
      <c r="AC526" t="s">
        <v>46</v>
      </c>
      <c r="AE526">
        <v>0</v>
      </c>
      <c r="AF526">
        <v>0</v>
      </c>
      <c r="AG526" t="s">
        <v>47</v>
      </c>
      <c r="AH526" t="s">
        <v>83</v>
      </c>
      <c r="AI526" t="s">
        <v>57</v>
      </c>
      <c r="AJ526" s="1" t="s">
        <v>111</v>
      </c>
      <c r="AK526" s="1" t="s">
        <v>115</v>
      </c>
      <c r="AL526">
        <v>0</v>
      </c>
    </row>
    <row r="527" spans="1:38" x14ac:dyDescent="0.35">
      <c r="A527" t="s">
        <v>719</v>
      </c>
      <c r="B527" t="s">
        <v>98</v>
      </c>
      <c r="C527" t="s">
        <v>148</v>
      </c>
      <c r="D527">
        <v>1.7</v>
      </c>
      <c r="E527" t="s">
        <v>41</v>
      </c>
      <c r="F527">
        <v>24</v>
      </c>
      <c r="G527" t="s">
        <v>68</v>
      </c>
      <c r="H527" t="s">
        <v>69</v>
      </c>
      <c r="I527">
        <v>3</v>
      </c>
      <c r="J527">
        <v>10.6</v>
      </c>
      <c r="K527">
        <v>6</v>
      </c>
      <c r="L527">
        <v>2</v>
      </c>
      <c r="M527">
        <v>12</v>
      </c>
      <c r="N527">
        <v>0</v>
      </c>
      <c r="O527" t="s">
        <v>44</v>
      </c>
      <c r="P527">
        <v>62700</v>
      </c>
      <c r="Q527">
        <v>2.8</v>
      </c>
      <c r="R527">
        <v>2.9</v>
      </c>
      <c r="S527">
        <v>0.7</v>
      </c>
      <c r="T527">
        <v>0</v>
      </c>
      <c r="U527">
        <v>1.7</v>
      </c>
      <c r="V527">
        <v>5</v>
      </c>
      <c r="W527">
        <v>3.3</v>
      </c>
      <c r="X527" t="s">
        <v>45</v>
      </c>
      <c r="Y527">
        <v>0</v>
      </c>
      <c r="Z527">
        <v>1</v>
      </c>
      <c r="AA527">
        <v>1.2</v>
      </c>
      <c r="AB527">
        <v>0</v>
      </c>
      <c r="AC527" t="s">
        <v>46</v>
      </c>
      <c r="AE527">
        <v>0</v>
      </c>
      <c r="AF527">
        <v>0</v>
      </c>
      <c r="AG527" t="s">
        <v>47</v>
      </c>
      <c r="AH527" t="s">
        <v>48</v>
      </c>
      <c r="AI527" t="s">
        <v>49</v>
      </c>
      <c r="AJ527" s="1" t="s">
        <v>90</v>
      </c>
      <c r="AK527">
        <v>0.25</v>
      </c>
      <c r="AL527">
        <v>0</v>
      </c>
    </row>
    <row r="528" spans="1:38" x14ac:dyDescent="0.35">
      <c r="A528" t="s">
        <v>720</v>
      </c>
      <c r="B528" t="s">
        <v>60</v>
      </c>
      <c r="C528" t="s">
        <v>61</v>
      </c>
      <c r="D528">
        <v>5.0999999999999996</v>
      </c>
      <c r="E528" t="s">
        <v>41</v>
      </c>
      <c r="F528">
        <v>29</v>
      </c>
      <c r="G528" t="s">
        <v>68</v>
      </c>
      <c r="H528" t="s">
        <v>69</v>
      </c>
      <c r="I528">
        <v>4</v>
      </c>
      <c r="J528">
        <v>5.0999999999999996</v>
      </c>
      <c r="K528">
        <v>10</v>
      </c>
      <c r="L528">
        <v>0</v>
      </c>
      <c r="M528">
        <v>12</v>
      </c>
      <c r="N528">
        <v>0</v>
      </c>
      <c r="O528" t="s">
        <v>56</v>
      </c>
      <c r="P528">
        <v>92400</v>
      </c>
      <c r="Q528">
        <v>10</v>
      </c>
      <c r="R528">
        <v>4.8</v>
      </c>
      <c r="S528">
        <v>1.6</v>
      </c>
      <c r="T528">
        <v>0</v>
      </c>
      <c r="U528">
        <v>3.5</v>
      </c>
      <c r="V528">
        <v>3.3</v>
      </c>
      <c r="W528">
        <v>2.7</v>
      </c>
      <c r="X528" t="s">
        <v>45</v>
      </c>
      <c r="Y528">
        <v>0</v>
      </c>
      <c r="Z528">
        <v>2</v>
      </c>
      <c r="AA528">
        <v>0.5</v>
      </c>
      <c r="AB528">
        <v>0</v>
      </c>
      <c r="AC528" t="s">
        <v>46</v>
      </c>
      <c r="AE528">
        <v>0</v>
      </c>
      <c r="AF528">
        <v>0</v>
      </c>
      <c r="AG528" t="s">
        <v>47</v>
      </c>
      <c r="AH528" t="s">
        <v>83</v>
      </c>
      <c r="AI528" t="s">
        <v>64</v>
      </c>
      <c r="AJ528" s="1" t="s">
        <v>100</v>
      </c>
      <c r="AK528" s="1" t="s">
        <v>115</v>
      </c>
      <c r="AL528">
        <v>0</v>
      </c>
    </row>
    <row r="529" spans="1:38" x14ac:dyDescent="0.35">
      <c r="A529" t="s">
        <v>721</v>
      </c>
      <c r="B529" t="s">
        <v>60</v>
      </c>
      <c r="C529" t="s">
        <v>107</v>
      </c>
      <c r="D529">
        <v>5.2</v>
      </c>
      <c r="E529" t="s">
        <v>67</v>
      </c>
      <c r="F529">
        <v>26</v>
      </c>
      <c r="G529" t="s">
        <v>68</v>
      </c>
      <c r="H529" t="s">
        <v>43</v>
      </c>
      <c r="I529">
        <v>3</v>
      </c>
      <c r="J529">
        <v>3.4</v>
      </c>
      <c r="K529">
        <v>7</v>
      </c>
      <c r="L529">
        <v>1</v>
      </c>
      <c r="M529">
        <v>12</v>
      </c>
      <c r="N529">
        <v>0</v>
      </c>
      <c r="O529" t="s">
        <v>82</v>
      </c>
      <c r="P529">
        <v>34600</v>
      </c>
      <c r="Q529">
        <v>12.2</v>
      </c>
      <c r="R529">
        <v>5</v>
      </c>
      <c r="S529">
        <v>3.5</v>
      </c>
      <c r="T529">
        <v>0</v>
      </c>
      <c r="U529">
        <v>4.7</v>
      </c>
      <c r="V529">
        <v>3.5</v>
      </c>
      <c r="W529">
        <v>4.4000000000000004</v>
      </c>
      <c r="X529" t="s">
        <v>89</v>
      </c>
      <c r="Y529">
        <v>0</v>
      </c>
      <c r="Z529">
        <v>1</v>
      </c>
      <c r="AA529">
        <v>0.1</v>
      </c>
      <c r="AB529">
        <v>2</v>
      </c>
      <c r="AC529" t="s">
        <v>46</v>
      </c>
      <c r="AE529">
        <v>0</v>
      </c>
      <c r="AF529">
        <v>0</v>
      </c>
      <c r="AG529" t="s">
        <v>47</v>
      </c>
      <c r="AH529" t="s">
        <v>83</v>
      </c>
      <c r="AI529" t="s">
        <v>64</v>
      </c>
      <c r="AJ529">
        <v>4.2</v>
      </c>
      <c r="AK529">
        <v>0.25</v>
      </c>
      <c r="AL529">
        <v>0</v>
      </c>
    </row>
    <row r="530" spans="1:38" x14ac:dyDescent="0.35">
      <c r="A530" t="s">
        <v>722</v>
      </c>
      <c r="B530" t="s">
        <v>39</v>
      </c>
      <c r="C530" t="s">
        <v>88</v>
      </c>
      <c r="D530">
        <v>5.8</v>
      </c>
      <c r="E530" t="s">
        <v>62</v>
      </c>
      <c r="F530">
        <v>35</v>
      </c>
      <c r="G530" t="s">
        <v>68</v>
      </c>
      <c r="H530" t="s">
        <v>69</v>
      </c>
      <c r="I530">
        <v>4</v>
      </c>
      <c r="J530">
        <v>8</v>
      </c>
      <c r="K530">
        <v>2</v>
      </c>
      <c r="L530">
        <v>0</v>
      </c>
      <c r="M530">
        <v>12</v>
      </c>
      <c r="N530">
        <v>0</v>
      </c>
      <c r="O530" t="s">
        <v>56</v>
      </c>
      <c r="P530">
        <v>95200</v>
      </c>
      <c r="Q530">
        <v>6.6</v>
      </c>
      <c r="R530">
        <v>2.6</v>
      </c>
      <c r="S530">
        <v>2</v>
      </c>
      <c r="T530">
        <v>0</v>
      </c>
      <c r="U530">
        <v>2.1</v>
      </c>
      <c r="V530">
        <v>3.5</v>
      </c>
      <c r="W530">
        <v>3</v>
      </c>
      <c r="X530" t="s">
        <v>45</v>
      </c>
      <c r="Y530">
        <v>0</v>
      </c>
      <c r="Z530">
        <v>2</v>
      </c>
      <c r="AA530">
        <v>4.8</v>
      </c>
      <c r="AB530">
        <v>0</v>
      </c>
      <c r="AC530" t="s">
        <v>124</v>
      </c>
      <c r="AD530" s="2">
        <v>46033</v>
      </c>
      <c r="AE530">
        <v>0</v>
      </c>
      <c r="AF530">
        <v>0</v>
      </c>
      <c r="AG530" t="s">
        <v>47</v>
      </c>
      <c r="AH530" t="s">
        <v>83</v>
      </c>
      <c r="AI530" t="s">
        <v>64</v>
      </c>
      <c r="AJ530" s="1" t="s">
        <v>182</v>
      </c>
      <c r="AK530" s="1" t="s">
        <v>115</v>
      </c>
      <c r="AL530">
        <v>1</v>
      </c>
    </row>
    <row r="531" spans="1:38" x14ac:dyDescent="0.35">
      <c r="A531" t="s">
        <v>723</v>
      </c>
      <c r="B531" t="s">
        <v>98</v>
      </c>
      <c r="C531" t="s">
        <v>99</v>
      </c>
      <c r="D531">
        <v>4.3</v>
      </c>
      <c r="E531" t="s">
        <v>81</v>
      </c>
      <c r="F531">
        <v>27</v>
      </c>
      <c r="G531" t="s">
        <v>42</v>
      </c>
      <c r="H531" t="s">
        <v>63</v>
      </c>
      <c r="I531">
        <v>4</v>
      </c>
      <c r="J531">
        <v>10</v>
      </c>
      <c r="K531">
        <v>8</v>
      </c>
      <c r="L531">
        <v>0</v>
      </c>
      <c r="M531">
        <v>12</v>
      </c>
      <c r="N531">
        <v>0</v>
      </c>
      <c r="O531" t="s">
        <v>82</v>
      </c>
      <c r="P531">
        <v>22400</v>
      </c>
      <c r="Q531">
        <v>7.3</v>
      </c>
      <c r="R531">
        <v>2.4</v>
      </c>
      <c r="S531">
        <v>0.3</v>
      </c>
      <c r="T531">
        <v>0</v>
      </c>
      <c r="U531">
        <v>3.1</v>
      </c>
      <c r="V531">
        <v>3.4</v>
      </c>
      <c r="W531">
        <v>3.1</v>
      </c>
      <c r="X531" t="s">
        <v>45</v>
      </c>
      <c r="Y531">
        <v>0</v>
      </c>
      <c r="Z531">
        <v>2</v>
      </c>
      <c r="AA531">
        <v>2.1</v>
      </c>
      <c r="AB531">
        <v>0</v>
      </c>
      <c r="AC531" t="s">
        <v>46</v>
      </c>
      <c r="AE531">
        <v>0</v>
      </c>
      <c r="AF531">
        <v>0</v>
      </c>
      <c r="AG531" t="s">
        <v>47</v>
      </c>
      <c r="AH531" t="s">
        <v>76</v>
      </c>
      <c r="AI531" t="s">
        <v>64</v>
      </c>
      <c r="AJ531" s="1" t="s">
        <v>162</v>
      </c>
      <c r="AK531" s="1" t="s">
        <v>115</v>
      </c>
      <c r="AL531">
        <v>0</v>
      </c>
    </row>
    <row r="532" spans="1:38" x14ac:dyDescent="0.35">
      <c r="A532" t="s">
        <v>724</v>
      </c>
      <c r="B532" t="s">
        <v>39</v>
      </c>
      <c r="C532" t="s">
        <v>40</v>
      </c>
      <c r="D532">
        <v>4.9000000000000004</v>
      </c>
      <c r="E532" t="s">
        <v>67</v>
      </c>
      <c r="F532">
        <v>35</v>
      </c>
      <c r="G532" t="s">
        <v>42</v>
      </c>
      <c r="H532" t="s">
        <v>69</v>
      </c>
      <c r="I532">
        <v>8</v>
      </c>
      <c r="J532">
        <v>3.2</v>
      </c>
      <c r="K532">
        <v>10</v>
      </c>
      <c r="L532">
        <v>3</v>
      </c>
      <c r="M532">
        <v>12</v>
      </c>
      <c r="N532">
        <v>0</v>
      </c>
      <c r="O532" t="s">
        <v>70</v>
      </c>
      <c r="P532">
        <v>35600</v>
      </c>
      <c r="Q532">
        <v>6.4</v>
      </c>
      <c r="R532">
        <v>2.8</v>
      </c>
      <c r="S532">
        <v>0.4</v>
      </c>
      <c r="T532">
        <v>0</v>
      </c>
      <c r="U532">
        <v>3</v>
      </c>
      <c r="V532">
        <v>5</v>
      </c>
      <c r="W532">
        <v>4.2</v>
      </c>
      <c r="X532" t="s">
        <v>45</v>
      </c>
      <c r="Y532">
        <v>0</v>
      </c>
      <c r="Z532">
        <v>1</v>
      </c>
      <c r="AA532">
        <v>1.5</v>
      </c>
      <c r="AB532">
        <v>0</v>
      </c>
      <c r="AC532" t="s">
        <v>46</v>
      </c>
      <c r="AE532">
        <v>0</v>
      </c>
      <c r="AF532">
        <v>0</v>
      </c>
      <c r="AG532" t="s">
        <v>47</v>
      </c>
      <c r="AH532" t="s">
        <v>76</v>
      </c>
      <c r="AI532" t="s">
        <v>64</v>
      </c>
      <c r="AJ532" s="1" t="s">
        <v>222</v>
      </c>
      <c r="AK532" s="1" t="s">
        <v>78</v>
      </c>
      <c r="AL532">
        <v>0</v>
      </c>
    </row>
    <row r="533" spans="1:38" x14ac:dyDescent="0.35">
      <c r="A533" t="s">
        <v>725</v>
      </c>
      <c r="B533" t="s">
        <v>39</v>
      </c>
      <c r="C533" t="s">
        <v>726</v>
      </c>
      <c r="D533">
        <v>1.7</v>
      </c>
      <c r="E533" t="s">
        <v>67</v>
      </c>
      <c r="F533">
        <v>26</v>
      </c>
      <c r="G533" t="s">
        <v>42</v>
      </c>
      <c r="H533" t="s">
        <v>94</v>
      </c>
      <c r="I533">
        <v>0</v>
      </c>
      <c r="J533">
        <v>7.8</v>
      </c>
      <c r="K533">
        <v>8</v>
      </c>
      <c r="L533">
        <v>4</v>
      </c>
      <c r="M533">
        <v>12</v>
      </c>
      <c r="N533">
        <v>0</v>
      </c>
      <c r="O533" t="s">
        <v>82</v>
      </c>
      <c r="P533">
        <v>33500</v>
      </c>
      <c r="Q533">
        <v>8</v>
      </c>
      <c r="R533">
        <v>4.8</v>
      </c>
      <c r="S533">
        <v>3.1</v>
      </c>
      <c r="T533">
        <v>0</v>
      </c>
      <c r="U533">
        <v>5</v>
      </c>
      <c r="V533">
        <v>2.4</v>
      </c>
      <c r="W533">
        <v>4.5</v>
      </c>
      <c r="X533" t="s">
        <v>89</v>
      </c>
      <c r="Y533">
        <v>0</v>
      </c>
      <c r="Z533">
        <v>0</v>
      </c>
      <c r="AB533">
        <v>0</v>
      </c>
      <c r="AC533" t="s">
        <v>46</v>
      </c>
      <c r="AE533">
        <v>1</v>
      </c>
      <c r="AF533">
        <v>0</v>
      </c>
      <c r="AG533" t="s">
        <v>75</v>
      </c>
      <c r="AH533" t="s">
        <v>48</v>
      </c>
      <c r="AI533" t="s">
        <v>64</v>
      </c>
      <c r="AJ533" s="1" t="s">
        <v>243</v>
      </c>
      <c r="AK533">
        <v>0</v>
      </c>
      <c r="AL533">
        <v>0</v>
      </c>
    </row>
    <row r="534" spans="1:38" x14ac:dyDescent="0.35">
      <c r="A534" t="s">
        <v>727</v>
      </c>
      <c r="B534" t="s">
        <v>98</v>
      </c>
      <c r="C534" t="s">
        <v>151</v>
      </c>
      <c r="D534">
        <v>8.9</v>
      </c>
      <c r="E534" t="s">
        <v>41</v>
      </c>
      <c r="F534">
        <v>31</v>
      </c>
      <c r="G534" t="s">
        <v>54</v>
      </c>
      <c r="H534" t="s">
        <v>69</v>
      </c>
      <c r="I534">
        <v>5</v>
      </c>
      <c r="J534">
        <v>20.3</v>
      </c>
      <c r="K534">
        <v>9</v>
      </c>
      <c r="L534">
        <v>2</v>
      </c>
      <c r="M534">
        <v>12</v>
      </c>
      <c r="N534">
        <v>0</v>
      </c>
      <c r="O534" t="s">
        <v>44</v>
      </c>
      <c r="P534">
        <v>71000</v>
      </c>
      <c r="Q534">
        <v>11.6</v>
      </c>
      <c r="R534">
        <v>4</v>
      </c>
      <c r="S534">
        <v>2.1</v>
      </c>
      <c r="T534">
        <v>0</v>
      </c>
      <c r="U534">
        <v>5</v>
      </c>
      <c r="V534">
        <v>2.2999999999999998</v>
      </c>
      <c r="W534">
        <v>4.5999999999999996</v>
      </c>
      <c r="X534" t="s">
        <v>45</v>
      </c>
      <c r="Y534">
        <v>0</v>
      </c>
      <c r="Z534">
        <v>0</v>
      </c>
      <c r="AB534">
        <v>1</v>
      </c>
      <c r="AC534" t="s">
        <v>46</v>
      </c>
      <c r="AE534">
        <v>1</v>
      </c>
      <c r="AF534">
        <v>0</v>
      </c>
      <c r="AG534" t="s">
        <v>75</v>
      </c>
      <c r="AH534" t="s">
        <v>83</v>
      </c>
      <c r="AI534" t="s">
        <v>57</v>
      </c>
      <c r="AJ534" s="1" t="s">
        <v>402</v>
      </c>
      <c r="AK534" s="1" t="s">
        <v>127</v>
      </c>
      <c r="AL534">
        <v>0</v>
      </c>
    </row>
    <row r="535" spans="1:38" x14ac:dyDescent="0.35">
      <c r="A535" t="s">
        <v>728</v>
      </c>
      <c r="B535" t="s">
        <v>39</v>
      </c>
      <c r="C535" t="s">
        <v>88</v>
      </c>
      <c r="D535">
        <v>7.1</v>
      </c>
      <c r="E535" t="s">
        <v>41</v>
      </c>
      <c r="F535">
        <v>31</v>
      </c>
      <c r="G535" t="s">
        <v>42</v>
      </c>
      <c r="H535" t="s">
        <v>94</v>
      </c>
      <c r="I535">
        <v>2</v>
      </c>
      <c r="J535">
        <v>1</v>
      </c>
      <c r="K535">
        <v>5</v>
      </c>
      <c r="L535">
        <v>2</v>
      </c>
      <c r="M535">
        <v>12</v>
      </c>
      <c r="N535">
        <v>0</v>
      </c>
      <c r="O535" t="s">
        <v>56</v>
      </c>
      <c r="P535">
        <v>78100</v>
      </c>
      <c r="Q535">
        <v>7.2</v>
      </c>
      <c r="R535">
        <v>4.5</v>
      </c>
      <c r="S535">
        <v>2.5</v>
      </c>
      <c r="T535">
        <v>0</v>
      </c>
      <c r="U535">
        <v>3.7</v>
      </c>
      <c r="V535">
        <v>2.9</v>
      </c>
      <c r="W535">
        <v>2.1</v>
      </c>
      <c r="X535" t="s">
        <v>45</v>
      </c>
      <c r="Y535">
        <v>0</v>
      </c>
      <c r="Z535">
        <v>2</v>
      </c>
      <c r="AA535">
        <v>0.9</v>
      </c>
      <c r="AB535">
        <v>1</v>
      </c>
      <c r="AC535" t="s">
        <v>46</v>
      </c>
      <c r="AE535">
        <v>0</v>
      </c>
      <c r="AF535">
        <v>0</v>
      </c>
      <c r="AG535" t="s">
        <v>47</v>
      </c>
      <c r="AH535" t="s">
        <v>83</v>
      </c>
      <c r="AI535" t="s">
        <v>64</v>
      </c>
      <c r="AJ535">
        <v>2.9</v>
      </c>
      <c r="AK535" s="1" t="s">
        <v>84</v>
      </c>
      <c r="AL535">
        <v>0</v>
      </c>
    </row>
    <row r="536" spans="1:38" x14ac:dyDescent="0.35">
      <c r="A536" t="s">
        <v>729</v>
      </c>
      <c r="B536" t="s">
        <v>73</v>
      </c>
      <c r="C536" t="s">
        <v>74</v>
      </c>
      <c r="D536">
        <v>4.7</v>
      </c>
      <c r="E536" t="s">
        <v>110</v>
      </c>
      <c r="F536">
        <v>21</v>
      </c>
      <c r="G536" t="s">
        <v>54</v>
      </c>
      <c r="H536" t="s">
        <v>63</v>
      </c>
      <c r="I536">
        <v>1</v>
      </c>
      <c r="J536">
        <v>11.1</v>
      </c>
      <c r="K536">
        <v>14</v>
      </c>
      <c r="L536">
        <v>0</v>
      </c>
      <c r="M536">
        <v>12</v>
      </c>
      <c r="N536">
        <v>0</v>
      </c>
      <c r="O536" t="s">
        <v>44</v>
      </c>
      <c r="P536">
        <v>57600</v>
      </c>
      <c r="Q536">
        <v>20.399999999999999</v>
      </c>
      <c r="R536">
        <v>4.0999999999999996</v>
      </c>
      <c r="S536">
        <v>1.8</v>
      </c>
      <c r="T536">
        <v>0</v>
      </c>
      <c r="U536">
        <v>4.0999999999999996</v>
      </c>
      <c r="V536">
        <v>4.8</v>
      </c>
      <c r="W536">
        <v>3.8</v>
      </c>
      <c r="X536" t="s">
        <v>45</v>
      </c>
      <c r="Y536">
        <v>0</v>
      </c>
      <c r="Z536">
        <v>0</v>
      </c>
      <c r="AB536">
        <v>0</v>
      </c>
      <c r="AC536" t="s">
        <v>46</v>
      </c>
      <c r="AE536">
        <v>1</v>
      </c>
      <c r="AF536">
        <v>0</v>
      </c>
      <c r="AG536" t="s">
        <v>75</v>
      </c>
      <c r="AH536" t="s">
        <v>76</v>
      </c>
      <c r="AI536" t="s">
        <v>49</v>
      </c>
      <c r="AJ536" s="1" t="s">
        <v>730</v>
      </c>
      <c r="AK536">
        <v>8.3333333333333301E-2</v>
      </c>
      <c r="AL536">
        <v>0</v>
      </c>
    </row>
    <row r="537" spans="1:38" x14ac:dyDescent="0.35">
      <c r="A537" t="s">
        <v>731</v>
      </c>
      <c r="B537" t="s">
        <v>73</v>
      </c>
      <c r="C537" t="s">
        <v>74</v>
      </c>
      <c r="D537">
        <v>7.2</v>
      </c>
      <c r="E537" t="s">
        <v>110</v>
      </c>
      <c r="F537">
        <v>33</v>
      </c>
      <c r="G537" t="s">
        <v>54</v>
      </c>
      <c r="H537" t="s">
        <v>55</v>
      </c>
      <c r="I537">
        <v>1</v>
      </c>
      <c r="J537">
        <v>6.3</v>
      </c>
      <c r="K537">
        <v>10</v>
      </c>
      <c r="L537">
        <v>4</v>
      </c>
      <c r="M537">
        <v>12</v>
      </c>
      <c r="N537">
        <v>0</v>
      </c>
      <c r="O537" t="s">
        <v>70</v>
      </c>
      <c r="P537">
        <v>49300</v>
      </c>
      <c r="Q537">
        <v>6.2</v>
      </c>
      <c r="R537">
        <v>2</v>
      </c>
      <c r="S537">
        <v>2.5</v>
      </c>
      <c r="T537">
        <v>0</v>
      </c>
      <c r="U537">
        <v>4.0999999999999996</v>
      </c>
      <c r="V537">
        <v>2.7</v>
      </c>
      <c r="W537">
        <v>3.6</v>
      </c>
      <c r="X537" t="s">
        <v>89</v>
      </c>
      <c r="Y537">
        <v>0</v>
      </c>
      <c r="Z537">
        <v>1</v>
      </c>
      <c r="AA537">
        <v>0.8</v>
      </c>
      <c r="AB537">
        <v>0</v>
      </c>
      <c r="AC537" t="s">
        <v>46</v>
      </c>
      <c r="AE537">
        <v>0</v>
      </c>
      <c r="AF537">
        <v>0</v>
      </c>
      <c r="AG537" t="s">
        <v>47</v>
      </c>
      <c r="AH537" t="s">
        <v>83</v>
      </c>
      <c r="AI537" t="s">
        <v>64</v>
      </c>
      <c r="AJ537" s="1" t="s">
        <v>77</v>
      </c>
      <c r="AK537">
        <v>8.3333333333333301E-2</v>
      </c>
      <c r="AL537">
        <v>0</v>
      </c>
    </row>
    <row r="538" spans="1:38" x14ac:dyDescent="0.35">
      <c r="A538" t="s">
        <v>732</v>
      </c>
      <c r="B538" t="s">
        <v>117</v>
      </c>
      <c r="C538" t="s">
        <v>197</v>
      </c>
      <c r="D538">
        <v>9.1</v>
      </c>
      <c r="E538" t="s">
        <v>67</v>
      </c>
      <c r="F538">
        <v>34</v>
      </c>
      <c r="G538" t="s">
        <v>68</v>
      </c>
      <c r="H538" t="s">
        <v>55</v>
      </c>
      <c r="I538">
        <v>4</v>
      </c>
      <c r="J538">
        <v>10.199999999999999</v>
      </c>
      <c r="K538">
        <v>14</v>
      </c>
      <c r="L538">
        <v>1</v>
      </c>
      <c r="M538">
        <v>12</v>
      </c>
      <c r="N538">
        <v>0</v>
      </c>
      <c r="O538" t="s">
        <v>70</v>
      </c>
      <c r="P538">
        <v>38100</v>
      </c>
      <c r="Q538">
        <v>13.5</v>
      </c>
      <c r="R538">
        <v>2.2999999999999998</v>
      </c>
      <c r="S538">
        <v>2.5</v>
      </c>
      <c r="T538">
        <v>0</v>
      </c>
      <c r="U538">
        <v>2.1</v>
      </c>
      <c r="V538">
        <v>3.6</v>
      </c>
      <c r="W538">
        <v>3.4</v>
      </c>
      <c r="X538" t="s">
        <v>45</v>
      </c>
      <c r="Y538">
        <v>0</v>
      </c>
      <c r="Z538">
        <v>0</v>
      </c>
      <c r="AB538">
        <v>0</v>
      </c>
      <c r="AC538" t="s">
        <v>46</v>
      </c>
      <c r="AE538">
        <v>1</v>
      </c>
      <c r="AF538">
        <v>0</v>
      </c>
      <c r="AG538" t="s">
        <v>75</v>
      </c>
      <c r="AH538" t="s">
        <v>83</v>
      </c>
      <c r="AI538" t="s">
        <v>49</v>
      </c>
      <c r="AJ538" s="1" t="s">
        <v>627</v>
      </c>
      <c r="AK538" s="1" t="s">
        <v>115</v>
      </c>
      <c r="AL538">
        <v>0</v>
      </c>
    </row>
    <row r="539" spans="1:38" x14ac:dyDescent="0.35">
      <c r="A539" t="s">
        <v>733</v>
      </c>
      <c r="B539" t="s">
        <v>73</v>
      </c>
      <c r="C539" t="s">
        <v>113</v>
      </c>
      <c r="D539">
        <v>5.7</v>
      </c>
      <c r="E539" t="s">
        <v>67</v>
      </c>
      <c r="F539">
        <v>35</v>
      </c>
      <c r="G539" t="s">
        <v>68</v>
      </c>
      <c r="H539" t="s">
        <v>69</v>
      </c>
      <c r="I539">
        <v>2</v>
      </c>
      <c r="J539">
        <v>29.8</v>
      </c>
      <c r="K539">
        <v>6</v>
      </c>
      <c r="L539">
        <v>3</v>
      </c>
      <c r="M539">
        <v>12</v>
      </c>
      <c r="N539">
        <v>0</v>
      </c>
      <c r="O539" t="s">
        <v>70</v>
      </c>
      <c r="P539">
        <v>45300</v>
      </c>
      <c r="Q539">
        <v>10.199999999999999</v>
      </c>
      <c r="R539">
        <v>2.6</v>
      </c>
      <c r="S539">
        <v>0</v>
      </c>
      <c r="T539">
        <v>0</v>
      </c>
      <c r="U539">
        <v>3.9</v>
      </c>
      <c r="V539">
        <v>4.2</v>
      </c>
      <c r="W539">
        <v>3.5</v>
      </c>
      <c r="X539" t="s">
        <v>45</v>
      </c>
      <c r="Y539">
        <v>0</v>
      </c>
      <c r="Z539">
        <v>3</v>
      </c>
      <c r="AA539">
        <v>3.2</v>
      </c>
      <c r="AB539">
        <v>1</v>
      </c>
      <c r="AC539" t="s">
        <v>46</v>
      </c>
      <c r="AE539">
        <v>0</v>
      </c>
      <c r="AF539">
        <v>0</v>
      </c>
      <c r="AG539" t="s">
        <v>47</v>
      </c>
      <c r="AH539" t="s">
        <v>83</v>
      </c>
      <c r="AI539" t="s">
        <v>57</v>
      </c>
      <c r="AJ539" s="1" t="s">
        <v>131</v>
      </c>
      <c r="AK539" s="1" t="s">
        <v>84</v>
      </c>
      <c r="AL539">
        <v>0</v>
      </c>
    </row>
    <row r="540" spans="1:38" x14ac:dyDescent="0.35">
      <c r="A540" t="s">
        <v>734</v>
      </c>
      <c r="B540" t="s">
        <v>73</v>
      </c>
      <c r="C540" t="s">
        <v>121</v>
      </c>
      <c r="D540">
        <v>13.3</v>
      </c>
      <c r="E540" t="s">
        <v>67</v>
      </c>
      <c r="F540">
        <v>32</v>
      </c>
      <c r="G540" t="s">
        <v>42</v>
      </c>
      <c r="H540" t="s">
        <v>43</v>
      </c>
      <c r="I540">
        <v>6</v>
      </c>
      <c r="J540">
        <v>9.8000000000000007</v>
      </c>
      <c r="K540">
        <v>8</v>
      </c>
      <c r="L540">
        <v>2</v>
      </c>
      <c r="M540">
        <v>12</v>
      </c>
      <c r="N540">
        <v>0</v>
      </c>
      <c r="O540" t="s">
        <v>44</v>
      </c>
      <c r="P540">
        <v>53500</v>
      </c>
      <c r="Q540">
        <v>8.4</v>
      </c>
      <c r="R540">
        <v>2.7</v>
      </c>
      <c r="S540">
        <v>0.1</v>
      </c>
      <c r="T540">
        <v>0</v>
      </c>
      <c r="U540">
        <v>2.4</v>
      </c>
      <c r="V540">
        <v>3.9</v>
      </c>
      <c r="W540">
        <v>4.4000000000000004</v>
      </c>
      <c r="X540" t="s">
        <v>45</v>
      </c>
      <c r="Y540">
        <v>0</v>
      </c>
      <c r="Z540">
        <v>0</v>
      </c>
      <c r="AB540">
        <v>1</v>
      </c>
      <c r="AC540" t="s">
        <v>46</v>
      </c>
      <c r="AE540">
        <v>1</v>
      </c>
      <c r="AF540">
        <v>0</v>
      </c>
      <c r="AG540" t="s">
        <v>75</v>
      </c>
      <c r="AH540" t="s">
        <v>83</v>
      </c>
      <c r="AI540" t="s">
        <v>64</v>
      </c>
      <c r="AJ540" s="1" t="s">
        <v>126</v>
      </c>
      <c r="AK540">
        <v>0.5</v>
      </c>
      <c r="AL540">
        <v>0</v>
      </c>
    </row>
    <row r="541" spans="1:38" x14ac:dyDescent="0.35">
      <c r="A541" t="s">
        <v>735</v>
      </c>
      <c r="B541" t="s">
        <v>60</v>
      </c>
      <c r="C541" t="s">
        <v>61</v>
      </c>
      <c r="D541">
        <v>6</v>
      </c>
      <c r="E541" t="s">
        <v>81</v>
      </c>
      <c r="F541">
        <v>37</v>
      </c>
      <c r="G541" t="s">
        <v>42</v>
      </c>
      <c r="H541" t="s">
        <v>69</v>
      </c>
      <c r="I541">
        <v>2</v>
      </c>
      <c r="J541">
        <v>8.6999999999999993</v>
      </c>
      <c r="K541">
        <v>9</v>
      </c>
      <c r="L541">
        <v>1</v>
      </c>
      <c r="M541">
        <v>12</v>
      </c>
      <c r="N541">
        <v>0</v>
      </c>
      <c r="O541" t="s">
        <v>82</v>
      </c>
      <c r="P541">
        <v>34200</v>
      </c>
      <c r="Q541">
        <v>13.9</v>
      </c>
      <c r="R541">
        <v>2.6</v>
      </c>
      <c r="S541">
        <v>0.6</v>
      </c>
      <c r="T541">
        <v>0</v>
      </c>
      <c r="U541">
        <v>3.1</v>
      </c>
      <c r="V541">
        <v>4.0999999999999996</v>
      </c>
      <c r="W541">
        <v>4.2</v>
      </c>
      <c r="X541" t="s">
        <v>45</v>
      </c>
      <c r="Y541">
        <v>0</v>
      </c>
      <c r="Z541">
        <v>0</v>
      </c>
      <c r="AB541">
        <v>1</v>
      </c>
      <c r="AC541" t="s">
        <v>46</v>
      </c>
      <c r="AE541">
        <v>1</v>
      </c>
      <c r="AF541">
        <v>0</v>
      </c>
      <c r="AG541" t="s">
        <v>75</v>
      </c>
      <c r="AH541" t="s">
        <v>83</v>
      </c>
      <c r="AI541" t="s">
        <v>64</v>
      </c>
      <c r="AJ541" s="1" t="s">
        <v>397</v>
      </c>
      <c r="AK541" s="1" t="s">
        <v>84</v>
      </c>
      <c r="AL541">
        <v>0</v>
      </c>
    </row>
    <row r="542" spans="1:38" x14ac:dyDescent="0.35">
      <c r="A542" t="s">
        <v>736</v>
      </c>
      <c r="B542" t="s">
        <v>60</v>
      </c>
      <c r="C542" t="s">
        <v>80</v>
      </c>
      <c r="D542">
        <v>1.9</v>
      </c>
      <c r="E542" t="s">
        <v>67</v>
      </c>
      <c r="F542">
        <v>31</v>
      </c>
      <c r="G542" t="s">
        <v>42</v>
      </c>
      <c r="H542" t="s">
        <v>94</v>
      </c>
      <c r="I542">
        <v>1</v>
      </c>
      <c r="J542">
        <v>16.8</v>
      </c>
      <c r="K542">
        <v>4</v>
      </c>
      <c r="L542">
        <v>2</v>
      </c>
      <c r="M542">
        <v>12</v>
      </c>
      <c r="N542">
        <v>0</v>
      </c>
      <c r="O542" t="s">
        <v>82</v>
      </c>
      <c r="P542">
        <v>30500</v>
      </c>
      <c r="Q542">
        <v>1.6</v>
      </c>
      <c r="R542">
        <v>2.7</v>
      </c>
      <c r="S542">
        <v>1.8</v>
      </c>
      <c r="T542">
        <v>0</v>
      </c>
      <c r="U542">
        <v>4.3</v>
      </c>
      <c r="V542">
        <v>4.5</v>
      </c>
      <c r="W542">
        <v>3.4</v>
      </c>
      <c r="X542" t="s">
        <v>45</v>
      </c>
      <c r="Y542">
        <v>1</v>
      </c>
      <c r="Z542">
        <v>1</v>
      </c>
      <c r="AB542">
        <v>0</v>
      </c>
      <c r="AC542" t="s">
        <v>46</v>
      </c>
      <c r="AE542">
        <v>1</v>
      </c>
      <c r="AF542">
        <v>0</v>
      </c>
      <c r="AG542" t="s">
        <v>47</v>
      </c>
      <c r="AH542" t="s">
        <v>48</v>
      </c>
      <c r="AI542" t="s">
        <v>49</v>
      </c>
      <c r="AJ542" s="1" t="s">
        <v>677</v>
      </c>
      <c r="AK542">
        <v>8.3333333333333301E-2</v>
      </c>
      <c r="AL542">
        <v>0</v>
      </c>
    </row>
    <row r="543" spans="1:38" x14ac:dyDescent="0.35">
      <c r="A543" t="s">
        <v>737</v>
      </c>
      <c r="B543" t="s">
        <v>117</v>
      </c>
      <c r="C543" t="s">
        <v>189</v>
      </c>
      <c r="D543">
        <v>4.5999999999999996</v>
      </c>
      <c r="E543" t="s">
        <v>41</v>
      </c>
      <c r="F543">
        <v>36</v>
      </c>
      <c r="G543" t="s">
        <v>68</v>
      </c>
      <c r="H543" t="s">
        <v>63</v>
      </c>
      <c r="I543">
        <v>3</v>
      </c>
      <c r="J543">
        <v>12.9</v>
      </c>
      <c r="K543">
        <v>8</v>
      </c>
      <c r="L543">
        <v>3</v>
      </c>
      <c r="M543">
        <v>12</v>
      </c>
      <c r="N543">
        <v>0</v>
      </c>
      <c r="O543" t="s">
        <v>56</v>
      </c>
      <c r="P543">
        <v>83100</v>
      </c>
      <c r="Q543">
        <v>9.6999999999999993</v>
      </c>
      <c r="R543">
        <v>3.8</v>
      </c>
      <c r="S543">
        <v>1.6</v>
      </c>
      <c r="T543">
        <v>0</v>
      </c>
      <c r="U543">
        <v>3.4</v>
      </c>
      <c r="V543">
        <v>3.5</v>
      </c>
      <c r="W543">
        <v>3.6</v>
      </c>
      <c r="X543" t="s">
        <v>45</v>
      </c>
      <c r="Y543">
        <v>0</v>
      </c>
      <c r="Z543">
        <v>1</v>
      </c>
      <c r="AA543">
        <v>1.6</v>
      </c>
      <c r="AB543">
        <v>0</v>
      </c>
      <c r="AC543" t="s">
        <v>46</v>
      </c>
      <c r="AE543">
        <v>0</v>
      </c>
      <c r="AF543">
        <v>0</v>
      </c>
      <c r="AG543" t="s">
        <v>47</v>
      </c>
      <c r="AH543" t="s">
        <v>76</v>
      </c>
      <c r="AI543" t="s">
        <v>49</v>
      </c>
      <c r="AJ543">
        <v>3.5</v>
      </c>
      <c r="AK543">
        <v>0.25</v>
      </c>
      <c r="AL543">
        <v>0</v>
      </c>
    </row>
    <row r="544" spans="1:38" x14ac:dyDescent="0.35">
      <c r="A544" t="s">
        <v>738</v>
      </c>
      <c r="B544" t="s">
        <v>60</v>
      </c>
      <c r="C544" t="s">
        <v>107</v>
      </c>
      <c r="D544">
        <v>7.3</v>
      </c>
      <c r="E544" t="s">
        <v>110</v>
      </c>
      <c r="F544">
        <v>33</v>
      </c>
      <c r="G544" t="s">
        <v>42</v>
      </c>
      <c r="H544" t="s">
        <v>43</v>
      </c>
      <c r="I544">
        <v>3</v>
      </c>
      <c r="J544">
        <v>11.1</v>
      </c>
      <c r="K544">
        <v>5</v>
      </c>
      <c r="L544">
        <v>5</v>
      </c>
      <c r="M544">
        <v>12</v>
      </c>
      <c r="N544">
        <v>0</v>
      </c>
      <c r="O544" t="s">
        <v>44</v>
      </c>
      <c r="P544">
        <v>68600</v>
      </c>
      <c r="Q544">
        <v>5.0999999999999996</v>
      </c>
      <c r="R544">
        <v>3.3</v>
      </c>
      <c r="S544">
        <v>0.4</v>
      </c>
      <c r="T544">
        <v>0</v>
      </c>
      <c r="U544">
        <v>4.3</v>
      </c>
      <c r="V544">
        <v>2.8</v>
      </c>
      <c r="W544">
        <v>5</v>
      </c>
      <c r="X544" t="s">
        <v>45</v>
      </c>
      <c r="Y544">
        <v>0</v>
      </c>
      <c r="Z544">
        <v>0</v>
      </c>
      <c r="AB544">
        <v>0</v>
      </c>
      <c r="AC544" t="s">
        <v>46</v>
      </c>
      <c r="AE544">
        <v>1</v>
      </c>
      <c r="AF544">
        <v>0</v>
      </c>
      <c r="AG544" t="s">
        <v>75</v>
      </c>
      <c r="AH544" t="s">
        <v>83</v>
      </c>
      <c r="AI544" t="s">
        <v>49</v>
      </c>
      <c r="AJ544" s="1" t="s">
        <v>288</v>
      </c>
      <c r="AK544">
        <v>0.25</v>
      </c>
      <c r="AL544">
        <v>0</v>
      </c>
    </row>
    <row r="545" spans="1:38" x14ac:dyDescent="0.35">
      <c r="A545" t="s">
        <v>739</v>
      </c>
      <c r="B545" t="s">
        <v>60</v>
      </c>
      <c r="C545" t="s">
        <v>61</v>
      </c>
      <c r="D545">
        <v>9.1</v>
      </c>
      <c r="E545" t="s">
        <v>41</v>
      </c>
      <c r="F545">
        <v>39</v>
      </c>
      <c r="G545" t="s">
        <v>42</v>
      </c>
      <c r="H545" t="s">
        <v>69</v>
      </c>
      <c r="I545">
        <v>6</v>
      </c>
      <c r="J545">
        <v>13.3</v>
      </c>
      <c r="K545">
        <v>7</v>
      </c>
      <c r="L545">
        <v>2</v>
      </c>
      <c r="M545">
        <v>12</v>
      </c>
      <c r="N545">
        <v>0</v>
      </c>
      <c r="O545" t="s">
        <v>44</v>
      </c>
      <c r="P545">
        <v>61700</v>
      </c>
      <c r="Q545">
        <v>6.3</v>
      </c>
      <c r="R545">
        <v>4.3</v>
      </c>
      <c r="S545">
        <v>4.0999999999999996</v>
      </c>
      <c r="T545">
        <v>0</v>
      </c>
      <c r="U545">
        <v>4.5</v>
      </c>
      <c r="V545">
        <v>3.3</v>
      </c>
      <c r="W545">
        <v>3.1</v>
      </c>
      <c r="X545" t="s">
        <v>45</v>
      </c>
      <c r="Y545">
        <v>0</v>
      </c>
      <c r="Z545">
        <v>2</v>
      </c>
      <c r="AA545">
        <v>8.1</v>
      </c>
      <c r="AB545">
        <v>0</v>
      </c>
      <c r="AC545" t="s">
        <v>46</v>
      </c>
      <c r="AE545">
        <v>0</v>
      </c>
      <c r="AF545">
        <v>0</v>
      </c>
      <c r="AG545" t="s">
        <v>47</v>
      </c>
      <c r="AH545" t="s">
        <v>83</v>
      </c>
      <c r="AI545" t="s">
        <v>49</v>
      </c>
      <c r="AJ545" s="1" t="s">
        <v>190</v>
      </c>
      <c r="AK545">
        <v>0.5</v>
      </c>
      <c r="AL545">
        <v>0</v>
      </c>
    </row>
    <row r="546" spans="1:38" x14ac:dyDescent="0.35">
      <c r="A546" t="s">
        <v>740</v>
      </c>
      <c r="B546" t="s">
        <v>73</v>
      </c>
      <c r="C546" t="s">
        <v>74</v>
      </c>
      <c r="D546">
        <v>4.3</v>
      </c>
      <c r="E546" t="s">
        <v>67</v>
      </c>
      <c r="F546">
        <v>24</v>
      </c>
      <c r="G546" t="s">
        <v>42</v>
      </c>
      <c r="H546" t="s">
        <v>55</v>
      </c>
      <c r="I546">
        <v>2</v>
      </c>
      <c r="J546">
        <v>24.3</v>
      </c>
      <c r="K546">
        <v>9</v>
      </c>
      <c r="L546">
        <v>1</v>
      </c>
      <c r="M546">
        <v>12</v>
      </c>
      <c r="N546">
        <v>0</v>
      </c>
      <c r="O546" t="s">
        <v>70</v>
      </c>
      <c r="P546">
        <v>44400</v>
      </c>
      <c r="Q546">
        <v>6.1</v>
      </c>
      <c r="R546">
        <v>3.4</v>
      </c>
      <c r="S546">
        <v>2.4</v>
      </c>
      <c r="T546">
        <v>0</v>
      </c>
      <c r="U546">
        <v>1.7</v>
      </c>
      <c r="V546">
        <v>2.9</v>
      </c>
      <c r="W546">
        <v>3.4</v>
      </c>
      <c r="X546" t="s">
        <v>45</v>
      </c>
      <c r="Y546">
        <v>1</v>
      </c>
      <c r="Z546">
        <v>0</v>
      </c>
      <c r="AB546">
        <v>2</v>
      </c>
      <c r="AC546" t="s">
        <v>46</v>
      </c>
      <c r="AE546">
        <v>1</v>
      </c>
      <c r="AF546">
        <v>0</v>
      </c>
      <c r="AG546" t="s">
        <v>75</v>
      </c>
      <c r="AH546" t="s">
        <v>76</v>
      </c>
      <c r="AI546" t="s">
        <v>57</v>
      </c>
      <c r="AJ546" s="1" t="s">
        <v>230</v>
      </c>
      <c r="AK546" s="1" t="s">
        <v>84</v>
      </c>
      <c r="AL546">
        <v>0</v>
      </c>
    </row>
    <row r="547" spans="1:38" x14ac:dyDescent="0.35">
      <c r="A547" t="s">
        <v>741</v>
      </c>
      <c r="B547" t="s">
        <v>52</v>
      </c>
      <c r="C547" t="s">
        <v>93</v>
      </c>
      <c r="D547">
        <v>1.8</v>
      </c>
      <c r="E547" t="s">
        <v>110</v>
      </c>
      <c r="F547">
        <v>31</v>
      </c>
      <c r="G547" t="s">
        <v>42</v>
      </c>
      <c r="H547" t="s">
        <v>43</v>
      </c>
      <c r="I547">
        <v>0</v>
      </c>
      <c r="J547">
        <v>19.399999999999999</v>
      </c>
      <c r="K547">
        <v>14</v>
      </c>
      <c r="L547">
        <v>3</v>
      </c>
      <c r="M547">
        <v>12</v>
      </c>
      <c r="N547">
        <v>0</v>
      </c>
      <c r="O547" t="s">
        <v>44</v>
      </c>
      <c r="P547">
        <v>53400</v>
      </c>
      <c r="Q547">
        <v>4.0999999999999996</v>
      </c>
      <c r="R547">
        <v>2.6</v>
      </c>
      <c r="S547">
        <v>0.1</v>
      </c>
      <c r="T547">
        <v>0</v>
      </c>
      <c r="U547">
        <v>3.3</v>
      </c>
      <c r="V547">
        <v>5</v>
      </c>
      <c r="W547">
        <v>3.2</v>
      </c>
      <c r="X547" t="s">
        <v>45</v>
      </c>
      <c r="Y547">
        <v>1</v>
      </c>
      <c r="Z547">
        <v>0</v>
      </c>
      <c r="AB547">
        <v>0</v>
      </c>
      <c r="AC547" t="s">
        <v>46</v>
      </c>
      <c r="AE547">
        <v>1</v>
      </c>
      <c r="AF547">
        <v>0</v>
      </c>
      <c r="AG547" t="s">
        <v>75</v>
      </c>
      <c r="AH547" t="s">
        <v>48</v>
      </c>
      <c r="AI547" t="s">
        <v>49</v>
      </c>
      <c r="AJ547" s="1" t="s">
        <v>180</v>
      </c>
      <c r="AK547">
        <v>0</v>
      </c>
      <c r="AL547">
        <v>0</v>
      </c>
    </row>
    <row r="548" spans="1:38" x14ac:dyDescent="0.35">
      <c r="A548" t="s">
        <v>742</v>
      </c>
      <c r="B548" t="s">
        <v>98</v>
      </c>
      <c r="C548" t="s">
        <v>151</v>
      </c>
      <c r="D548">
        <v>3.2</v>
      </c>
      <c r="E548" t="s">
        <v>81</v>
      </c>
      <c r="F548">
        <v>26</v>
      </c>
      <c r="G548" t="s">
        <v>68</v>
      </c>
      <c r="H548" t="s">
        <v>55</v>
      </c>
      <c r="I548">
        <v>2</v>
      </c>
      <c r="J548">
        <v>8.1999999999999993</v>
      </c>
      <c r="K548">
        <v>10</v>
      </c>
      <c r="L548">
        <v>1</v>
      </c>
      <c r="M548">
        <v>12</v>
      </c>
      <c r="N548">
        <v>0</v>
      </c>
      <c r="O548" t="s">
        <v>82</v>
      </c>
      <c r="P548">
        <v>27400</v>
      </c>
      <c r="Q548">
        <v>1.4</v>
      </c>
      <c r="R548">
        <v>3.4</v>
      </c>
      <c r="S548">
        <v>1.5</v>
      </c>
      <c r="T548">
        <v>0</v>
      </c>
      <c r="U548">
        <v>4.3</v>
      </c>
      <c r="V548">
        <v>2.7</v>
      </c>
      <c r="W548">
        <v>3.4</v>
      </c>
      <c r="X548" t="s">
        <v>45</v>
      </c>
      <c r="Y548">
        <v>0</v>
      </c>
      <c r="Z548">
        <v>0</v>
      </c>
      <c r="AB548">
        <v>0</v>
      </c>
      <c r="AC548" t="s">
        <v>46</v>
      </c>
      <c r="AE548">
        <v>1</v>
      </c>
      <c r="AF548">
        <v>0</v>
      </c>
      <c r="AG548" t="s">
        <v>75</v>
      </c>
      <c r="AH548" t="s">
        <v>76</v>
      </c>
      <c r="AI548" t="s">
        <v>64</v>
      </c>
      <c r="AJ548" s="1" t="s">
        <v>77</v>
      </c>
      <c r="AK548" s="1" t="s">
        <v>84</v>
      </c>
      <c r="AL548">
        <v>0</v>
      </c>
    </row>
    <row r="549" spans="1:38" x14ac:dyDescent="0.35">
      <c r="A549" t="s">
        <v>743</v>
      </c>
      <c r="B549" t="s">
        <v>73</v>
      </c>
      <c r="C549" t="s">
        <v>121</v>
      </c>
      <c r="D549">
        <v>1.1000000000000001</v>
      </c>
      <c r="E549" t="s">
        <v>67</v>
      </c>
      <c r="F549">
        <v>21</v>
      </c>
      <c r="G549" t="s">
        <v>234</v>
      </c>
      <c r="H549" t="s">
        <v>43</v>
      </c>
      <c r="I549">
        <v>3</v>
      </c>
      <c r="J549">
        <v>28.7</v>
      </c>
      <c r="K549">
        <v>12</v>
      </c>
      <c r="L549">
        <v>2</v>
      </c>
      <c r="M549">
        <v>12</v>
      </c>
      <c r="N549">
        <v>0</v>
      </c>
      <c r="O549" t="s">
        <v>70</v>
      </c>
      <c r="P549">
        <v>38500</v>
      </c>
      <c r="Q549">
        <v>9.6</v>
      </c>
      <c r="R549">
        <v>1.8</v>
      </c>
      <c r="S549">
        <v>0.3</v>
      </c>
      <c r="T549">
        <v>0</v>
      </c>
      <c r="U549">
        <v>4.4000000000000004</v>
      </c>
      <c r="V549">
        <v>3.3</v>
      </c>
      <c r="W549">
        <v>4.4000000000000004</v>
      </c>
      <c r="X549" t="s">
        <v>45</v>
      </c>
      <c r="Y549">
        <v>1</v>
      </c>
      <c r="Z549">
        <v>1</v>
      </c>
      <c r="AB549">
        <v>1</v>
      </c>
      <c r="AC549" t="s">
        <v>124</v>
      </c>
      <c r="AD549" s="2">
        <v>45585</v>
      </c>
      <c r="AE549">
        <v>1</v>
      </c>
      <c r="AF549">
        <v>0</v>
      </c>
      <c r="AG549" t="s">
        <v>47</v>
      </c>
      <c r="AH549" t="s">
        <v>48</v>
      </c>
      <c r="AI549" t="s">
        <v>57</v>
      </c>
      <c r="AJ549" s="1" t="s">
        <v>156</v>
      </c>
      <c r="AK549">
        <v>0.25</v>
      </c>
      <c r="AL549">
        <v>1</v>
      </c>
    </row>
    <row r="550" spans="1:38" x14ac:dyDescent="0.35">
      <c r="A550" t="s">
        <v>744</v>
      </c>
      <c r="B550" t="s">
        <v>39</v>
      </c>
      <c r="C550" t="s">
        <v>66</v>
      </c>
      <c r="D550">
        <v>6.5</v>
      </c>
      <c r="E550" t="s">
        <v>67</v>
      </c>
      <c r="F550">
        <v>28</v>
      </c>
      <c r="G550" t="s">
        <v>42</v>
      </c>
      <c r="H550" t="s">
        <v>43</v>
      </c>
      <c r="I550">
        <v>0</v>
      </c>
      <c r="J550">
        <v>6.7</v>
      </c>
      <c r="K550">
        <v>9</v>
      </c>
      <c r="L550">
        <v>1</v>
      </c>
      <c r="M550">
        <v>12</v>
      </c>
      <c r="N550">
        <v>0</v>
      </c>
      <c r="O550" t="s">
        <v>70</v>
      </c>
      <c r="P550">
        <v>42700</v>
      </c>
      <c r="Q550">
        <v>7.7</v>
      </c>
      <c r="R550">
        <v>1.1000000000000001</v>
      </c>
      <c r="S550">
        <v>1.7</v>
      </c>
      <c r="T550">
        <v>0</v>
      </c>
      <c r="U550">
        <v>3.5</v>
      </c>
      <c r="V550">
        <v>1.8</v>
      </c>
      <c r="W550">
        <v>3</v>
      </c>
      <c r="X550" t="s">
        <v>45</v>
      </c>
      <c r="Y550">
        <v>0</v>
      </c>
      <c r="Z550">
        <v>0</v>
      </c>
      <c r="AB550">
        <v>0</v>
      </c>
      <c r="AC550" t="s">
        <v>46</v>
      </c>
      <c r="AE550">
        <v>1</v>
      </c>
      <c r="AF550">
        <v>0</v>
      </c>
      <c r="AG550" t="s">
        <v>75</v>
      </c>
      <c r="AH550" t="s">
        <v>83</v>
      </c>
      <c r="AI550" t="s">
        <v>64</v>
      </c>
      <c r="AJ550" s="1" t="s">
        <v>170</v>
      </c>
      <c r="AK550">
        <v>0</v>
      </c>
      <c r="AL550">
        <v>0</v>
      </c>
    </row>
    <row r="551" spans="1:38" x14ac:dyDescent="0.35">
      <c r="A551" t="s">
        <v>745</v>
      </c>
      <c r="B551" t="s">
        <v>52</v>
      </c>
      <c r="C551" t="s">
        <v>53</v>
      </c>
      <c r="D551">
        <v>2.8</v>
      </c>
      <c r="E551" t="s">
        <v>67</v>
      </c>
      <c r="F551">
        <v>29</v>
      </c>
      <c r="G551" t="s">
        <v>42</v>
      </c>
      <c r="H551" t="s">
        <v>69</v>
      </c>
      <c r="I551">
        <v>6</v>
      </c>
      <c r="J551">
        <v>11.1</v>
      </c>
      <c r="K551">
        <v>17</v>
      </c>
      <c r="L551">
        <v>4</v>
      </c>
      <c r="M551">
        <v>12</v>
      </c>
      <c r="N551">
        <v>0</v>
      </c>
      <c r="O551" t="s">
        <v>70</v>
      </c>
      <c r="P551">
        <v>43800</v>
      </c>
      <c r="Q551">
        <v>6.8</v>
      </c>
      <c r="R551">
        <v>3.8</v>
      </c>
      <c r="S551">
        <v>1.2</v>
      </c>
      <c r="T551">
        <v>0</v>
      </c>
      <c r="U551">
        <v>3.7</v>
      </c>
      <c r="V551">
        <v>3.3</v>
      </c>
      <c r="W551">
        <v>3.8</v>
      </c>
      <c r="X551" t="s">
        <v>45</v>
      </c>
      <c r="Y551">
        <v>0</v>
      </c>
      <c r="Z551">
        <v>2</v>
      </c>
      <c r="AA551">
        <v>2.2000000000000002</v>
      </c>
      <c r="AB551">
        <v>0</v>
      </c>
      <c r="AC551" t="s">
        <v>46</v>
      </c>
      <c r="AE551">
        <v>0</v>
      </c>
      <c r="AF551">
        <v>0</v>
      </c>
      <c r="AG551" t="s">
        <v>47</v>
      </c>
      <c r="AH551" t="s">
        <v>48</v>
      </c>
      <c r="AI551" t="s">
        <v>49</v>
      </c>
      <c r="AJ551">
        <v>3.6</v>
      </c>
      <c r="AK551">
        <v>0.5</v>
      </c>
      <c r="AL551">
        <v>0</v>
      </c>
    </row>
    <row r="552" spans="1:38" x14ac:dyDescent="0.35">
      <c r="A552" t="s">
        <v>746</v>
      </c>
      <c r="B552" t="s">
        <v>52</v>
      </c>
      <c r="C552" t="s">
        <v>93</v>
      </c>
      <c r="D552">
        <v>2.2000000000000002</v>
      </c>
      <c r="E552" t="s">
        <v>81</v>
      </c>
      <c r="F552">
        <v>25</v>
      </c>
      <c r="G552" t="s">
        <v>42</v>
      </c>
      <c r="H552" t="s">
        <v>69</v>
      </c>
      <c r="I552">
        <v>3</v>
      </c>
      <c r="J552">
        <v>12.1</v>
      </c>
      <c r="K552">
        <v>5</v>
      </c>
      <c r="L552">
        <v>3</v>
      </c>
      <c r="M552">
        <v>12</v>
      </c>
      <c r="N552">
        <v>0</v>
      </c>
      <c r="O552" t="s">
        <v>82</v>
      </c>
      <c r="P552">
        <v>31800</v>
      </c>
      <c r="Q552">
        <v>11</v>
      </c>
      <c r="R552">
        <v>4.0999999999999996</v>
      </c>
      <c r="S552">
        <v>0.9</v>
      </c>
      <c r="T552">
        <v>0</v>
      </c>
      <c r="U552">
        <v>4.0999999999999996</v>
      </c>
      <c r="V552">
        <v>2.9</v>
      </c>
      <c r="W552">
        <v>2.2000000000000002</v>
      </c>
      <c r="X552" t="s">
        <v>45</v>
      </c>
      <c r="Y552">
        <v>0</v>
      </c>
      <c r="Z552">
        <v>1</v>
      </c>
      <c r="AA552">
        <v>0.2</v>
      </c>
      <c r="AB552">
        <v>0</v>
      </c>
      <c r="AC552" t="s">
        <v>46</v>
      </c>
      <c r="AE552">
        <v>0</v>
      </c>
      <c r="AF552">
        <v>0</v>
      </c>
      <c r="AG552" t="s">
        <v>47</v>
      </c>
      <c r="AH552" t="s">
        <v>48</v>
      </c>
      <c r="AI552" t="s">
        <v>49</v>
      </c>
      <c r="AJ552" s="1" t="s">
        <v>159</v>
      </c>
      <c r="AK552">
        <v>0.25</v>
      </c>
      <c r="AL552">
        <v>0</v>
      </c>
    </row>
    <row r="553" spans="1:38" x14ac:dyDescent="0.35">
      <c r="A553" t="s">
        <v>747</v>
      </c>
      <c r="B553" t="s">
        <v>73</v>
      </c>
      <c r="C553" t="s">
        <v>113</v>
      </c>
      <c r="D553">
        <v>6.9</v>
      </c>
      <c r="E553" t="s">
        <v>110</v>
      </c>
      <c r="F553">
        <v>34</v>
      </c>
      <c r="G553" t="s">
        <v>42</v>
      </c>
      <c r="H553" t="s">
        <v>55</v>
      </c>
      <c r="I553">
        <v>2</v>
      </c>
      <c r="J553">
        <v>7.9</v>
      </c>
      <c r="K553">
        <v>14</v>
      </c>
      <c r="L553">
        <v>2</v>
      </c>
      <c r="M553">
        <v>12</v>
      </c>
      <c r="N553">
        <v>0</v>
      </c>
      <c r="O553" t="s">
        <v>70</v>
      </c>
      <c r="P553">
        <v>45700</v>
      </c>
      <c r="Q553">
        <v>9.8000000000000007</v>
      </c>
      <c r="R553">
        <v>3.3</v>
      </c>
      <c r="S553">
        <v>2.8</v>
      </c>
      <c r="T553">
        <v>0</v>
      </c>
      <c r="U553">
        <v>4.0999999999999996</v>
      </c>
      <c r="V553">
        <v>3.8</v>
      </c>
      <c r="W553">
        <v>4.3</v>
      </c>
      <c r="X553" t="s">
        <v>45</v>
      </c>
      <c r="Y553">
        <v>0</v>
      </c>
      <c r="Z553">
        <v>0</v>
      </c>
      <c r="AB553">
        <v>0</v>
      </c>
      <c r="AC553" t="s">
        <v>46</v>
      </c>
      <c r="AE553">
        <v>1</v>
      </c>
      <c r="AF553">
        <v>0</v>
      </c>
      <c r="AG553" t="s">
        <v>75</v>
      </c>
      <c r="AH553" t="s">
        <v>83</v>
      </c>
      <c r="AI553" t="s">
        <v>64</v>
      </c>
      <c r="AJ553" s="1" t="s">
        <v>222</v>
      </c>
      <c r="AK553" s="1" t="s">
        <v>84</v>
      </c>
      <c r="AL553">
        <v>0</v>
      </c>
    </row>
    <row r="554" spans="1:38" x14ac:dyDescent="0.35">
      <c r="A554" t="s">
        <v>748</v>
      </c>
      <c r="B554" t="s">
        <v>73</v>
      </c>
      <c r="C554" t="s">
        <v>177</v>
      </c>
      <c r="D554">
        <v>10.3</v>
      </c>
      <c r="E554" t="s">
        <v>67</v>
      </c>
      <c r="F554">
        <v>29</v>
      </c>
      <c r="G554" t="s">
        <v>234</v>
      </c>
      <c r="H554" t="s">
        <v>55</v>
      </c>
      <c r="I554">
        <v>1</v>
      </c>
      <c r="J554">
        <v>26.6</v>
      </c>
      <c r="K554">
        <v>7</v>
      </c>
      <c r="L554">
        <v>2</v>
      </c>
      <c r="M554">
        <v>12</v>
      </c>
      <c r="N554">
        <v>0</v>
      </c>
      <c r="O554" t="s">
        <v>70</v>
      </c>
      <c r="P554">
        <v>39400</v>
      </c>
      <c r="Q554">
        <v>6.9</v>
      </c>
      <c r="R554">
        <v>2.8</v>
      </c>
      <c r="S554">
        <v>2.8</v>
      </c>
      <c r="T554">
        <v>0</v>
      </c>
      <c r="U554">
        <v>3</v>
      </c>
      <c r="V554">
        <v>3.8</v>
      </c>
      <c r="W554">
        <v>3.5</v>
      </c>
      <c r="X554" t="s">
        <v>45</v>
      </c>
      <c r="Y554">
        <v>0</v>
      </c>
      <c r="Z554">
        <v>1</v>
      </c>
      <c r="AA554">
        <v>8.4</v>
      </c>
      <c r="AB554">
        <v>0</v>
      </c>
      <c r="AC554" t="s">
        <v>46</v>
      </c>
      <c r="AE554">
        <v>0</v>
      </c>
      <c r="AF554">
        <v>0</v>
      </c>
      <c r="AG554" t="s">
        <v>47</v>
      </c>
      <c r="AH554" t="s">
        <v>83</v>
      </c>
      <c r="AI554" t="s">
        <v>57</v>
      </c>
      <c r="AJ554" s="1" t="s">
        <v>174</v>
      </c>
      <c r="AK554">
        <v>8.3333333333333301E-2</v>
      </c>
      <c r="AL554">
        <v>0</v>
      </c>
    </row>
    <row r="555" spans="1:38" x14ac:dyDescent="0.35">
      <c r="A555" t="s">
        <v>749</v>
      </c>
      <c r="B555" t="s">
        <v>60</v>
      </c>
      <c r="C555" t="s">
        <v>80</v>
      </c>
      <c r="D555">
        <v>2.2000000000000002</v>
      </c>
      <c r="E555" t="s">
        <v>67</v>
      </c>
      <c r="F555">
        <v>21</v>
      </c>
      <c r="G555" t="s">
        <v>68</v>
      </c>
      <c r="H555" t="s">
        <v>55</v>
      </c>
      <c r="I555">
        <v>2</v>
      </c>
      <c r="J555">
        <v>7.6</v>
      </c>
      <c r="K555">
        <v>13</v>
      </c>
      <c r="L555">
        <v>0</v>
      </c>
      <c r="M555">
        <v>12</v>
      </c>
      <c r="N555">
        <v>0</v>
      </c>
      <c r="O555" t="s">
        <v>70</v>
      </c>
      <c r="P555">
        <v>38500</v>
      </c>
      <c r="Q555">
        <v>20.2</v>
      </c>
      <c r="R555">
        <v>2</v>
      </c>
      <c r="S555">
        <v>0.7</v>
      </c>
      <c r="T555">
        <v>0</v>
      </c>
      <c r="U555">
        <v>4.2</v>
      </c>
      <c r="V555">
        <v>4.5</v>
      </c>
      <c r="W555">
        <v>3.2</v>
      </c>
      <c r="X555" t="s">
        <v>45</v>
      </c>
      <c r="Y555">
        <v>0</v>
      </c>
      <c r="Z555">
        <v>3</v>
      </c>
      <c r="AA555">
        <v>1.3</v>
      </c>
      <c r="AB555">
        <v>0</v>
      </c>
      <c r="AC555" t="s">
        <v>46</v>
      </c>
      <c r="AE555">
        <v>0</v>
      </c>
      <c r="AF555">
        <v>0</v>
      </c>
      <c r="AG555" t="s">
        <v>47</v>
      </c>
      <c r="AH555" t="s">
        <v>48</v>
      </c>
      <c r="AI555" t="s">
        <v>64</v>
      </c>
      <c r="AJ555" s="1" t="s">
        <v>402</v>
      </c>
      <c r="AK555" s="1" t="s">
        <v>84</v>
      </c>
      <c r="AL555">
        <v>0</v>
      </c>
    </row>
    <row r="556" spans="1:38" x14ac:dyDescent="0.35">
      <c r="A556" t="s">
        <v>750</v>
      </c>
      <c r="B556" t="s">
        <v>73</v>
      </c>
      <c r="C556" t="s">
        <v>74</v>
      </c>
      <c r="D556">
        <v>4.3</v>
      </c>
      <c r="E556" t="s">
        <v>67</v>
      </c>
      <c r="F556">
        <v>36</v>
      </c>
      <c r="G556" t="s">
        <v>42</v>
      </c>
      <c r="H556" t="s">
        <v>63</v>
      </c>
      <c r="I556">
        <v>2</v>
      </c>
      <c r="J556">
        <v>9.1999999999999993</v>
      </c>
      <c r="K556">
        <v>5</v>
      </c>
      <c r="L556">
        <v>1</v>
      </c>
      <c r="M556">
        <v>12</v>
      </c>
      <c r="N556">
        <v>0</v>
      </c>
      <c r="O556" t="s">
        <v>70</v>
      </c>
      <c r="P556">
        <v>46700</v>
      </c>
      <c r="Q556">
        <v>12.1</v>
      </c>
      <c r="R556">
        <v>4.3</v>
      </c>
      <c r="S556">
        <v>3.1</v>
      </c>
      <c r="T556">
        <v>0</v>
      </c>
      <c r="U556">
        <v>3</v>
      </c>
      <c r="V556">
        <v>4.4000000000000004</v>
      </c>
      <c r="W556">
        <v>5</v>
      </c>
      <c r="X556" t="s">
        <v>45</v>
      </c>
      <c r="Y556">
        <v>0</v>
      </c>
      <c r="Z556">
        <v>0</v>
      </c>
      <c r="AB556">
        <v>1</v>
      </c>
      <c r="AC556" t="s">
        <v>46</v>
      </c>
      <c r="AE556">
        <v>1</v>
      </c>
      <c r="AF556">
        <v>0</v>
      </c>
      <c r="AG556" t="s">
        <v>75</v>
      </c>
      <c r="AH556" t="s">
        <v>76</v>
      </c>
      <c r="AI556" t="s">
        <v>64</v>
      </c>
      <c r="AJ556" s="1" t="s">
        <v>201</v>
      </c>
      <c r="AK556" s="1" t="s">
        <v>84</v>
      </c>
      <c r="AL556">
        <v>0</v>
      </c>
    </row>
    <row r="557" spans="1:38" x14ac:dyDescent="0.35">
      <c r="A557" t="s">
        <v>751</v>
      </c>
      <c r="B557" t="s">
        <v>73</v>
      </c>
      <c r="C557" t="s">
        <v>177</v>
      </c>
      <c r="D557">
        <v>3.3</v>
      </c>
      <c r="E557" t="s">
        <v>110</v>
      </c>
      <c r="F557">
        <v>33</v>
      </c>
      <c r="G557" t="s">
        <v>42</v>
      </c>
      <c r="H557" t="s">
        <v>63</v>
      </c>
      <c r="I557">
        <v>3</v>
      </c>
      <c r="J557">
        <v>21.4</v>
      </c>
      <c r="K557">
        <v>5</v>
      </c>
      <c r="L557">
        <v>2</v>
      </c>
      <c r="M557">
        <v>12</v>
      </c>
      <c r="N557">
        <v>0</v>
      </c>
      <c r="O557" t="s">
        <v>70</v>
      </c>
      <c r="P557">
        <v>35700</v>
      </c>
      <c r="Q557">
        <v>17.8</v>
      </c>
      <c r="R557">
        <v>3.6</v>
      </c>
      <c r="S557">
        <v>0.7</v>
      </c>
      <c r="T557">
        <v>0</v>
      </c>
      <c r="U557">
        <v>3.5</v>
      </c>
      <c r="V557">
        <v>3.1</v>
      </c>
      <c r="W557">
        <v>4.3</v>
      </c>
      <c r="X557" t="s">
        <v>45</v>
      </c>
      <c r="Y557">
        <v>0</v>
      </c>
      <c r="Z557">
        <v>3</v>
      </c>
      <c r="AA557">
        <v>2.2000000000000002</v>
      </c>
      <c r="AB557">
        <v>2</v>
      </c>
      <c r="AC557" t="s">
        <v>46</v>
      </c>
      <c r="AE557">
        <v>0</v>
      </c>
      <c r="AF557">
        <v>0</v>
      </c>
      <c r="AG557" t="s">
        <v>47</v>
      </c>
      <c r="AH557" t="s">
        <v>76</v>
      </c>
      <c r="AI557" t="s">
        <v>57</v>
      </c>
      <c r="AJ557" s="1" t="s">
        <v>187</v>
      </c>
      <c r="AK557">
        <v>0.25</v>
      </c>
      <c r="AL557">
        <v>0</v>
      </c>
    </row>
    <row r="558" spans="1:38" x14ac:dyDescent="0.35">
      <c r="A558" t="s">
        <v>752</v>
      </c>
      <c r="B558" t="s">
        <v>98</v>
      </c>
      <c r="C558" t="s">
        <v>151</v>
      </c>
      <c r="D558">
        <v>9.3000000000000007</v>
      </c>
      <c r="E558" t="s">
        <v>67</v>
      </c>
      <c r="F558">
        <v>31</v>
      </c>
      <c r="G558" t="s">
        <v>42</v>
      </c>
      <c r="H558" t="s">
        <v>55</v>
      </c>
      <c r="I558">
        <v>8</v>
      </c>
      <c r="J558">
        <v>6.9</v>
      </c>
      <c r="K558">
        <v>11</v>
      </c>
      <c r="L558">
        <v>2</v>
      </c>
      <c r="M558">
        <v>12</v>
      </c>
      <c r="N558">
        <v>0</v>
      </c>
      <c r="O558" t="s">
        <v>70</v>
      </c>
      <c r="P558">
        <v>39100</v>
      </c>
      <c r="Q558">
        <v>6.3</v>
      </c>
      <c r="R558">
        <v>3.5</v>
      </c>
      <c r="S558">
        <v>0.2</v>
      </c>
      <c r="T558">
        <v>0</v>
      </c>
      <c r="U558">
        <v>3.5</v>
      </c>
      <c r="V558">
        <v>2.4</v>
      </c>
      <c r="W558">
        <v>2.6</v>
      </c>
      <c r="X558" t="s">
        <v>45</v>
      </c>
      <c r="Y558">
        <v>0</v>
      </c>
      <c r="Z558">
        <v>1</v>
      </c>
      <c r="AA558">
        <v>8.5</v>
      </c>
      <c r="AB558">
        <v>0</v>
      </c>
      <c r="AC558" t="s">
        <v>46</v>
      </c>
      <c r="AE558">
        <v>0</v>
      </c>
      <c r="AF558">
        <v>0</v>
      </c>
      <c r="AG558" t="s">
        <v>47</v>
      </c>
      <c r="AH558" t="s">
        <v>83</v>
      </c>
      <c r="AI558" t="s">
        <v>64</v>
      </c>
      <c r="AJ558" s="1" t="s">
        <v>212</v>
      </c>
      <c r="AK558" s="1" t="s">
        <v>78</v>
      </c>
      <c r="AL558">
        <v>0</v>
      </c>
    </row>
    <row r="559" spans="1:38" x14ac:dyDescent="0.35">
      <c r="A559" t="s">
        <v>753</v>
      </c>
      <c r="B559" t="s">
        <v>52</v>
      </c>
      <c r="C559" t="s">
        <v>153</v>
      </c>
      <c r="D559">
        <v>3.6</v>
      </c>
      <c r="E559" t="s">
        <v>67</v>
      </c>
      <c r="F559">
        <v>30</v>
      </c>
      <c r="G559" t="s">
        <v>54</v>
      </c>
      <c r="H559" t="s">
        <v>55</v>
      </c>
      <c r="I559">
        <v>10</v>
      </c>
      <c r="J559">
        <v>3.1</v>
      </c>
      <c r="K559">
        <v>3</v>
      </c>
      <c r="L559">
        <v>2</v>
      </c>
      <c r="M559">
        <v>12</v>
      </c>
      <c r="N559">
        <v>0</v>
      </c>
      <c r="O559" t="s">
        <v>82</v>
      </c>
      <c r="P559">
        <v>31800</v>
      </c>
      <c r="Q559">
        <v>9</v>
      </c>
      <c r="R559">
        <v>3.2</v>
      </c>
      <c r="S559">
        <v>0.1</v>
      </c>
      <c r="T559">
        <v>0</v>
      </c>
      <c r="U559">
        <v>2.5</v>
      </c>
      <c r="V559">
        <v>2.5</v>
      </c>
      <c r="W559">
        <v>3.3</v>
      </c>
      <c r="X559" t="s">
        <v>45</v>
      </c>
      <c r="Y559">
        <v>0</v>
      </c>
      <c r="Z559">
        <v>0</v>
      </c>
      <c r="AB559">
        <v>0</v>
      </c>
      <c r="AC559" t="s">
        <v>46</v>
      </c>
      <c r="AE559">
        <v>1</v>
      </c>
      <c r="AF559">
        <v>0</v>
      </c>
      <c r="AG559" t="s">
        <v>75</v>
      </c>
      <c r="AH559" t="s">
        <v>76</v>
      </c>
      <c r="AI559" t="s">
        <v>64</v>
      </c>
      <c r="AJ559" s="1" t="s">
        <v>170</v>
      </c>
      <c r="AK559" s="1" t="s">
        <v>588</v>
      </c>
      <c r="AL559">
        <v>0</v>
      </c>
    </row>
    <row r="560" spans="1:38" x14ac:dyDescent="0.35">
      <c r="A560" t="s">
        <v>754</v>
      </c>
      <c r="B560" t="s">
        <v>117</v>
      </c>
      <c r="C560" t="s">
        <v>197</v>
      </c>
      <c r="D560">
        <v>1.6</v>
      </c>
      <c r="E560" t="s">
        <v>110</v>
      </c>
      <c r="F560">
        <v>32</v>
      </c>
      <c r="G560" t="s">
        <v>42</v>
      </c>
      <c r="H560" t="s">
        <v>43</v>
      </c>
      <c r="I560">
        <v>5</v>
      </c>
      <c r="J560">
        <v>11.4</v>
      </c>
      <c r="K560">
        <v>4</v>
      </c>
      <c r="L560">
        <v>3</v>
      </c>
      <c r="M560">
        <v>12</v>
      </c>
      <c r="N560">
        <v>0</v>
      </c>
      <c r="O560" t="s">
        <v>70</v>
      </c>
      <c r="P560">
        <v>43500</v>
      </c>
      <c r="Q560">
        <v>3</v>
      </c>
      <c r="R560">
        <v>2.8</v>
      </c>
      <c r="S560">
        <v>0.8</v>
      </c>
      <c r="T560">
        <v>0</v>
      </c>
      <c r="U560">
        <v>2.6</v>
      </c>
      <c r="V560">
        <v>3.5</v>
      </c>
      <c r="W560">
        <v>5</v>
      </c>
      <c r="X560" t="s">
        <v>45</v>
      </c>
      <c r="Y560">
        <v>0</v>
      </c>
      <c r="Z560">
        <v>1</v>
      </c>
      <c r="AA560">
        <v>0.5</v>
      </c>
      <c r="AB560">
        <v>1</v>
      </c>
      <c r="AC560" t="s">
        <v>46</v>
      </c>
      <c r="AE560">
        <v>0</v>
      </c>
      <c r="AF560">
        <v>0</v>
      </c>
      <c r="AG560" t="s">
        <v>47</v>
      </c>
      <c r="AH560" t="s">
        <v>48</v>
      </c>
      <c r="AI560" t="s">
        <v>49</v>
      </c>
      <c r="AJ560" s="1" t="s">
        <v>58</v>
      </c>
      <c r="AK560" s="1" t="s">
        <v>127</v>
      </c>
      <c r="AL560">
        <v>0</v>
      </c>
    </row>
    <row r="561" spans="1:38" x14ac:dyDescent="0.35">
      <c r="A561" t="s">
        <v>755</v>
      </c>
      <c r="B561" t="s">
        <v>52</v>
      </c>
      <c r="C561" t="s">
        <v>93</v>
      </c>
      <c r="D561">
        <v>3.7</v>
      </c>
      <c r="E561" t="s">
        <v>81</v>
      </c>
      <c r="F561">
        <v>31</v>
      </c>
      <c r="G561" t="s">
        <v>68</v>
      </c>
      <c r="H561" t="s">
        <v>69</v>
      </c>
      <c r="I561">
        <v>3</v>
      </c>
      <c r="J561">
        <v>4.0999999999999996</v>
      </c>
      <c r="K561">
        <v>11</v>
      </c>
      <c r="L561">
        <v>1</v>
      </c>
      <c r="M561">
        <v>12</v>
      </c>
      <c r="N561">
        <v>0</v>
      </c>
      <c r="O561" t="s">
        <v>82</v>
      </c>
      <c r="P561">
        <v>32100</v>
      </c>
      <c r="Q561">
        <v>6.7</v>
      </c>
      <c r="R561">
        <v>2.2000000000000002</v>
      </c>
      <c r="S561">
        <v>0.8</v>
      </c>
      <c r="T561">
        <v>0</v>
      </c>
      <c r="U561">
        <v>5</v>
      </c>
      <c r="V561">
        <v>3.3</v>
      </c>
      <c r="W561">
        <v>5</v>
      </c>
      <c r="X561" t="s">
        <v>45</v>
      </c>
      <c r="Y561">
        <v>0</v>
      </c>
      <c r="Z561">
        <v>1</v>
      </c>
      <c r="AA561">
        <v>2.5</v>
      </c>
      <c r="AB561">
        <v>1</v>
      </c>
      <c r="AC561" t="s">
        <v>46</v>
      </c>
      <c r="AE561">
        <v>0</v>
      </c>
      <c r="AF561">
        <v>0</v>
      </c>
      <c r="AG561" t="s">
        <v>47</v>
      </c>
      <c r="AH561" t="s">
        <v>76</v>
      </c>
      <c r="AI561" t="s">
        <v>64</v>
      </c>
      <c r="AJ561" s="1" t="s">
        <v>756</v>
      </c>
      <c r="AK561">
        <v>0.25</v>
      </c>
      <c r="AL561">
        <v>0</v>
      </c>
    </row>
    <row r="562" spans="1:38" x14ac:dyDescent="0.35">
      <c r="A562" t="s">
        <v>757</v>
      </c>
      <c r="B562" t="s">
        <v>73</v>
      </c>
      <c r="C562" t="s">
        <v>121</v>
      </c>
      <c r="D562">
        <v>8.1</v>
      </c>
      <c r="E562" t="s">
        <v>41</v>
      </c>
      <c r="F562">
        <v>35</v>
      </c>
      <c r="G562" t="s">
        <v>42</v>
      </c>
      <c r="H562" t="s">
        <v>55</v>
      </c>
      <c r="I562">
        <v>6</v>
      </c>
      <c r="J562">
        <v>3.6</v>
      </c>
      <c r="K562">
        <v>4</v>
      </c>
      <c r="L562">
        <v>2</v>
      </c>
      <c r="M562">
        <v>12</v>
      </c>
      <c r="N562">
        <v>0</v>
      </c>
      <c r="O562" t="s">
        <v>44</v>
      </c>
      <c r="P562">
        <v>71500</v>
      </c>
      <c r="Q562">
        <v>5.7</v>
      </c>
      <c r="R562">
        <v>3.4</v>
      </c>
      <c r="S562">
        <v>1.5</v>
      </c>
      <c r="T562">
        <v>0</v>
      </c>
      <c r="U562">
        <v>2.5</v>
      </c>
      <c r="V562">
        <v>3.4</v>
      </c>
      <c r="W562">
        <v>4.0999999999999996</v>
      </c>
      <c r="X562" t="s">
        <v>45</v>
      </c>
      <c r="Y562">
        <v>0</v>
      </c>
      <c r="Z562">
        <v>2</v>
      </c>
      <c r="AA562">
        <v>6.7</v>
      </c>
      <c r="AB562">
        <v>0</v>
      </c>
      <c r="AC562" t="s">
        <v>46</v>
      </c>
      <c r="AE562">
        <v>0</v>
      </c>
      <c r="AF562">
        <v>0</v>
      </c>
      <c r="AG562" t="s">
        <v>47</v>
      </c>
      <c r="AH562" t="s">
        <v>83</v>
      </c>
      <c r="AI562" t="s">
        <v>64</v>
      </c>
      <c r="AJ562" s="1" t="s">
        <v>90</v>
      </c>
      <c r="AK562">
        <v>0.5</v>
      </c>
      <c r="AL562">
        <v>0</v>
      </c>
    </row>
    <row r="563" spans="1:38" x14ac:dyDescent="0.35">
      <c r="A563" t="s">
        <v>758</v>
      </c>
      <c r="B563" t="s">
        <v>98</v>
      </c>
      <c r="C563" t="s">
        <v>99</v>
      </c>
      <c r="D563">
        <v>3.2</v>
      </c>
      <c r="E563" t="s">
        <v>81</v>
      </c>
      <c r="F563">
        <v>34</v>
      </c>
      <c r="G563" t="s">
        <v>42</v>
      </c>
      <c r="H563" t="s">
        <v>55</v>
      </c>
      <c r="I563">
        <v>2</v>
      </c>
      <c r="J563">
        <v>1</v>
      </c>
      <c r="K563">
        <v>12</v>
      </c>
      <c r="L563">
        <v>0</v>
      </c>
      <c r="M563">
        <v>12</v>
      </c>
      <c r="N563">
        <v>0</v>
      </c>
      <c r="O563" t="s">
        <v>82</v>
      </c>
      <c r="P563">
        <v>20500</v>
      </c>
      <c r="Q563">
        <v>20</v>
      </c>
      <c r="R563">
        <v>2.7</v>
      </c>
      <c r="S563">
        <v>0.6</v>
      </c>
      <c r="T563">
        <v>0</v>
      </c>
      <c r="U563">
        <v>3.6</v>
      </c>
      <c r="V563">
        <v>2.7</v>
      </c>
      <c r="W563">
        <v>1.9</v>
      </c>
      <c r="X563" t="s">
        <v>45</v>
      </c>
      <c r="Y563">
        <v>0</v>
      </c>
      <c r="Z563">
        <v>2</v>
      </c>
      <c r="AA563">
        <v>2.1</v>
      </c>
      <c r="AB563">
        <v>0</v>
      </c>
      <c r="AC563" t="s">
        <v>46</v>
      </c>
      <c r="AE563">
        <v>0</v>
      </c>
      <c r="AF563">
        <v>0</v>
      </c>
      <c r="AG563" t="s">
        <v>47</v>
      </c>
      <c r="AH563" t="s">
        <v>76</v>
      </c>
      <c r="AI563" t="s">
        <v>64</v>
      </c>
      <c r="AJ563" s="1" t="s">
        <v>759</v>
      </c>
      <c r="AK563" s="1" t="s">
        <v>84</v>
      </c>
      <c r="AL563">
        <v>0</v>
      </c>
    </row>
    <row r="564" spans="1:38" x14ac:dyDescent="0.35">
      <c r="A564" t="s">
        <v>760</v>
      </c>
      <c r="B564" t="s">
        <v>60</v>
      </c>
      <c r="C564" t="s">
        <v>107</v>
      </c>
      <c r="D564">
        <v>2.4</v>
      </c>
      <c r="E564" t="s">
        <v>67</v>
      </c>
      <c r="F564">
        <v>25</v>
      </c>
      <c r="G564" t="s">
        <v>68</v>
      </c>
      <c r="H564" t="s">
        <v>43</v>
      </c>
      <c r="I564">
        <v>2</v>
      </c>
      <c r="J564">
        <v>1.2</v>
      </c>
      <c r="K564">
        <v>9</v>
      </c>
      <c r="L564">
        <v>1</v>
      </c>
      <c r="M564">
        <v>12</v>
      </c>
      <c r="N564">
        <v>0</v>
      </c>
      <c r="O564" t="s">
        <v>70</v>
      </c>
      <c r="P564">
        <v>37500</v>
      </c>
      <c r="Q564">
        <v>5.2</v>
      </c>
      <c r="R564">
        <v>2.8</v>
      </c>
      <c r="S564">
        <v>3</v>
      </c>
      <c r="T564">
        <v>0</v>
      </c>
      <c r="U564">
        <v>3.8</v>
      </c>
      <c r="V564">
        <v>4.5</v>
      </c>
      <c r="W564">
        <v>4.5</v>
      </c>
      <c r="X564" t="s">
        <v>45</v>
      </c>
      <c r="Y564">
        <v>0</v>
      </c>
      <c r="Z564">
        <v>2</v>
      </c>
      <c r="AB564">
        <v>0</v>
      </c>
      <c r="AC564" t="s">
        <v>46</v>
      </c>
      <c r="AE564">
        <v>1</v>
      </c>
      <c r="AF564">
        <v>0</v>
      </c>
      <c r="AG564" t="s">
        <v>47</v>
      </c>
      <c r="AH564" t="s">
        <v>48</v>
      </c>
      <c r="AI564" t="s">
        <v>64</v>
      </c>
      <c r="AJ564" s="1" t="s">
        <v>193</v>
      </c>
      <c r="AK564" s="1" t="s">
        <v>84</v>
      </c>
      <c r="AL564">
        <v>0</v>
      </c>
    </row>
    <row r="565" spans="1:38" x14ac:dyDescent="0.35">
      <c r="A565" t="s">
        <v>761</v>
      </c>
      <c r="B565" t="s">
        <v>39</v>
      </c>
      <c r="C565" t="s">
        <v>66</v>
      </c>
      <c r="D565">
        <v>3.5</v>
      </c>
      <c r="E565" t="s">
        <v>81</v>
      </c>
      <c r="F565">
        <v>30</v>
      </c>
      <c r="G565" t="s">
        <v>68</v>
      </c>
      <c r="H565" t="s">
        <v>55</v>
      </c>
      <c r="I565">
        <v>4</v>
      </c>
      <c r="J565">
        <v>1.3</v>
      </c>
      <c r="K565">
        <v>8</v>
      </c>
      <c r="L565">
        <v>1</v>
      </c>
      <c r="M565">
        <v>12</v>
      </c>
      <c r="N565">
        <v>0</v>
      </c>
      <c r="O565" t="s">
        <v>70</v>
      </c>
      <c r="P565">
        <v>35600</v>
      </c>
      <c r="Q565">
        <v>7.1</v>
      </c>
      <c r="R565">
        <v>4.7</v>
      </c>
      <c r="S565">
        <v>0.1</v>
      </c>
      <c r="T565">
        <v>0</v>
      </c>
      <c r="U565">
        <v>3.3</v>
      </c>
      <c r="V565">
        <v>1.9</v>
      </c>
      <c r="W565">
        <v>2.9</v>
      </c>
      <c r="X565" t="s">
        <v>45</v>
      </c>
      <c r="Y565">
        <v>0</v>
      </c>
      <c r="Z565">
        <v>0</v>
      </c>
      <c r="AB565">
        <v>0</v>
      </c>
      <c r="AC565" t="s">
        <v>46</v>
      </c>
      <c r="AE565">
        <v>1</v>
      </c>
      <c r="AF565">
        <v>0</v>
      </c>
      <c r="AG565" t="s">
        <v>75</v>
      </c>
      <c r="AH565" t="s">
        <v>76</v>
      </c>
      <c r="AI565" t="s">
        <v>64</v>
      </c>
      <c r="AJ565" s="1" t="s">
        <v>96</v>
      </c>
      <c r="AK565" s="1" t="s">
        <v>115</v>
      </c>
      <c r="AL565">
        <v>0</v>
      </c>
    </row>
    <row r="566" spans="1:38" x14ac:dyDescent="0.35">
      <c r="A566" t="s">
        <v>762</v>
      </c>
      <c r="B566" t="s">
        <v>39</v>
      </c>
      <c r="C566" t="s">
        <v>66</v>
      </c>
      <c r="D566">
        <v>1.7</v>
      </c>
      <c r="E566" t="s">
        <v>110</v>
      </c>
      <c r="F566">
        <v>28</v>
      </c>
      <c r="G566" t="s">
        <v>42</v>
      </c>
      <c r="H566" t="s">
        <v>55</v>
      </c>
      <c r="I566">
        <v>5</v>
      </c>
      <c r="J566">
        <v>31.4</v>
      </c>
      <c r="K566">
        <v>4</v>
      </c>
      <c r="L566">
        <v>1</v>
      </c>
      <c r="M566">
        <v>12</v>
      </c>
      <c r="N566">
        <v>0</v>
      </c>
      <c r="O566" t="s">
        <v>70</v>
      </c>
      <c r="P566">
        <v>40700</v>
      </c>
      <c r="Q566">
        <v>2.2000000000000002</v>
      </c>
      <c r="R566">
        <v>3.2</v>
      </c>
      <c r="S566">
        <v>0.7</v>
      </c>
      <c r="T566">
        <v>0</v>
      </c>
      <c r="U566">
        <v>3.9</v>
      </c>
      <c r="V566">
        <v>2.7</v>
      </c>
      <c r="W566">
        <v>4.5</v>
      </c>
      <c r="X566" t="s">
        <v>45</v>
      </c>
      <c r="Y566">
        <v>0</v>
      </c>
      <c r="Z566">
        <v>1</v>
      </c>
      <c r="AA566">
        <v>0.7</v>
      </c>
      <c r="AB566">
        <v>0</v>
      </c>
      <c r="AC566" t="s">
        <v>46</v>
      </c>
      <c r="AE566">
        <v>0</v>
      </c>
      <c r="AF566">
        <v>0</v>
      </c>
      <c r="AG566" t="s">
        <v>47</v>
      </c>
      <c r="AH566" t="s">
        <v>48</v>
      </c>
      <c r="AI566" t="s">
        <v>57</v>
      </c>
      <c r="AJ566" s="1" t="s">
        <v>58</v>
      </c>
      <c r="AK566" s="1" t="s">
        <v>127</v>
      </c>
      <c r="AL566">
        <v>0</v>
      </c>
    </row>
    <row r="567" spans="1:38" x14ac:dyDescent="0.35">
      <c r="A567" t="s">
        <v>763</v>
      </c>
      <c r="B567" t="s">
        <v>39</v>
      </c>
      <c r="C567" t="s">
        <v>66</v>
      </c>
      <c r="D567">
        <v>3.3</v>
      </c>
      <c r="E567" t="s">
        <v>67</v>
      </c>
      <c r="F567">
        <v>28</v>
      </c>
      <c r="G567" t="s">
        <v>42</v>
      </c>
      <c r="H567" t="s">
        <v>55</v>
      </c>
      <c r="I567">
        <v>2</v>
      </c>
      <c r="J567">
        <v>1.3</v>
      </c>
      <c r="K567">
        <v>16</v>
      </c>
      <c r="L567">
        <v>2</v>
      </c>
      <c r="M567">
        <v>12</v>
      </c>
      <c r="N567">
        <v>0</v>
      </c>
      <c r="O567" t="s">
        <v>70</v>
      </c>
      <c r="P567">
        <v>41200</v>
      </c>
      <c r="Q567">
        <v>10.1</v>
      </c>
      <c r="R567">
        <v>1</v>
      </c>
      <c r="S567">
        <v>0.3</v>
      </c>
      <c r="T567">
        <v>0</v>
      </c>
      <c r="U567">
        <v>3.6</v>
      </c>
      <c r="V567">
        <v>2.2000000000000002</v>
      </c>
      <c r="W567">
        <v>2.8</v>
      </c>
      <c r="X567" t="s">
        <v>45</v>
      </c>
      <c r="Y567">
        <v>0</v>
      </c>
      <c r="Z567">
        <v>1</v>
      </c>
      <c r="AA567">
        <v>2.9</v>
      </c>
      <c r="AB567">
        <v>1</v>
      </c>
      <c r="AC567" t="s">
        <v>46</v>
      </c>
      <c r="AE567">
        <v>0</v>
      </c>
      <c r="AF567">
        <v>0</v>
      </c>
      <c r="AG567" t="s">
        <v>47</v>
      </c>
      <c r="AH567" t="s">
        <v>76</v>
      </c>
      <c r="AI567" t="s">
        <v>64</v>
      </c>
      <c r="AJ567" s="1" t="s">
        <v>407</v>
      </c>
      <c r="AK567" s="1" t="s">
        <v>84</v>
      </c>
      <c r="AL567">
        <v>0</v>
      </c>
    </row>
    <row r="568" spans="1:38" x14ac:dyDescent="0.35">
      <c r="A568" t="s">
        <v>764</v>
      </c>
      <c r="B568" t="s">
        <v>39</v>
      </c>
      <c r="C568" t="s">
        <v>40</v>
      </c>
      <c r="D568">
        <v>2.5</v>
      </c>
      <c r="E568" t="s">
        <v>41</v>
      </c>
      <c r="F568">
        <v>27</v>
      </c>
      <c r="G568" t="s">
        <v>42</v>
      </c>
      <c r="H568" t="s">
        <v>69</v>
      </c>
      <c r="I568">
        <v>2</v>
      </c>
      <c r="J568">
        <v>4</v>
      </c>
      <c r="K568">
        <v>7</v>
      </c>
      <c r="L568">
        <v>2</v>
      </c>
      <c r="M568">
        <v>12</v>
      </c>
      <c r="N568">
        <v>0</v>
      </c>
      <c r="O568" t="s">
        <v>56</v>
      </c>
      <c r="P568">
        <v>83800</v>
      </c>
      <c r="Q568">
        <v>4.4000000000000004</v>
      </c>
      <c r="R568">
        <v>2.7</v>
      </c>
      <c r="S568">
        <v>1.2</v>
      </c>
      <c r="T568">
        <v>0</v>
      </c>
      <c r="U568">
        <v>2.5</v>
      </c>
      <c r="V568">
        <v>3</v>
      </c>
      <c r="W568">
        <v>3.8</v>
      </c>
      <c r="X568" t="s">
        <v>45</v>
      </c>
      <c r="Y568">
        <v>0</v>
      </c>
      <c r="Z568">
        <v>0</v>
      </c>
      <c r="AB568">
        <v>0</v>
      </c>
      <c r="AC568" t="s">
        <v>46</v>
      </c>
      <c r="AE568">
        <v>1</v>
      </c>
      <c r="AF568">
        <v>0</v>
      </c>
      <c r="AG568" t="s">
        <v>75</v>
      </c>
      <c r="AH568" t="s">
        <v>48</v>
      </c>
      <c r="AI568" t="s">
        <v>64</v>
      </c>
      <c r="AJ568">
        <v>3.1</v>
      </c>
      <c r="AK568" s="1" t="s">
        <v>84</v>
      </c>
      <c r="AL568">
        <v>0</v>
      </c>
    </row>
    <row r="569" spans="1:38" x14ac:dyDescent="0.35">
      <c r="A569" t="s">
        <v>765</v>
      </c>
      <c r="B569" t="s">
        <v>73</v>
      </c>
      <c r="C569" t="s">
        <v>121</v>
      </c>
      <c r="D569">
        <v>14.8</v>
      </c>
      <c r="E569" t="s">
        <v>67</v>
      </c>
      <c r="F569">
        <v>41</v>
      </c>
      <c r="G569" t="s">
        <v>68</v>
      </c>
      <c r="H569" t="s">
        <v>43</v>
      </c>
      <c r="I569">
        <v>2</v>
      </c>
      <c r="J569">
        <v>9.3000000000000007</v>
      </c>
      <c r="K569">
        <v>8</v>
      </c>
      <c r="L569">
        <v>2</v>
      </c>
      <c r="M569">
        <v>12</v>
      </c>
      <c r="N569">
        <v>0</v>
      </c>
      <c r="O569" t="s">
        <v>70</v>
      </c>
      <c r="P569">
        <v>45000</v>
      </c>
      <c r="Q569">
        <v>11.7</v>
      </c>
      <c r="R569">
        <v>2.2999999999999998</v>
      </c>
      <c r="S569">
        <v>0.1</v>
      </c>
      <c r="T569">
        <v>0</v>
      </c>
      <c r="U569">
        <v>3.8</v>
      </c>
      <c r="V569">
        <v>4.3</v>
      </c>
      <c r="W569">
        <v>2.9</v>
      </c>
      <c r="X569" t="s">
        <v>45</v>
      </c>
      <c r="Y569">
        <v>0</v>
      </c>
      <c r="Z569">
        <v>1</v>
      </c>
      <c r="AA569">
        <v>5.6</v>
      </c>
      <c r="AB569">
        <v>1</v>
      </c>
      <c r="AC569" t="s">
        <v>46</v>
      </c>
      <c r="AE569">
        <v>0</v>
      </c>
      <c r="AF569">
        <v>0</v>
      </c>
      <c r="AG569" t="s">
        <v>47</v>
      </c>
      <c r="AH569" t="s">
        <v>83</v>
      </c>
      <c r="AI569" t="s">
        <v>64</v>
      </c>
      <c r="AJ569" s="1" t="s">
        <v>266</v>
      </c>
      <c r="AK569" s="1" t="s">
        <v>84</v>
      </c>
      <c r="AL569">
        <v>0</v>
      </c>
    </row>
    <row r="570" spans="1:38" x14ac:dyDescent="0.35">
      <c r="A570" t="s">
        <v>766</v>
      </c>
      <c r="B570" t="s">
        <v>98</v>
      </c>
      <c r="C570" t="s">
        <v>99</v>
      </c>
      <c r="D570">
        <v>0.6</v>
      </c>
      <c r="E570" t="s">
        <v>110</v>
      </c>
      <c r="F570">
        <v>27</v>
      </c>
      <c r="G570" t="s">
        <v>42</v>
      </c>
      <c r="H570" t="s">
        <v>55</v>
      </c>
      <c r="I570">
        <v>3</v>
      </c>
      <c r="J570">
        <v>16.2</v>
      </c>
      <c r="K570">
        <v>15</v>
      </c>
      <c r="L570">
        <v>3</v>
      </c>
      <c r="M570">
        <v>12</v>
      </c>
      <c r="N570">
        <v>0</v>
      </c>
      <c r="O570" t="s">
        <v>44</v>
      </c>
      <c r="P570">
        <v>64000</v>
      </c>
      <c r="Q570">
        <v>0.8</v>
      </c>
      <c r="R570">
        <v>3.1</v>
      </c>
      <c r="S570">
        <v>0.9</v>
      </c>
      <c r="T570">
        <v>0</v>
      </c>
      <c r="U570">
        <v>2.8</v>
      </c>
      <c r="V570">
        <v>2.9</v>
      </c>
      <c r="W570">
        <v>3.1</v>
      </c>
      <c r="X570" t="s">
        <v>45</v>
      </c>
      <c r="Y570">
        <v>0</v>
      </c>
      <c r="Z570">
        <v>1</v>
      </c>
      <c r="AA570">
        <v>0.2</v>
      </c>
      <c r="AB570">
        <v>0</v>
      </c>
      <c r="AC570" t="s">
        <v>46</v>
      </c>
      <c r="AE570">
        <v>0</v>
      </c>
      <c r="AF570">
        <v>0</v>
      </c>
      <c r="AG570" t="s">
        <v>47</v>
      </c>
      <c r="AH570" t="s">
        <v>95</v>
      </c>
      <c r="AI570" t="s">
        <v>49</v>
      </c>
      <c r="AJ570" s="1" t="s">
        <v>679</v>
      </c>
      <c r="AK570">
        <v>0.25</v>
      </c>
      <c r="AL570">
        <v>0</v>
      </c>
    </row>
    <row r="571" spans="1:38" x14ac:dyDescent="0.35">
      <c r="A571" t="s">
        <v>767</v>
      </c>
      <c r="B571" t="s">
        <v>117</v>
      </c>
      <c r="C571" t="s">
        <v>189</v>
      </c>
      <c r="D571">
        <v>1.9</v>
      </c>
      <c r="E571" t="s">
        <v>67</v>
      </c>
      <c r="F571">
        <v>24</v>
      </c>
      <c r="G571" t="s">
        <v>42</v>
      </c>
      <c r="H571" t="s">
        <v>43</v>
      </c>
      <c r="I571">
        <v>2</v>
      </c>
      <c r="J571">
        <v>17.5</v>
      </c>
      <c r="K571">
        <v>9</v>
      </c>
      <c r="L571">
        <v>3</v>
      </c>
      <c r="M571">
        <v>12</v>
      </c>
      <c r="N571">
        <v>0</v>
      </c>
      <c r="O571" t="s">
        <v>82</v>
      </c>
      <c r="P571">
        <v>35000</v>
      </c>
      <c r="Q571">
        <v>7.5</v>
      </c>
      <c r="R571">
        <v>1.9</v>
      </c>
      <c r="S571">
        <v>0.7</v>
      </c>
      <c r="T571">
        <v>0</v>
      </c>
      <c r="U571">
        <v>4.9000000000000004</v>
      </c>
      <c r="V571">
        <v>3.3</v>
      </c>
      <c r="W571">
        <v>3.9</v>
      </c>
      <c r="X571" t="s">
        <v>45</v>
      </c>
      <c r="Y571">
        <v>0</v>
      </c>
      <c r="Z571">
        <v>1</v>
      </c>
      <c r="AA571">
        <v>0.7</v>
      </c>
      <c r="AB571">
        <v>0</v>
      </c>
      <c r="AC571" t="s">
        <v>46</v>
      </c>
      <c r="AE571">
        <v>0</v>
      </c>
      <c r="AF571">
        <v>0</v>
      </c>
      <c r="AG571" t="s">
        <v>47</v>
      </c>
      <c r="AH571" t="s">
        <v>48</v>
      </c>
      <c r="AI571" t="s">
        <v>49</v>
      </c>
      <c r="AJ571" s="1" t="s">
        <v>288</v>
      </c>
      <c r="AK571" s="1" t="s">
        <v>84</v>
      </c>
      <c r="AL571">
        <v>0</v>
      </c>
    </row>
    <row r="572" spans="1:38" x14ac:dyDescent="0.35">
      <c r="A572" t="s">
        <v>768</v>
      </c>
      <c r="B572" t="s">
        <v>98</v>
      </c>
      <c r="C572" t="s">
        <v>151</v>
      </c>
      <c r="D572">
        <v>2.4</v>
      </c>
      <c r="E572" t="s">
        <v>81</v>
      </c>
      <c r="F572">
        <v>32</v>
      </c>
      <c r="G572" t="s">
        <v>42</v>
      </c>
      <c r="H572" t="s">
        <v>43</v>
      </c>
      <c r="I572">
        <v>1</v>
      </c>
      <c r="J572">
        <v>5.0999999999999996</v>
      </c>
      <c r="K572">
        <v>8</v>
      </c>
      <c r="L572">
        <v>2</v>
      </c>
      <c r="M572">
        <v>12</v>
      </c>
      <c r="N572">
        <v>0</v>
      </c>
      <c r="O572" t="s">
        <v>82</v>
      </c>
      <c r="P572">
        <v>33100</v>
      </c>
      <c r="Q572">
        <v>0.6</v>
      </c>
      <c r="R572">
        <v>3.6</v>
      </c>
      <c r="S572">
        <v>0.9</v>
      </c>
      <c r="T572">
        <v>0</v>
      </c>
      <c r="U572">
        <v>3.7</v>
      </c>
      <c r="V572">
        <v>3.8</v>
      </c>
      <c r="W572">
        <v>2.2999999999999998</v>
      </c>
      <c r="X572" t="s">
        <v>89</v>
      </c>
      <c r="Y572">
        <v>0</v>
      </c>
      <c r="Z572">
        <v>2</v>
      </c>
      <c r="AA572">
        <v>1</v>
      </c>
      <c r="AB572">
        <v>0</v>
      </c>
      <c r="AC572" t="s">
        <v>46</v>
      </c>
      <c r="AE572">
        <v>0</v>
      </c>
      <c r="AF572">
        <v>0</v>
      </c>
      <c r="AG572" t="s">
        <v>47</v>
      </c>
      <c r="AH572" t="s">
        <v>48</v>
      </c>
      <c r="AI572" t="s">
        <v>64</v>
      </c>
      <c r="AJ572" s="1" t="s">
        <v>235</v>
      </c>
      <c r="AK572">
        <v>8.3333333333333301E-2</v>
      </c>
      <c r="AL572">
        <v>0</v>
      </c>
    </row>
    <row r="573" spans="1:38" x14ac:dyDescent="0.35">
      <c r="A573" t="s">
        <v>769</v>
      </c>
      <c r="B573" t="s">
        <v>60</v>
      </c>
      <c r="C573" t="s">
        <v>107</v>
      </c>
      <c r="D573">
        <v>1.7</v>
      </c>
      <c r="E573" t="s">
        <v>67</v>
      </c>
      <c r="F573">
        <v>24</v>
      </c>
      <c r="G573" t="s">
        <v>54</v>
      </c>
      <c r="H573" t="s">
        <v>94</v>
      </c>
      <c r="I573">
        <v>4</v>
      </c>
      <c r="J573">
        <v>10.9</v>
      </c>
      <c r="K573">
        <v>14</v>
      </c>
      <c r="L573">
        <v>1</v>
      </c>
      <c r="M573">
        <v>12</v>
      </c>
      <c r="N573">
        <v>0</v>
      </c>
      <c r="O573" t="s">
        <v>70</v>
      </c>
      <c r="P573">
        <v>43500</v>
      </c>
      <c r="Q573">
        <v>6</v>
      </c>
      <c r="R573">
        <v>2.9</v>
      </c>
      <c r="S573">
        <v>1</v>
      </c>
      <c r="T573">
        <v>0</v>
      </c>
      <c r="U573">
        <v>2.7</v>
      </c>
      <c r="V573">
        <v>2.9</v>
      </c>
      <c r="W573">
        <v>5</v>
      </c>
      <c r="X573" t="s">
        <v>45</v>
      </c>
      <c r="Y573">
        <v>0</v>
      </c>
      <c r="Z573">
        <v>0</v>
      </c>
      <c r="AB573">
        <v>0</v>
      </c>
      <c r="AC573" t="s">
        <v>46</v>
      </c>
      <c r="AE573">
        <v>1</v>
      </c>
      <c r="AF573">
        <v>0</v>
      </c>
      <c r="AG573" t="s">
        <v>75</v>
      </c>
      <c r="AH573" t="s">
        <v>48</v>
      </c>
      <c r="AI573" t="s">
        <v>49</v>
      </c>
      <c r="AJ573" s="1" t="s">
        <v>122</v>
      </c>
      <c r="AK573" s="1" t="s">
        <v>115</v>
      </c>
      <c r="AL573">
        <v>0</v>
      </c>
    </row>
    <row r="574" spans="1:38" x14ac:dyDescent="0.35">
      <c r="A574" t="s">
        <v>770</v>
      </c>
      <c r="B574" t="s">
        <v>52</v>
      </c>
      <c r="C574" t="s">
        <v>153</v>
      </c>
      <c r="D574">
        <v>5.0999999999999996</v>
      </c>
      <c r="E574" t="s">
        <v>110</v>
      </c>
      <c r="F574">
        <v>30</v>
      </c>
      <c r="G574" t="s">
        <v>42</v>
      </c>
      <c r="H574" t="s">
        <v>63</v>
      </c>
      <c r="I574">
        <v>2</v>
      </c>
      <c r="J574">
        <v>9.1</v>
      </c>
      <c r="K574">
        <v>15</v>
      </c>
      <c r="L574">
        <v>1</v>
      </c>
      <c r="M574">
        <v>12</v>
      </c>
      <c r="N574">
        <v>0</v>
      </c>
      <c r="O574" t="s">
        <v>44</v>
      </c>
      <c r="P574">
        <v>54200</v>
      </c>
      <c r="Q574">
        <v>6.9</v>
      </c>
      <c r="R574">
        <v>2.8</v>
      </c>
      <c r="S574">
        <v>4.7</v>
      </c>
      <c r="T574">
        <v>0</v>
      </c>
      <c r="U574">
        <v>3.6</v>
      </c>
      <c r="V574">
        <v>3.5</v>
      </c>
      <c r="W574">
        <v>2.6</v>
      </c>
      <c r="X574" t="s">
        <v>45</v>
      </c>
      <c r="Y574">
        <v>0</v>
      </c>
      <c r="Z574">
        <v>2</v>
      </c>
      <c r="AA574">
        <v>2.2999999999999998</v>
      </c>
      <c r="AB574">
        <v>0</v>
      </c>
      <c r="AC574" t="s">
        <v>46</v>
      </c>
      <c r="AE574">
        <v>0</v>
      </c>
      <c r="AF574">
        <v>0</v>
      </c>
      <c r="AG574" t="s">
        <v>47</v>
      </c>
      <c r="AH574" t="s">
        <v>83</v>
      </c>
      <c r="AI574" t="s">
        <v>64</v>
      </c>
      <c r="AJ574" s="1" t="s">
        <v>198</v>
      </c>
      <c r="AK574" s="1" t="s">
        <v>84</v>
      </c>
      <c r="AL574">
        <v>0</v>
      </c>
    </row>
    <row r="575" spans="1:38" x14ac:dyDescent="0.35">
      <c r="A575" t="s">
        <v>771</v>
      </c>
      <c r="B575" t="s">
        <v>39</v>
      </c>
      <c r="C575" t="s">
        <v>66</v>
      </c>
      <c r="D575">
        <v>2.1</v>
      </c>
      <c r="E575" t="s">
        <v>67</v>
      </c>
      <c r="F575">
        <v>27</v>
      </c>
      <c r="G575" t="s">
        <v>68</v>
      </c>
      <c r="H575" t="s">
        <v>55</v>
      </c>
      <c r="I575">
        <v>1</v>
      </c>
      <c r="J575">
        <v>10.5</v>
      </c>
      <c r="K575">
        <v>9</v>
      </c>
      <c r="L575">
        <v>4</v>
      </c>
      <c r="M575">
        <v>12</v>
      </c>
      <c r="N575">
        <v>0</v>
      </c>
      <c r="O575" t="s">
        <v>82</v>
      </c>
      <c r="P575">
        <v>31300</v>
      </c>
      <c r="Q575">
        <v>5.6</v>
      </c>
      <c r="R575">
        <v>3.3</v>
      </c>
      <c r="S575">
        <v>1.8</v>
      </c>
      <c r="T575">
        <v>0</v>
      </c>
      <c r="U575">
        <v>2.5</v>
      </c>
      <c r="V575">
        <v>3.4</v>
      </c>
      <c r="W575">
        <v>2.5</v>
      </c>
      <c r="X575" t="s">
        <v>45</v>
      </c>
      <c r="Y575">
        <v>0</v>
      </c>
      <c r="Z575">
        <v>0</v>
      </c>
      <c r="AB575">
        <v>0</v>
      </c>
      <c r="AC575" t="s">
        <v>46</v>
      </c>
      <c r="AE575">
        <v>1</v>
      </c>
      <c r="AF575">
        <v>0</v>
      </c>
      <c r="AG575" t="s">
        <v>75</v>
      </c>
      <c r="AH575" t="s">
        <v>48</v>
      </c>
      <c r="AI575" t="s">
        <v>49</v>
      </c>
      <c r="AJ575" s="1" t="s">
        <v>144</v>
      </c>
      <c r="AK575">
        <v>8.3333333333333301E-2</v>
      </c>
      <c r="AL575">
        <v>0</v>
      </c>
    </row>
    <row r="576" spans="1:38" x14ac:dyDescent="0.35">
      <c r="A576" t="s">
        <v>772</v>
      </c>
      <c r="B576" t="s">
        <v>60</v>
      </c>
      <c r="C576" t="s">
        <v>107</v>
      </c>
      <c r="D576">
        <v>1</v>
      </c>
      <c r="E576" t="s">
        <v>62</v>
      </c>
      <c r="F576">
        <v>28</v>
      </c>
      <c r="G576" t="s">
        <v>42</v>
      </c>
      <c r="H576" t="s">
        <v>94</v>
      </c>
      <c r="I576">
        <v>4</v>
      </c>
      <c r="J576">
        <v>11.6</v>
      </c>
      <c r="K576">
        <v>9</v>
      </c>
      <c r="L576">
        <v>4</v>
      </c>
      <c r="M576">
        <v>12</v>
      </c>
      <c r="N576">
        <v>0</v>
      </c>
      <c r="O576" t="s">
        <v>56</v>
      </c>
      <c r="P576">
        <v>83600</v>
      </c>
      <c r="Q576">
        <v>6</v>
      </c>
      <c r="R576">
        <v>3.1</v>
      </c>
      <c r="S576">
        <v>1.8</v>
      </c>
      <c r="T576">
        <v>0</v>
      </c>
      <c r="U576">
        <v>3.5</v>
      </c>
      <c r="V576">
        <v>2.2000000000000002</v>
      </c>
      <c r="W576">
        <v>3.9</v>
      </c>
      <c r="X576" t="s">
        <v>89</v>
      </c>
      <c r="Y576">
        <v>0</v>
      </c>
      <c r="Z576">
        <v>2</v>
      </c>
      <c r="AA576">
        <v>0.4</v>
      </c>
      <c r="AB576">
        <v>0</v>
      </c>
      <c r="AC576" t="s">
        <v>46</v>
      </c>
      <c r="AE576">
        <v>0</v>
      </c>
      <c r="AF576">
        <v>0</v>
      </c>
      <c r="AG576" t="s">
        <v>47</v>
      </c>
      <c r="AH576" t="s">
        <v>95</v>
      </c>
      <c r="AI576" t="s">
        <v>49</v>
      </c>
      <c r="AJ576" s="1" t="s">
        <v>162</v>
      </c>
      <c r="AK576" s="1" t="s">
        <v>115</v>
      </c>
      <c r="AL576">
        <v>0</v>
      </c>
    </row>
    <row r="577" spans="1:38" x14ac:dyDescent="0.35">
      <c r="A577" t="s">
        <v>773</v>
      </c>
      <c r="B577" t="s">
        <v>117</v>
      </c>
      <c r="C577" t="s">
        <v>197</v>
      </c>
      <c r="D577">
        <v>4.0999999999999996</v>
      </c>
      <c r="E577" t="s">
        <v>110</v>
      </c>
      <c r="F577">
        <v>22</v>
      </c>
      <c r="G577" t="s">
        <v>42</v>
      </c>
      <c r="H577" t="s">
        <v>69</v>
      </c>
      <c r="I577">
        <v>2</v>
      </c>
      <c r="J577">
        <v>14.1</v>
      </c>
      <c r="K577">
        <v>9</v>
      </c>
      <c r="L577">
        <v>4</v>
      </c>
      <c r="M577">
        <v>12</v>
      </c>
      <c r="N577">
        <v>0</v>
      </c>
      <c r="O577" t="s">
        <v>70</v>
      </c>
      <c r="P577">
        <v>38500</v>
      </c>
      <c r="Q577">
        <v>11.9</v>
      </c>
      <c r="R577">
        <v>3.1</v>
      </c>
      <c r="S577">
        <v>0.6</v>
      </c>
      <c r="T577">
        <v>0</v>
      </c>
      <c r="U577">
        <v>3.1</v>
      </c>
      <c r="V577">
        <v>2.8</v>
      </c>
      <c r="W577">
        <v>4.4000000000000004</v>
      </c>
      <c r="X577" t="s">
        <v>89</v>
      </c>
      <c r="Y577">
        <v>0</v>
      </c>
      <c r="Z577">
        <v>1</v>
      </c>
      <c r="AA577">
        <v>3.6</v>
      </c>
      <c r="AB577">
        <v>0</v>
      </c>
      <c r="AC577" t="s">
        <v>46</v>
      </c>
      <c r="AE577">
        <v>0</v>
      </c>
      <c r="AF577">
        <v>0</v>
      </c>
      <c r="AG577" t="s">
        <v>47</v>
      </c>
      <c r="AH577" t="s">
        <v>76</v>
      </c>
      <c r="AI577" t="s">
        <v>49</v>
      </c>
      <c r="AJ577" s="1" t="s">
        <v>174</v>
      </c>
      <c r="AK577" s="1" t="s">
        <v>84</v>
      </c>
      <c r="AL577">
        <v>0</v>
      </c>
    </row>
    <row r="578" spans="1:38" x14ac:dyDescent="0.35">
      <c r="A578" t="s">
        <v>774</v>
      </c>
      <c r="B578" t="s">
        <v>60</v>
      </c>
      <c r="C578" t="s">
        <v>80</v>
      </c>
      <c r="D578">
        <v>3</v>
      </c>
      <c r="E578" t="s">
        <v>62</v>
      </c>
      <c r="F578">
        <v>33</v>
      </c>
      <c r="G578" t="s">
        <v>234</v>
      </c>
      <c r="H578" t="s">
        <v>69</v>
      </c>
      <c r="I578">
        <v>1</v>
      </c>
      <c r="J578">
        <v>6.2</v>
      </c>
      <c r="K578">
        <v>9</v>
      </c>
      <c r="L578">
        <v>2</v>
      </c>
      <c r="M578">
        <v>12</v>
      </c>
      <c r="N578">
        <v>0</v>
      </c>
      <c r="O578" t="s">
        <v>56</v>
      </c>
      <c r="P578">
        <v>103300</v>
      </c>
      <c r="Q578">
        <v>16.7</v>
      </c>
      <c r="R578">
        <v>3</v>
      </c>
      <c r="S578">
        <v>2.7</v>
      </c>
      <c r="T578">
        <v>0</v>
      </c>
      <c r="U578">
        <v>2.6</v>
      </c>
      <c r="V578">
        <v>3.5</v>
      </c>
      <c r="W578">
        <v>3.1</v>
      </c>
      <c r="X578" t="s">
        <v>89</v>
      </c>
      <c r="Y578">
        <v>0</v>
      </c>
      <c r="Z578">
        <v>2</v>
      </c>
      <c r="AA578">
        <v>0.5</v>
      </c>
      <c r="AB578">
        <v>0</v>
      </c>
      <c r="AC578" t="s">
        <v>46</v>
      </c>
      <c r="AE578">
        <v>0</v>
      </c>
      <c r="AF578">
        <v>0</v>
      </c>
      <c r="AG578" t="s">
        <v>47</v>
      </c>
      <c r="AH578" t="s">
        <v>48</v>
      </c>
      <c r="AI578" t="s">
        <v>64</v>
      </c>
      <c r="AJ578" s="1" t="s">
        <v>159</v>
      </c>
      <c r="AK578">
        <v>8.3333333333333301E-2</v>
      </c>
      <c r="AL578">
        <v>0</v>
      </c>
    </row>
    <row r="579" spans="1:38" x14ac:dyDescent="0.35">
      <c r="A579" t="s">
        <v>775</v>
      </c>
      <c r="B579" t="s">
        <v>117</v>
      </c>
      <c r="C579" t="s">
        <v>118</v>
      </c>
      <c r="D579">
        <v>2.2000000000000002</v>
      </c>
      <c r="E579" t="s">
        <v>67</v>
      </c>
      <c r="F579">
        <v>25</v>
      </c>
      <c r="G579" t="s">
        <v>42</v>
      </c>
      <c r="H579" t="s">
        <v>43</v>
      </c>
      <c r="I579">
        <v>4</v>
      </c>
      <c r="J579">
        <v>7.6</v>
      </c>
      <c r="K579">
        <v>10</v>
      </c>
      <c r="L579">
        <v>0</v>
      </c>
      <c r="M579">
        <v>12</v>
      </c>
      <c r="N579">
        <v>0</v>
      </c>
      <c r="O579" t="s">
        <v>70</v>
      </c>
      <c r="P579">
        <v>40300</v>
      </c>
      <c r="Q579">
        <v>9.4</v>
      </c>
      <c r="R579">
        <v>3.2</v>
      </c>
      <c r="S579">
        <v>3</v>
      </c>
      <c r="T579">
        <v>0</v>
      </c>
      <c r="U579">
        <v>2.5</v>
      </c>
      <c r="V579">
        <v>4.4000000000000004</v>
      </c>
      <c r="W579">
        <v>2.5</v>
      </c>
      <c r="X579" t="s">
        <v>45</v>
      </c>
      <c r="Y579">
        <v>0</v>
      </c>
      <c r="Z579">
        <v>0</v>
      </c>
      <c r="AB579">
        <v>0</v>
      </c>
      <c r="AC579" t="s">
        <v>46</v>
      </c>
      <c r="AE579">
        <v>1</v>
      </c>
      <c r="AF579">
        <v>0</v>
      </c>
      <c r="AG579" t="s">
        <v>75</v>
      </c>
      <c r="AH579" t="s">
        <v>48</v>
      </c>
      <c r="AI579" t="s">
        <v>64</v>
      </c>
      <c r="AJ579" s="1" t="s">
        <v>50</v>
      </c>
      <c r="AK579" s="1" t="s">
        <v>115</v>
      </c>
      <c r="AL579">
        <v>0</v>
      </c>
    </row>
    <row r="580" spans="1:38" x14ac:dyDescent="0.35">
      <c r="A580" t="s">
        <v>776</v>
      </c>
      <c r="B580" t="s">
        <v>60</v>
      </c>
      <c r="C580" t="s">
        <v>107</v>
      </c>
      <c r="D580">
        <v>9.1999999999999993</v>
      </c>
      <c r="E580" t="s">
        <v>41</v>
      </c>
      <c r="F580">
        <v>40</v>
      </c>
      <c r="G580" t="s">
        <v>42</v>
      </c>
      <c r="H580" t="s">
        <v>55</v>
      </c>
      <c r="I580">
        <v>2</v>
      </c>
      <c r="J580">
        <v>42.2</v>
      </c>
      <c r="K580">
        <v>14</v>
      </c>
      <c r="L580">
        <v>6</v>
      </c>
      <c r="M580">
        <v>12</v>
      </c>
      <c r="N580">
        <v>0</v>
      </c>
      <c r="O580" t="s">
        <v>56</v>
      </c>
      <c r="P580">
        <v>78300</v>
      </c>
      <c r="Q580">
        <v>4.5999999999999996</v>
      </c>
      <c r="R580">
        <v>3.5</v>
      </c>
      <c r="S580">
        <v>2.1</v>
      </c>
      <c r="T580">
        <v>0</v>
      </c>
      <c r="U580">
        <v>5</v>
      </c>
      <c r="V580">
        <v>4.4000000000000004</v>
      </c>
      <c r="W580">
        <v>2.7</v>
      </c>
      <c r="X580" t="s">
        <v>89</v>
      </c>
      <c r="Y580">
        <v>0</v>
      </c>
      <c r="Z580">
        <v>0</v>
      </c>
      <c r="AB580">
        <v>0</v>
      </c>
      <c r="AC580" t="s">
        <v>46</v>
      </c>
      <c r="AE580">
        <v>1</v>
      </c>
      <c r="AF580">
        <v>0</v>
      </c>
      <c r="AG580" t="s">
        <v>75</v>
      </c>
      <c r="AH580" t="s">
        <v>83</v>
      </c>
      <c r="AI580" t="s">
        <v>57</v>
      </c>
      <c r="AJ580" s="1" t="s">
        <v>156</v>
      </c>
      <c r="AK580" s="1" t="s">
        <v>84</v>
      </c>
      <c r="AL580">
        <v>0</v>
      </c>
    </row>
    <row r="581" spans="1:38" x14ac:dyDescent="0.35">
      <c r="A581" t="s">
        <v>777</v>
      </c>
      <c r="B581" t="s">
        <v>98</v>
      </c>
      <c r="C581" t="s">
        <v>99</v>
      </c>
      <c r="D581">
        <v>5.2</v>
      </c>
      <c r="E581" t="s">
        <v>110</v>
      </c>
      <c r="F581">
        <v>29</v>
      </c>
      <c r="G581" t="s">
        <v>42</v>
      </c>
      <c r="H581" t="s">
        <v>55</v>
      </c>
      <c r="I581">
        <v>3</v>
      </c>
      <c r="J581">
        <v>6.6</v>
      </c>
      <c r="K581">
        <v>13</v>
      </c>
      <c r="L581">
        <v>0</v>
      </c>
      <c r="M581">
        <v>12</v>
      </c>
      <c r="N581">
        <v>0</v>
      </c>
      <c r="O581" t="s">
        <v>44</v>
      </c>
      <c r="P581">
        <v>53700</v>
      </c>
      <c r="Q581">
        <v>8.3000000000000007</v>
      </c>
      <c r="R581">
        <v>3.4</v>
      </c>
      <c r="S581">
        <v>2</v>
      </c>
      <c r="T581">
        <v>0</v>
      </c>
      <c r="U581">
        <v>3.4</v>
      </c>
      <c r="V581">
        <v>5</v>
      </c>
      <c r="W581">
        <v>2.6</v>
      </c>
      <c r="X581" t="s">
        <v>45</v>
      </c>
      <c r="Y581">
        <v>0</v>
      </c>
      <c r="Z581">
        <v>0</v>
      </c>
      <c r="AB581">
        <v>1</v>
      </c>
      <c r="AC581" t="s">
        <v>46</v>
      </c>
      <c r="AE581">
        <v>1</v>
      </c>
      <c r="AF581">
        <v>0</v>
      </c>
      <c r="AG581" t="s">
        <v>75</v>
      </c>
      <c r="AH581" t="s">
        <v>83</v>
      </c>
      <c r="AI581" t="s">
        <v>64</v>
      </c>
      <c r="AJ581" s="1" t="s">
        <v>266</v>
      </c>
      <c r="AK581">
        <v>0.25</v>
      </c>
      <c r="AL581">
        <v>0</v>
      </c>
    </row>
    <row r="582" spans="1:38" x14ac:dyDescent="0.35">
      <c r="A582" t="s">
        <v>778</v>
      </c>
      <c r="B582" t="s">
        <v>52</v>
      </c>
      <c r="C582" t="s">
        <v>93</v>
      </c>
      <c r="D582">
        <v>4.8</v>
      </c>
      <c r="E582" t="s">
        <v>110</v>
      </c>
      <c r="F582">
        <v>31</v>
      </c>
      <c r="G582" t="s">
        <v>42</v>
      </c>
      <c r="H582" t="s">
        <v>63</v>
      </c>
      <c r="I582">
        <v>2</v>
      </c>
      <c r="J582">
        <v>11.1</v>
      </c>
      <c r="K582">
        <v>5</v>
      </c>
      <c r="L582">
        <v>0</v>
      </c>
      <c r="M582">
        <v>12</v>
      </c>
      <c r="N582">
        <v>0</v>
      </c>
      <c r="O582" t="s">
        <v>44</v>
      </c>
      <c r="P582">
        <v>63000</v>
      </c>
      <c r="Q582">
        <v>6.6</v>
      </c>
      <c r="R582">
        <v>4.2</v>
      </c>
      <c r="S582">
        <v>0.2</v>
      </c>
      <c r="T582">
        <v>0</v>
      </c>
      <c r="U582">
        <v>2.9</v>
      </c>
      <c r="V582">
        <v>3.6</v>
      </c>
      <c r="W582">
        <v>3.6</v>
      </c>
      <c r="X582" t="s">
        <v>45</v>
      </c>
      <c r="Y582">
        <v>0</v>
      </c>
      <c r="Z582">
        <v>2</v>
      </c>
      <c r="AA582">
        <v>3.4</v>
      </c>
      <c r="AB582">
        <v>2</v>
      </c>
      <c r="AC582" t="s">
        <v>46</v>
      </c>
      <c r="AE582">
        <v>0</v>
      </c>
      <c r="AF582">
        <v>0</v>
      </c>
      <c r="AG582" t="s">
        <v>47</v>
      </c>
      <c r="AH582" t="s">
        <v>76</v>
      </c>
      <c r="AI582" t="s">
        <v>49</v>
      </c>
      <c r="AJ582" s="1" t="s">
        <v>86</v>
      </c>
      <c r="AK582" s="1" t="s">
        <v>84</v>
      </c>
      <c r="AL582">
        <v>0</v>
      </c>
    </row>
    <row r="583" spans="1:38" x14ac:dyDescent="0.35">
      <c r="A583" t="s">
        <v>779</v>
      </c>
      <c r="B583" t="s">
        <v>117</v>
      </c>
      <c r="C583" t="s">
        <v>118</v>
      </c>
      <c r="D583">
        <v>5.3</v>
      </c>
      <c r="E583" t="s">
        <v>62</v>
      </c>
      <c r="F583">
        <v>39</v>
      </c>
      <c r="G583" t="s">
        <v>42</v>
      </c>
      <c r="H583" t="s">
        <v>69</v>
      </c>
      <c r="I583">
        <v>2</v>
      </c>
      <c r="J583">
        <v>9.1999999999999993</v>
      </c>
      <c r="K583">
        <v>8</v>
      </c>
      <c r="L583">
        <v>6</v>
      </c>
      <c r="M583">
        <v>12</v>
      </c>
      <c r="N583">
        <v>0</v>
      </c>
      <c r="O583" t="s">
        <v>56</v>
      </c>
      <c r="P583">
        <v>103300</v>
      </c>
      <c r="Q583">
        <v>11.6</v>
      </c>
      <c r="R583">
        <v>2.7</v>
      </c>
      <c r="S583">
        <v>1.8</v>
      </c>
      <c r="T583">
        <v>0</v>
      </c>
      <c r="U583">
        <v>2.8</v>
      </c>
      <c r="V583">
        <v>2.8</v>
      </c>
      <c r="W583">
        <v>3.3</v>
      </c>
      <c r="X583" t="s">
        <v>45</v>
      </c>
      <c r="Y583">
        <v>0</v>
      </c>
      <c r="Z583">
        <v>0</v>
      </c>
      <c r="AB583">
        <v>0</v>
      </c>
      <c r="AC583" t="s">
        <v>46</v>
      </c>
      <c r="AE583">
        <v>1</v>
      </c>
      <c r="AF583">
        <v>0</v>
      </c>
      <c r="AG583" t="s">
        <v>75</v>
      </c>
      <c r="AH583" t="s">
        <v>83</v>
      </c>
      <c r="AI583" t="s">
        <v>64</v>
      </c>
      <c r="AJ583" s="1" t="s">
        <v>146</v>
      </c>
      <c r="AK583" s="1" t="s">
        <v>84</v>
      </c>
      <c r="AL583">
        <v>0</v>
      </c>
    </row>
    <row r="584" spans="1:38" x14ac:dyDescent="0.35">
      <c r="A584" t="s">
        <v>780</v>
      </c>
      <c r="B584" t="s">
        <v>73</v>
      </c>
      <c r="C584" t="s">
        <v>113</v>
      </c>
      <c r="D584">
        <v>5.0999999999999996</v>
      </c>
      <c r="E584" t="s">
        <v>110</v>
      </c>
      <c r="F584">
        <v>30</v>
      </c>
      <c r="G584" t="s">
        <v>68</v>
      </c>
      <c r="H584" t="s">
        <v>43</v>
      </c>
      <c r="I584">
        <v>2</v>
      </c>
      <c r="J584">
        <v>10.8</v>
      </c>
      <c r="K584">
        <v>12</v>
      </c>
      <c r="L584">
        <v>3</v>
      </c>
      <c r="M584">
        <v>12</v>
      </c>
      <c r="N584">
        <v>0</v>
      </c>
      <c r="O584" t="s">
        <v>44</v>
      </c>
      <c r="P584">
        <v>50800</v>
      </c>
      <c r="Q584">
        <v>9.1999999999999993</v>
      </c>
      <c r="R584">
        <v>3.4</v>
      </c>
      <c r="S584">
        <v>3.9</v>
      </c>
      <c r="T584">
        <v>0</v>
      </c>
      <c r="U584">
        <v>3.7</v>
      </c>
      <c r="V584">
        <v>3.1</v>
      </c>
      <c r="W584">
        <v>3.7</v>
      </c>
      <c r="X584" t="s">
        <v>45</v>
      </c>
      <c r="Y584">
        <v>0</v>
      </c>
      <c r="Z584">
        <v>0</v>
      </c>
      <c r="AB584">
        <v>0</v>
      </c>
      <c r="AC584" t="s">
        <v>46</v>
      </c>
      <c r="AE584">
        <v>1</v>
      </c>
      <c r="AF584">
        <v>0</v>
      </c>
      <c r="AG584" t="s">
        <v>75</v>
      </c>
      <c r="AH584" t="s">
        <v>83</v>
      </c>
      <c r="AI584" t="s">
        <v>49</v>
      </c>
      <c r="AJ584">
        <v>3.5</v>
      </c>
      <c r="AK584" s="1" t="s">
        <v>84</v>
      </c>
      <c r="AL584">
        <v>0</v>
      </c>
    </row>
    <row r="585" spans="1:38" x14ac:dyDescent="0.35">
      <c r="A585" t="s">
        <v>781</v>
      </c>
      <c r="B585" t="s">
        <v>98</v>
      </c>
      <c r="C585" t="s">
        <v>99</v>
      </c>
      <c r="D585">
        <v>3.2</v>
      </c>
      <c r="E585" t="s">
        <v>41</v>
      </c>
      <c r="F585">
        <v>34</v>
      </c>
      <c r="G585" t="s">
        <v>42</v>
      </c>
      <c r="H585" t="s">
        <v>43</v>
      </c>
      <c r="I585">
        <v>2</v>
      </c>
      <c r="J585">
        <v>21.8</v>
      </c>
      <c r="K585">
        <v>10</v>
      </c>
      <c r="L585">
        <v>3</v>
      </c>
      <c r="M585">
        <v>12</v>
      </c>
      <c r="N585">
        <v>0</v>
      </c>
      <c r="O585" t="s">
        <v>44</v>
      </c>
      <c r="P585">
        <v>72500</v>
      </c>
      <c r="Q585">
        <v>1.7</v>
      </c>
      <c r="R585">
        <v>5</v>
      </c>
      <c r="S585">
        <v>1.8</v>
      </c>
      <c r="T585">
        <v>0</v>
      </c>
      <c r="U585">
        <v>2.7</v>
      </c>
      <c r="V585">
        <v>3.1</v>
      </c>
      <c r="W585">
        <v>3.7</v>
      </c>
      <c r="X585" t="s">
        <v>45</v>
      </c>
      <c r="Y585">
        <v>0</v>
      </c>
      <c r="Z585">
        <v>1</v>
      </c>
      <c r="AA585">
        <v>0.9</v>
      </c>
      <c r="AB585">
        <v>0</v>
      </c>
      <c r="AC585" t="s">
        <v>46</v>
      </c>
      <c r="AE585">
        <v>0</v>
      </c>
      <c r="AF585">
        <v>0</v>
      </c>
      <c r="AG585" t="s">
        <v>47</v>
      </c>
      <c r="AH585" t="s">
        <v>76</v>
      </c>
      <c r="AI585" t="s">
        <v>57</v>
      </c>
      <c r="AJ585" s="1" t="s">
        <v>100</v>
      </c>
      <c r="AK585" s="1" t="s">
        <v>84</v>
      </c>
      <c r="AL585">
        <v>0</v>
      </c>
    </row>
    <row r="586" spans="1:38" x14ac:dyDescent="0.35">
      <c r="A586" t="s">
        <v>782</v>
      </c>
      <c r="B586" t="s">
        <v>60</v>
      </c>
      <c r="C586" t="s">
        <v>61</v>
      </c>
      <c r="D586">
        <v>2.1</v>
      </c>
      <c r="E586" t="s">
        <v>110</v>
      </c>
      <c r="F586">
        <v>28</v>
      </c>
      <c r="G586" t="s">
        <v>42</v>
      </c>
      <c r="H586" t="s">
        <v>55</v>
      </c>
      <c r="I586">
        <v>2</v>
      </c>
      <c r="J586">
        <v>8.8000000000000007</v>
      </c>
      <c r="K586">
        <v>6</v>
      </c>
      <c r="L586">
        <v>2</v>
      </c>
      <c r="M586">
        <v>12</v>
      </c>
      <c r="N586">
        <v>0</v>
      </c>
      <c r="O586" t="s">
        <v>44</v>
      </c>
      <c r="P586">
        <v>64900</v>
      </c>
      <c r="Q586">
        <v>12.4</v>
      </c>
      <c r="R586">
        <v>3.2</v>
      </c>
      <c r="S586">
        <v>2.4</v>
      </c>
      <c r="T586">
        <v>0</v>
      </c>
      <c r="U586">
        <v>2.2999999999999998</v>
      </c>
      <c r="V586">
        <v>2.8</v>
      </c>
      <c r="W586">
        <v>4.0999999999999996</v>
      </c>
      <c r="X586" t="s">
        <v>45</v>
      </c>
      <c r="Y586">
        <v>0</v>
      </c>
      <c r="Z586">
        <v>0</v>
      </c>
      <c r="AB586">
        <v>2</v>
      </c>
      <c r="AC586" t="s">
        <v>46</v>
      </c>
      <c r="AE586">
        <v>1</v>
      </c>
      <c r="AF586">
        <v>0</v>
      </c>
      <c r="AG586" t="s">
        <v>75</v>
      </c>
      <c r="AH586" t="s">
        <v>48</v>
      </c>
      <c r="AI586" t="s">
        <v>64</v>
      </c>
      <c r="AJ586" s="1" t="s">
        <v>159</v>
      </c>
      <c r="AK586" s="1" t="s">
        <v>84</v>
      </c>
      <c r="AL586">
        <v>0</v>
      </c>
    </row>
    <row r="587" spans="1:38" x14ac:dyDescent="0.35">
      <c r="A587" t="s">
        <v>783</v>
      </c>
      <c r="B587" t="s">
        <v>39</v>
      </c>
      <c r="C587" t="s">
        <v>66</v>
      </c>
      <c r="D587">
        <v>4.0999999999999996</v>
      </c>
      <c r="E587" t="s">
        <v>81</v>
      </c>
      <c r="F587">
        <v>32</v>
      </c>
      <c r="G587" t="s">
        <v>54</v>
      </c>
      <c r="H587" t="s">
        <v>55</v>
      </c>
      <c r="I587">
        <v>5</v>
      </c>
      <c r="J587">
        <v>3.5</v>
      </c>
      <c r="K587">
        <v>5</v>
      </c>
      <c r="L587">
        <v>2</v>
      </c>
      <c r="M587">
        <v>12</v>
      </c>
      <c r="N587">
        <v>0</v>
      </c>
      <c r="O587" t="s">
        <v>82</v>
      </c>
      <c r="P587">
        <v>31000</v>
      </c>
      <c r="Q587">
        <v>11.9</v>
      </c>
      <c r="R587">
        <v>3.2</v>
      </c>
      <c r="S587">
        <v>0.9</v>
      </c>
      <c r="T587">
        <v>0</v>
      </c>
      <c r="U587">
        <v>3.3</v>
      </c>
      <c r="V587">
        <v>3.5</v>
      </c>
      <c r="W587">
        <v>3.1</v>
      </c>
      <c r="X587" t="s">
        <v>45</v>
      </c>
      <c r="Y587">
        <v>0</v>
      </c>
      <c r="Z587">
        <v>2</v>
      </c>
      <c r="AA587">
        <v>1.8</v>
      </c>
      <c r="AB587">
        <v>1</v>
      </c>
      <c r="AC587" t="s">
        <v>46</v>
      </c>
      <c r="AE587">
        <v>0</v>
      </c>
      <c r="AF587">
        <v>0</v>
      </c>
      <c r="AG587" t="s">
        <v>47</v>
      </c>
      <c r="AH587" t="s">
        <v>76</v>
      </c>
      <c r="AI587" t="s">
        <v>64</v>
      </c>
      <c r="AJ587" s="1" t="s">
        <v>71</v>
      </c>
      <c r="AK587" s="1" t="s">
        <v>127</v>
      </c>
      <c r="AL587">
        <v>0</v>
      </c>
    </row>
    <row r="588" spans="1:38" x14ac:dyDescent="0.35">
      <c r="A588" t="s">
        <v>784</v>
      </c>
      <c r="B588" t="s">
        <v>73</v>
      </c>
      <c r="C588" t="s">
        <v>113</v>
      </c>
      <c r="D588">
        <v>3.1</v>
      </c>
      <c r="E588" t="s">
        <v>110</v>
      </c>
      <c r="F588">
        <v>29</v>
      </c>
      <c r="G588" t="s">
        <v>68</v>
      </c>
      <c r="H588" t="s">
        <v>69</v>
      </c>
      <c r="I588">
        <v>3</v>
      </c>
      <c r="J588">
        <v>6.1</v>
      </c>
      <c r="K588">
        <v>13</v>
      </c>
      <c r="L588">
        <v>2</v>
      </c>
      <c r="M588">
        <v>12</v>
      </c>
      <c r="N588">
        <v>0</v>
      </c>
      <c r="O588" t="s">
        <v>44</v>
      </c>
      <c r="P588">
        <v>50400</v>
      </c>
      <c r="Q588">
        <v>14</v>
      </c>
      <c r="R588">
        <v>2.1</v>
      </c>
      <c r="S588">
        <v>0.6</v>
      </c>
      <c r="T588">
        <v>0</v>
      </c>
      <c r="U588">
        <v>3.3</v>
      </c>
      <c r="V588">
        <v>3.6</v>
      </c>
      <c r="W588">
        <v>2.8</v>
      </c>
      <c r="X588" t="s">
        <v>45</v>
      </c>
      <c r="Y588">
        <v>0</v>
      </c>
      <c r="Z588">
        <v>0</v>
      </c>
      <c r="AB588">
        <v>0</v>
      </c>
      <c r="AC588" t="s">
        <v>46</v>
      </c>
      <c r="AE588">
        <v>1</v>
      </c>
      <c r="AF588">
        <v>0</v>
      </c>
      <c r="AG588" t="s">
        <v>75</v>
      </c>
      <c r="AH588" t="s">
        <v>76</v>
      </c>
      <c r="AI588" t="s">
        <v>64</v>
      </c>
      <c r="AJ588" s="1" t="s">
        <v>198</v>
      </c>
      <c r="AK588">
        <v>0.25</v>
      </c>
      <c r="AL588">
        <v>0</v>
      </c>
    </row>
    <row r="589" spans="1:38" x14ac:dyDescent="0.35">
      <c r="A589" t="s">
        <v>785</v>
      </c>
      <c r="B589" t="s">
        <v>98</v>
      </c>
      <c r="C589" t="s">
        <v>148</v>
      </c>
      <c r="D589">
        <v>0.6</v>
      </c>
      <c r="E589" t="s">
        <v>67</v>
      </c>
      <c r="F589">
        <v>30</v>
      </c>
      <c r="G589" t="s">
        <v>54</v>
      </c>
      <c r="H589" t="s">
        <v>43</v>
      </c>
      <c r="I589">
        <v>5</v>
      </c>
      <c r="J589">
        <v>8.8000000000000007</v>
      </c>
      <c r="K589">
        <v>6</v>
      </c>
      <c r="L589">
        <v>0</v>
      </c>
      <c r="M589">
        <v>12</v>
      </c>
      <c r="N589">
        <v>0</v>
      </c>
      <c r="O589" t="s">
        <v>70</v>
      </c>
      <c r="P589">
        <v>37800</v>
      </c>
      <c r="Q589">
        <v>5.9</v>
      </c>
      <c r="R589">
        <v>2.6</v>
      </c>
      <c r="S589">
        <v>0.3</v>
      </c>
      <c r="T589">
        <v>0</v>
      </c>
      <c r="U589">
        <v>2.9</v>
      </c>
      <c r="V589">
        <v>2.1</v>
      </c>
      <c r="W589">
        <v>3.5</v>
      </c>
      <c r="X589" t="s">
        <v>45</v>
      </c>
      <c r="Y589">
        <v>0</v>
      </c>
      <c r="Z589">
        <v>0</v>
      </c>
      <c r="AB589">
        <v>1</v>
      </c>
      <c r="AC589" t="s">
        <v>46</v>
      </c>
      <c r="AE589">
        <v>1</v>
      </c>
      <c r="AF589">
        <v>0</v>
      </c>
      <c r="AG589" t="s">
        <v>75</v>
      </c>
      <c r="AH589" t="s">
        <v>95</v>
      </c>
      <c r="AI589" t="s">
        <v>64</v>
      </c>
      <c r="AJ589" s="1" t="s">
        <v>212</v>
      </c>
      <c r="AK589" s="1" t="s">
        <v>127</v>
      </c>
      <c r="AL589">
        <v>0</v>
      </c>
    </row>
    <row r="590" spans="1:38" x14ac:dyDescent="0.35">
      <c r="A590" t="s">
        <v>786</v>
      </c>
      <c r="B590" t="s">
        <v>73</v>
      </c>
      <c r="C590" t="s">
        <v>74</v>
      </c>
      <c r="D590">
        <v>1.6</v>
      </c>
      <c r="E590" t="s">
        <v>41</v>
      </c>
      <c r="F590">
        <v>25</v>
      </c>
      <c r="G590" t="s">
        <v>68</v>
      </c>
      <c r="H590" t="s">
        <v>94</v>
      </c>
      <c r="I590">
        <v>3</v>
      </c>
      <c r="J590">
        <v>11.9</v>
      </c>
      <c r="K590">
        <v>6</v>
      </c>
      <c r="L590">
        <v>4</v>
      </c>
      <c r="M590">
        <v>12</v>
      </c>
      <c r="N590">
        <v>0</v>
      </c>
      <c r="O590" t="s">
        <v>44</v>
      </c>
      <c r="P590">
        <v>73900</v>
      </c>
      <c r="Q590">
        <v>9.1999999999999993</v>
      </c>
      <c r="R590">
        <v>3.1</v>
      </c>
      <c r="S590">
        <v>3.4</v>
      </c>
      <c r="T590">
        <v>0</v>
      </c>
      <c r="U590">
        <v>2.5</v>
      </c>
      <c r="V590">
        <v>4.2</v>
      </c>
      <c r="W590">
        <v>3.4</v>
      </c>
      <c r="X590" t="s">
        <v>45</v>
      </c>
      <c r="Y590">
        <v>0</v>
      </c>
      <c r="Z590">
        <v>3</v>
      </c>
      <c r="AB590">
        <v>2</v>
      </c>
      <c r="AC590" t="s">
        <v>46</v>
      </c>
      <c r="AE590">
        <v>1</v>
      </c>
      <c r="AF590">
        <v>0</v>
      </c>
      <c r="AG590" t="s">
        <v>47</v>
      </c>
      <c r="AH590" t="s">
        <v>48</v>
      </c>
      <c r="AI590" t="s">
        <v>49</v>
      </c>
      <c r="AJ590" s="1" t="s">
        <v>86</v>
      </c>
      <c r="AK590">
        <v>0.25</v>
      </c>
      <c r="AL590">
        <v>0</v>
      </c>
    </row>
    <row r="591" spans="1:38" x14ac:dyDescent="0.35">
      <c r="A591" t="s">
        <v>787</v>
      </c>
      <c r="B591" t="s">
        <v>73</v>
      </c>
      <c r="C591" t="s">
        <v>113</v>
      </c>
      <c r="D591">
        <v>2.8</v>
      </c>
      <c r="E591" t="s">
        <v>41</v>
      </c>
      <c r="F591">
        <v>25</v>
      </c>
      <c r="G591" t="s">
        <v>42</v>
      </c>
      <c r="H591" t="s">
        <v>69</v>
      </c>
      <c r="I591">
        <v>3</v>
      </c>
      <c r="J591">
        <v>5.0999999999999996</v>
      </c>
      <c r="K591">
        <v>13</v>
      </c>
      <c r="L591">
        <v>2</v>
      </c>
      <c r="M591">
        <v>12</v>
      </c>
      <c r="N591">
        <v>0</v>
      </c>
      <c r="O591" t="s">
        <v>44</v>
      </c>
      <c r="P591">
        <v>67300</v>
      </c>
      <c r="Q591">
        <v>3.3</v>
      </c>
      <c r="R591">
        <v>3.7</v>
      </c>
      <c r="S591">
        <v>1.1000000000000001</v>
      </c>
      <c r="T591">
        <v>0</v>
      </c>
      <c r="U591">
        <v>3.3</v>
      </c>
      <c r="V591">
        <v>1.5</v>
      </c>
      <c r="W591">
        <v>3.6</v>
      </c>
      <c r="X591" t="s">
        <v>45</v>
      </c>
      <c r="Y591">
        <v>1</v>
      </c>
      <c r="Z591">
        <v>0</v>
      </c>
      <c r="AB591">
        <v>0</v>
      </c>
      <c r="AC591" t="s">
        <v>46</v>
      </c>
      <c r="AE591">
        <v>1</v>
      </c>
      <c r="AF591">
        <v>0</v>
      </c>
      <c r="AG591" t="s">
        <v>75</v>
      </c>
      <c r="AH591" t="s">
        <v>48</v>
      </c>
      <c r="AI591" t="s">
        <v>64</v>
      </c>
      <c r="AJ591" s="1" t="s">
        <v>144</v>
      </c>
      <c r="AK591">
        <v>0.25</v>
      </c>
      <c r="AL591">
        <v>0</v>
      </c>
    </row>
    <row r="592" spans="1:38" x14ac:dyDescent="0.35">
      <c r="A592" t="s">
        <v>788</v>
      </c>
      <c r="B592" t="s">
        <v>60</v>
      </c>
      <c r="C592" t="s">
        <v>80</v>
      </c>
      <c r="D592">
        <v>7</v>
      </c>
      <c r="E592" t="s">
        <v>81</v>
      </c>
      <c r="F592">
        <v>30</v>
      </c>
      <c r="G592" t="s">
        <v>42</v>
      </c>
      <c r="H592" t="s">
        <v>69</v>
      </c>
      <c r="I592">
        <v>3</v>
      </c>
      <c r="J592">
        <v>5.7</v>
      </c>
      <c r="K592">
        <v>10</v>
      </c>
      <c r="L592">
        <v>3</v>
      </c>
      <c r="M592">
        <v>12</v>
      </c>
      <c r="N592">
        <v>0</v>
      </c>
      <c r="O592" t="s">
        <v>82</v>
      </c>
      <c r="P592">
        <v>28300</v>
      </c>
      <c r="Q592">
        <v>7.8</v>
      </c>
      <c r="R592">
        <v>3.8</v>
      </c>
      <c r="S592">
        <v>3</v>
      </c>
      <c r="T592">
        <v>0</v>
      </c>
      <c r="U592">
        <v>2.9</v>
      </c>
      <c r="V592">
        <v>3</v>
      </c>
      <c r="W592">
        <v>2.8</v>
      </c>
      <c r="X592" t="s">
        <v>45</v>
      </c>
      <c r="Y592">
        <v>0</v>
      </c>
      <c r="Z592">
        <v>1</v>
      </c>
      <c r="AA592">
        <v>2</v>
      </c>
      <c r="AB592">
        <v>1</v>
      </c>
      <c r="AC592" t="s">
        <v>46</v>
      </c>
      <c r="AE592">
        <v>0</v>
      </c>
      <c r="AF592">
        <v>0</v>
      </c>
      <c r="AG592" t="s">
        <v>47</v>
      </c>
      <c r="AH592" t="s">
        <v>83</v>
      </c>
      <c r="AI592" t="s">
        <v>64</v>
      </c>
      <c r="AJ592">
        <v>2.9</v>
      </c>
      <c r="AK592">
        <v>0.25</v>
      </c>
      <c r="AL592">
        <v>0</v>
      </c>
    </row>
    <row r="593" spans="1:38" x14ac:dyDescent="0.35">
      <c r="A593" t="s">
        <v>789</v>
      </c>
      <c r="B593" t="s">
        <v>52</v>
      </c>
      <c r="C593" t="s">
        <v>93</v>
      </c>
      <c r="D593">
        <v>4.0999999999999996</v>
      </c>
      <c r="E593" t="s">
        <v>81</v>
      </c>
      <c r="F593">
        <v>30</v>
      </c>
      <c r="G593" t="s">
        <v>42</v>
      </c>
      <c r="H593" t="s">
        <v>94</v>
      </c>
      <c r="I593">
        <v>1</v>
      </c>
      <c r="J593">
        <v>12.2</v>
      </c>
      <c r="K593">
        <v>8</v>
      </c>
      <c r="L593">
        <v>3</v>
      </c>
      <c r="M593">
        <v>12</v>
      </c>
      <c r="N593">
        <v>0</v>
      </c>
      <c r="O593" t="s">
        <v>82</v>
      </c>
      <c r="P593">
        <v>28800</v>
      </c>
      <c r="Q593">
        <v>9.6</v>
      </c>
      <c r="R593">
        <v>3.5</v>
      </c>
      <c r="S593">
        <v>0.8</v>
      </c>
      <c r="T593">
        <v>0</v>
      </c>
      <c r="U593">
        <v>2.8</v>
      </c>
      <c r="V593">
        <v>4.2</v>
      </c>
      <c r="W593">
        <v>3.9</v>
      </c>
      <c r="X593" t="s">
        <v>45</v>
      </c>
      <c r="Y593">
        <v>0</v>
      </c>
      <c r="Z593">
        <v>0</v>
      </c>
      <c r="AB593">
        <v>0</v>
      </c>
      <c r="AC593" t="s">
        <v>46</v>
      </c>
      <c r="AE593">
        <v>1</v>
      </c>
      <c r="AF593">
        <v>0</v>
      </c>
      <c r="AG593" t="s">
        <v>75</v>
      </c>
      <c r="AH593" t="s">
        <v>76</v>
      </c>
      <c r="AI593" t="s">
        <v>49</v>
      </c>
      <c r="AJ593" s="1" t="s">
        <v>190</v>
      </c>
      <c r="AK593">
        <v>8.3333333333333301E-2</v>
      </c>
      <c r="AL593">
        <v>0</v>
      </c>
    </row>
    <row r="594" spans="1:38" x14ac:dyDescent="0.35">
      <c r="A594" t="s">
        <v>790</v>
      </c>
      <c r="B594" t="s">
        <v>98</v>
      </c>
      <c r="C594" t="s">
        <v>791</v>
      </c>
      <c r="D594">
        <v>1.8</v>
      </c>
      <c r="E594" t="s">
        <v>81</v>
      </c>
      <c r="F594">
        <v>27</v>
      </c>
      <c r="G594" t="s">
        <v>42</v>
      </c>
      <c r="H594" t="s">
        <v>55</v>
      </c>
      <c r="I594">
        <v>5</v>
      </c>
      <c r="J594">
        <v>12.5</v>
      </c>
      <c r="K594">
        <v>13</v>
      </c>
      <c r="L594">
        <v>2</v>
      </c>
      <c r="M594">
        <v>12</v>
      </c>
      <c r="N594">
        <v>0</v>
      </c>
      <c r="O594" t="s">
        <v>82</v>
      </c>
      <c r="P594">
        <v>33100</v>
      </c>
      <c r="Q594">
        <v>5.5</v>
      </c>
      <c r="R594">
        <v>3.9</v>
      </c>
      <c r="S594">
        <v>3.2</v>
      </c>
      <c r="T594">
        <v>0</v>
      </c>
      <c r="U594">
        <v>3.3</v>
      </c>
      <c r="V594">
        <v>3.7</v>
      </c>
      <c r="W594">
        <v>2.5</v>
      </c>
      <c r="X594" t="s">
        <v>45</v>
      </c>
      <c r="Y594">
        <v>1</v>
      </c>
      <c r="Z594">
        <v>1</v>
      </c>
      <c r="AA594">
        <v>1.7</v>
      </c>
      <c r="AB594">
        <v>0</v>
      </c>
      <c r="AC594" t="s">
        <v>46</v>
      </c>
      <c r="AE594">
        <v>0</v>
      </c>
      <c r="AF594">
        <v>0</v>
      </c>
      <c r="AG594" t="s">
        <v>47</v>
      </c>
      <c r="AH594" t="s">
        <v>48</v>
      </c>
      <c r="AI594" t="s">
        <v>49</v>
      </c>
      <c r="AJ594" s="1" t="s">
        <v>100</v>
      </c>
      <c r="AK594" s="1" t="s">
        <v>127</v>
      </c>
      <c r="AL594">
        <v>0</v>
      </c>
    </row>
    <row r="595" spans="1:38" x14ac:dyDescent="0.35">
      <c r="A595" t="s">
        <v>792</v>
      </c>
      <c r="B595" t="s">
        <v>117</v>
      </c>
      <c r="C595" t="s">
        <v>197</v>
      </c>
      <c r="D595">
        <v>1.4</v>
      </c>
      <c r="E595" t="s">
        <v>67</v>
      </c>
      <c r="F595">
        <v>30</v>
      </c>
      <c r="G595" t="s">
        <v>42</v>
      </c>
      <c r="H595" t="s">
        <v>69</v>
      </c>
      <c r="I595">
        <v>3</v>
      </c>
      <c r="J595">
        <v>19.7</v>
      </c>
      <c r="K595">
        <v>5</v>
      </c>
      <c r="L595">
        <v>4</v>
      </c>
      <c r="M595">
        <v>12</v>
      </c>
      <c r="N595">
        <v>0</v>
      </c>
      <c r="O595" t="s">
        <v>70</v>
      </c>
      <c r="P595">
        <v>41600</v>
      </c>
      <c r="Q595">
        <v>9.4</v>
      </c>
      <c r="R595">
        <v>2.2999999999999998</v>
      </c>
      <c r="S595">
        <v>1.3</v>
      </c>
      <c r="T595">
        <v>0</v>
      </c>
      <c r="U595">
        <v>5</v>
      </c>
      <c r="V595">
        <v>3.3</v>
      </c>
      <c r="W595">
        <v>3</v>
      </c>
      <c r="X595" t="s">
        <v>89</v>
      </c>
      <c r="Y595">
        <v>1</v>
      </c>
      <c r="Z595">
        <v>0</v>
      </c>
      <c r="AB595">
        <v>0</v>
      </c>
      <c r="AC595" t="s">
        <v>46</v>
      </c>
      <c r="AE595">
        <v>1</v>
      </c>
      <c r="AF595">
        <v>0</v>
      </c>
      <c r="AG595" t="s">
        <v>75</v>
      </c>
      <c r="AH595" t="s">
        <v>48</v>
      </c>
      <c r="AI595" t="s">
        <v>49</v>
      </c>
      <c r="AJ595" s="1" t="s">
        <v>459</v>
      </c>
      <c r="AK595">
        <v>0.25</v>
      </c>
      <c r="AL595">
        <v>0</v>
      </c>
    </row>
    <row r="596" spans="1:38" x14ac:dyDescent="0.35">
      <c r="A596" t="s">
        <v>793</v>
      </c>
      <c r="B596" t="s">
        <v>73</v>
      </c>
      <c r="C596" t="s">
        <v>113</v>
      </c>
      <c r="D596">
        <v>8</v>
      </c>
      <c r="E596" t="s">
        <v>81</v>
      </c>
      <c r="F596">
        <v>39</v>
      </c>
      <c r="G596" t="s">
        <v>68</v>
      </c>
      <c r="H596" t="s">
        <v>69</v>
      </c>
      <c r="I596">
        <v>2</v>
      </c>
      <c r="J596">
        <v>6.1</v>
      </c>
      <c r="K596">
        <v>5</v>
      </c>
      <c r="L596">
        <v>2</v>
      </c>
      <c r="M596">
        <v>12</v>
      </c>
      <c r="N596">
        <v>0</v>
      </c>
      <c r="O596" t="s">
        <v>82</v>
      </c>
      <c r="P596">
        <v>29000</v>
      </c>
      <c r="Q596">
        <v>8.6999999999999993</v>
      </c>
      <c r="R596">
        <v>3.6</v>
      </c>
      <c r="S596">
        <v>0.9</v>
      </c>
      <c r="T596">
        <v>0</v>
      </c>
      <c r="U596">
        <v>4.5</v>
      </c>
      <c r="V596">
        <v>5</v>
      </c>
      <c r="W596">
        <v>4.3</v>
      </c>
      <c r="X596" t="s">
        <v>45</v>
      </c>
      <c r="Y596">
        <v>0</v>
      </c>
      <c r="Z596">
        <v>0</v>
      </c>
      <c r="AB596">
        <v>0</v>
      </c>
      <c r="AC596" t="s">
        <v>46</v>
      </c>
      <c r="AE596">
        <v>1</v>
      </c>
      <c r="AF596">
        <v>0</v>
      </c>
      <c r="AG596" t="s">
        <v>75</v>
      </c>
      <c r="AH596" t="s">
        <v>83</v>
      </c>
      <c r="AI596" t="s">
        <v>64</v>
      </c>
      <c r="AJ596" s="1" t="s">
        <v>463</v>
      </c>
      <c r="AK596" s="1" t="s">
        <v>84</v>
      </c>
      <c r="AL596">
        <v>0</v>
      </c>
    </row>
    <row r="597" spans="1:38" x14ac:dyDescent="0.35">
      <c r="A597" t="s">
        <v>794</v>
      </c>
      <c r="B597" t="s">
        <v>98</v>
      </c>
      <c r="C597" t="s">
        <v>148</v>
      </c>
      <c r="D597">
        <v>3.3</v>
      </c>
      <c r="E597" t="s">
        <v>110</v>
      </c>
      <c r="F597">
        <v>25</v>
      </c>
      <c r="G597" t="s">
        <v>42</v>
      </c>
      <c r="H597" t="s">
        <v>55</v>
      </c>
      <c r="I597">
        <v>3</v>
      </c>
      <c r="J597">
        <v>15.1</v>
      </c>
      <c r="K597">
        <v>9</v>
      </c>
      <c r="L597">
        <v>1</v>
      </c>
      <c r="M597">
        <v>12</v>
      </c>
      <c r="N597">
        <v>0</v>
      </c>
      <c r="O597" t="s">
        <v>44</v>
      </c>
      <c r="P597">
        <v>58500</v>
      </c>
      <c r="Q597">
        <v>6.2</v>
      </c>
      <c r="R597">
        <v>3.2</v>
      </c>
      <c r="S597">
        <v>0.9</v>
      </c>
      <c r="T597">
        <v>0</v>
      </c>
      <c r="U597">
        <v>5</v>
      </c>
      <c r="V597">
        <v>2.8</v>
      </c>
      <c r="W597">
        <v>2.5</v>
      </c>
      <c r="X597" t="s">
        <v>45</v>
      </c>
      <c r="Y597">
        <v>0</v>
      </c>
      <c r="Z597">
        <v>0</v>
      </c>
      <c r="AB597">
        <v>0</v>
      </c>
      <c r="AC597" t="s">
        <v>46</v>
      </c>
      <c r="AE597">
        <v>1</v>
      </c>
      <c r="AF597">
        <v>0</v>
      </c>
      <c r="AG597" t="s">
        <v>75</v>
      </c>
      <c r="AH597" t="s">
        <v>76</v>
      </c>
      <c r="AI597" t="s">
        <v>49</v>
      </c>
      <c r="AJ597" s="1" t="s">
        <v>174</v>
      </c>
      <c r="AK597">
        <v>0.25</v>
      </c>
      <c r="AL597">
        <v>0</v>
      </c>
    </row>
    <row r="598" spans="1:38" x14ac:dyDescent="0.35">
      <c r="A598" t="s">
        <v>795</v>
      </c>
      <c r="B598" t="s">
        <v>39</v>
      </c>
      <c r="C598" t="s">
        <v>66</v>
      </c>
      <c r="D598">
        <v>0.1</v>
      </c>
      <c r="E598" t="s">
        <v>110</v>
      </c>
      <c r="F598">
        <v>23</v>
      </c>
      <c r="G598" t="s">
        <v>42</v>
      </c>
      <c r="H598" t="s">
        <v>55</v>
      </c>
      <c r="I598">
        <v>2</v>
      </c>
      <c r="J598">
        <v>9.1999999999999993</v>
      </c>
      <c r="K598">
        <v>8</v>
      </c>
      <c r="L598">
        <v>3</v>
      </c>
      <c r="M598">
        <v>12</v>
      </c>
      <c r="N598">
        <v>0</v>
      </c>
      <c r="O598" t="s">
        <v>44</v>
      </c>
      <c r="P598">
        <v>52100</v>
      </c>
      <c r="Q598">
        <v>13.6</v>
      </c>
      <c r="R598">
        <v>3.3</v>
      </c>
      <c r="S598">
        <v>2.6</v>
      </c>
      <c r="T598">
        <v>0</v>
      </c>
      <c r="U598">
        <v>2.8</v>
      </c>
      <c r="V598">
        <v>1.4</v>
      </c>
      <c r="W598">
        <v>4.2</v>
      </c>
      <c r="X598" t="s">
        <v>45</v>
      </c>
      <c r="Y598">
        <v>0</v>
      </c>
      <c r="Z598">
        <v>2</v>
      </c>
      <c r="AB598">
        <v>2</v>
      </c>
      <c r="AC598" t="s">
        <v>46</v>
      </c>
      <c r="AE598">
        <v>1</v>
      </c>
      <c r="AF598">
        <v>0</v>
      </c>
      <c r="AG598" t="s">
        <v>47</v>
      </c>
      <c r="AH598" t="s">
        <v>95</v>
      </c>
      <c r="AI598" t="s">
        <v>64</v>
      </c>
      <c r="AJ598" s="1" t="s">
        <v>102</v>
      </c>
      <c r="AK598" s="1" t="s">
        <v>84</v>
      </c>
      <c r="AL598">
        <v>0</v>
      </c>
    </row>
    <row r="599" spans="1:38" x14ac:dyDescent="0.35">
      <c r="A599" t="s">
        <v>796</v>
      </c>
      <c r="B599" t="s">
        <v>39</v>
      </c>
      <c r="C599" t="s">
        <v>40</v>
      </c>
      <c r="D599">
        <v>3.4</v>
      </c>
      <c r="E599" t="s">
        <v>41</v>
      </c>
      <c r="F599">
        <v>24</v>
      </c>
      <c r="G599" t="s">
        <v>42</v>
      </c>
      <c r="H599" t="s">
        <v>55</v>
      </c>
      <c r="I599">
        <v>4</v>
      </c>
      <c r="J599">
        <v>6.9</v>
      </c>
      <c r="K599">
        <v>9</v>
      </c>
      <c r="L599">
        <v>2</v>
      </c>
      <c r="M599">
        <v>12</v>
      </c>
      <c r="N599">
        <v>0</v>
      </c>
      <c r="O599" t="s">
        <v>44</v>
      </c>
      <c r="P599">
        <v>74400</v>
      </c>
      <c r="Q599">
        <v>7.1</v>
      </c>
      <c r="R599">
        <v>2.9</v>
      </c>
      <c r="S599">
        <v>1.8</v>
      </c>
      <c r="T599">
        <v>0</v>
      </c>
      <c r="U599">
        <v>4.8</v>
      </c>
      <c r="V599">
        <v>3.6</v>
      </c>
      <c r="W599">
        <v>2.2999999999999998</v>
      </c>
      <c r="X599" t="s">
        <v>45</v>
      </c>
      <c r="Y599">
        <v>0</v>
      </c>
      <c r="Z599">
        <v>0</v>
      </c>
      <c r="AB599">
        <v>0</v>
      </c>
      <c r="AC599" t="s">
        <v>46</v>
      </c>
      <c r="AE599">
        <v>1</v>
      </c>
      <c r="AF599">
        <v>0</v>
      </c>
      <c r="AG599" t="s">
        <v>75</v>
      </c>
      <c r="AH599" t="s">
        <v>76</v>
      </c>
      <c r="AI599" t="s">
        <v>64</v>
      </c>
      <c r="AJ599" s="1" t="s">
        <v>126</v>
      </c>
      <c r="AK599" s="1" t="s">
        <v>115</v>
      </c>
      <c r="AL599">
        <v>0</v>
      </c>
    </row>
    <row r="600" spans="1:38" x14ac:dyDescent="0.35">
      <c r="A600" t="s">
        <v>797</v>
      </c>
      <c r="B600" t="s">
        <v>60</v>
      </c>
      <c r="C600" t="s">
        <v>107</v>
      </c>
      <c r="D600">
        <v>6</v>
      </c>
      <c r="E600" t="s">
        <v>67</v>
      </c>
      <c r="F600">
        <v>40</v>
      </c>
      <c r="G600" t="s">
        <v>42</v>
      </c>
      <c r="H600" t="s">
        <v>55</v>
      </c>
      <c r="I600">
        <v>6</v>
      </c>
      <c r="J600">
        <v>9.4</v>
      </c>
      <c r="K600">
        <v>7</v>
      </c>
      <c r="L600">
        <v>4</v>
      </c>
      <c r="M600">
        <v>12</v>
      </c>
      <c r="N600">
        <v>0</v>
      </c>
      <c r="O600" t="s">
        <v>70</v>
      </c>
      <c r="P600">
        <v>41500</v>
      </c>
      <c r="Q600">
        <v>8.5</v>
      </c>
      <c r="R600">
        <v>2.2999999999999998</v>
      </c>
      <c r="S600">
        <v>2.7</v>
      </c>
      <c r="T600">
        <v>0</v>
      </c>
      <c r="U600">
        <v>3.5</v>
      </c>
      <c r="V600">
        <v>1.6</v>
      </c>
      <c r="W600">
        <v>2.1</v>
      </c>
      <c r="X600" t="s">
        <v>45</v>
      </c>
      <c r="Y600">
        <v>0</v>
      </c>
      <c r="Z600">
        <v>1</v>
      </c>
      <c r="AA600">
        <v>0.8</v>
      </c>
      <c r="AB600">
        <v>0</v>
      </c>
      <c r="AC600" t="s">
        <v>46</v>
      </c>
      <c r="AE600">
        <v>0</v>
      </c>
      <c r="AF600">
        <v>0</v>
      </c>
      <c r="AG600" t="s">
        <v>47</v>
      </c>
      <c r="AH600" t="s">
        <v>83</v>
      </c>
      <c r="AI600" t="s">
        <v>64</v>
      </c>
      <c r="AJ600">
        <v>2.4</v>
      </c>
      <c r="AK600">
        <v>0.5</v>
      </c>
      <c r="AL600">
        <v>0</v>
      </c>
    </row>
    <row r="601" spans="1:38" x14ac:dyDescent="0.35">
      <c r="A601" t="s">
        <v>798</v>
      </c>
      <c r="B601" t="s">
        <v>39</v>
      </c>
      <c r="C601" t="s">
        <v>66</v>
      </c>
      <c r="D601">
        <v>1.4</v>
      </c>
      <c r="E601" t="s">
        <v>67</v>
      </c>
      <c r="F601">
        <v>29</v>
      </c>
      <c r="G601" t="s">
        <v>42</v>
      </c>
      <c r="H601" t="s">
        <v>43</v>
      </c>
      <c r="I601">
        <v>2</v>
      </c>
      <c r="J601">
        <v>10.5</v>
      </c>
      <c r="K601">
        <v>9</v>
      </c>
      <c r="L601">
        <v>2</v>
      </c>
      <c r="M601">
        <v>12</v>
      </c>
      <c r="N601">
        <v>0</v>
      </c>
      <c r="O601" t="s">
        <v>82</v>
      </c>
      <c r="P601">
        <v>28400</v>
      </c>
      <c r="Q601">
        <v>2.1</v>
      </c>
      <c r="R601">
        <v>2.1</v>
      </c>
      <c r="S601">
        <v>3.8</v>
      </c>
      <c r="T601">
        <v>0</v>
      </c>
      <c r="U601">
        <v>4.2</v>
      </c>
      <c r="V601">
        <v>2.5</v>
      </c>
      <c r="W601">
        <v>2.2000000000000002</v>
      </c>
      <c r="X601" t="s">
        <v>45</v>
      </c>
      <c r="Y601">
        <v>0</v>
      </c>
      <c r="Z601">
        <v>1</v>
      </c>
      <c r="AA601">
        <v>1.2</v>
      </c>
      <c r="AB601">
        <v>0</v>
      </c>
      <c r="AC601" t="s">
        <v>46</v>
      </c>
      <c r="AE601">
        <v>0</v>
      </c>
      <c r="AF601">
        <v>0</v>
      </c>
      <c r="AG601" t="s">
        <v>47</v>
      </c>
      <c r="AH601" t="s">
        <v>48</v>
      </c>
      <c r="AI601" t="s">
        <v>49</v>
      </c>
      <c r="AJ601" s="1" t="s">
        <v>268</v>
      </c>
      <c r="AK601" s="1" t="s">
        <v>84</v>
      </c>
      <c r="AL601">
        <v>0</v>
      </c>
    </row>
    <row r="602" spans="1:38" x14ac:dyDescent="0.35">
      <c r="A602" t="s">
        <v>799</v>
      </c>
      <c r="B602" t="s">
        <v>52</v>
      </c>
      <c r="C602" t="s">
        <v>153</v>
      </c>
      <c r="D602">
        <v>3.9</v>
      </c>
      <c r="E602" t="s">
        <v>81</v>
      </c>
      <c r="F602">
        <v>32</v>
      </c>
      <c r="G602" t="s">
        <v>42</v>
      </c>
      <c r="H602" t="s">
        <v>55</v>
      </c>
      <c r="I602">
        <v>3</v>
      </c>
      <c r="J602">
        <v>3.1</v>
      </c>
      <c r="K602">
        <v>6</v>
      </c>
      <c r="L602">
        <v>1</v>
      </c>
      <c r="M602">
        <v>12</v>
      </c>
      <c r="N602">
        <v>0</v>
      </c>
      <c r="O602" t="s">
        <v>82</v>
      </c>
      <c r="P602">
        <v>18300</v>
      </c>
      <c r="Q602">
        <v>10.1</v>
      </c>
      <c r="R602">
        <v>3.5</v>
      </c>
      <c r="S602">
        <v>1</v>
      </c>
      <c r="T602">
        <v>0</v>
      </c>
      <c r="U602">
        <v>3.7</v>
      </c>
      <c r="V602">
        <v>3.8</v>
      </c>
      <c r="W602">
        <v>3.5</v>
      </c>
      <c r="X602" t="s">
        <v>89</v>
      </c>
      <c r="Y602">
        <v>0</v>
      </c>
      <c r="Z602">
        <v>1</v>
      </c>
      <c r="AA602">
        <v>0.6</v>
      </c>
      <c r="AB602">
        <v>0</v>
      </c>
      <c r="AC602" t="s">
        <v>46</v>
      </c>
      <c r="AE602">
        <v>0</v>
      </c>
      <c r="AF602">
        <v>0</v>
      </c>
      <c r="AG602" t="s">
        <v>47</v>
      </c>
      <c r="AH602" t="s">
        <v>76</v>
      </c>
      <c r="AI602" t="s">
        <v>64</v>
      </c>
      <c r="AJ602" s="1" t="s">
        <v>266</v>
      </c>
      <c r="AK602">
        <v>0.25</v>
      </c>
      <c r="AL602">
        <v>0</v>
      </c>
    </row>
    <row r="603" spans="1:38" x14ac:dyDescent="0.35">
      <c r="A603" t="s">
        <v>800</v>
      </c>
      <c r="B603" t="s">
        <v>39</v>
      </c>
      <c r="C603" t="s">
        <v>88</v>
      </c>
      <c r="D603">
        <v>4.2</v>
      </c>
      <c r="E603" t="s">
        <v>41</v>
      </c>
      <c r="F603">
        <v>25</v>
      </c>
      <c r="G603" t="s">
        <v>42</v>
      </c>
      <c r="H603" t="s">
        <v>69</v>
      </c>
      <c r="I603">
        <v>3</v>
      </c>
      <c r="J603">
        <v>3.4</v>
      </c>
      <c r="K603">
        <v>8</v>
      </c>
      <c r="L603">
        <v>3</v>
      </c>
      <c r="M603">
        <v>12</v>
      </c>
      <c r="N603">
        <v>0</v>
      </c>
      <c r="O603" t="s">
        <v>44</v>
      </c>
      <c r="P603">
        <v>74300</v>
      </c>
      <c r="Q603">
        <v>6.1</v>
      </c>
      <c r="R603">
        <v>3.6</v>
      </c>
      <c r="S603">
        <v>2.2000000000000002</v>
      </c>
      <c r="T603">
        <v>0</v>
      </c>
      <c r="U603">
        <v>3</v>
      </c>
      <c r="V603">
        <v>2.8</v>
      </c>
      <c r="W603">
        <v>4</v>
      </c>
      <c r="X603" t="s">
        <v>45</v>
      </c>
      <c r="Y603">
        <v>0</v>
      </c>
      <c r="Z603">
        <v>1</v>
      </c>
      <c r="AA603">
        <v>0.3</v>
      </c>
      <c r="AB603">
        <v>1</v>
      </c>
      <c r="AC603" t="s">
        <v>124</v>
      </c>
      <c r="AD603" s="2">
        <v>46048</v>
      </c>
      <c r="AE603">
        <v>0</v>
      </c>
      <c r="AF603">
        <v>0</v>
      </c>
      <c r="AG603" t="s">
        <v>47</v>
      </c>
      <c r="AH603" t="s">
        <v>76</v>
      </c>
      <c r="AI603" t="s">
        <v>64</v>
      </c>
      <c r="AJ603" s="1" t="s">
        <v>235</v>
      </c>
      <c r="AK603">
        <v>0.25</v>
      </c>
      <c r="AL603">
        <v>1</v>
      </c>
    </row>
    <row r="604" spans="1:38" x14ac:dyDescent="0.35">
      <c r="A604" t="s">
        <v>801</v>
      </c>
      <c r="B604" t="s">
        <v>60</v>
      </c>
      <c r="C604" t="s">
        <v>107</v>
      </c>
      <c r="D604">
        <v>1.5</v>
      </c>
      <c r="E604" t="s">
        <v>81</v>
      </c>
      <c r="F604">
        <v>27</v>
      </c>
      <c r="G604" t="s">
        <v>54</v>
      </c>
      <c r="H604" t="s">
        <v>55</v>
      </c>
      <c r="I604">
        <v>3</v>
      </c>
      <c r="J604">
        <v>16.7</v>
      </c>
      <c r="K604">
        <v>10</v>
      </c>
      <c r="L604">
        <v>1</v>
      </c>
      <c r="M604">
        <v>12</v>
      </c>
      <c r="N604">
        <v>0</v>
      </c>
      <c r="O604" t="s">
        <v>82</v>
      </c>
      <c r="P604">
        <v>25100</v>
      </c>
      <c r="Q604">
        <v>11.8</v>
      </c>
      <c r="R604">
        <v>3.1</v>
      </c>
      <c r="S604">
        <v>1.2</v>
      </c>
      <c r="T604">
        <v>0</v>
      </c>
      <c r="U604">
        <v>3.9</v>
      </c>
      <c r="V604">
        <v>3.7</v>
      </c>
      <c r="W604">
        <v>4.4000000000000004</v>
      </c>
      <c r="X604" t="s">
        <v>89</v>
      </c>
      <c r="Y604">
        <v>0</v>
      </c>
      <c r="Z604">
        <v>0</v>
      </c>
      <c r="AB604">
        <v>2</v>
      </c>
      <c r="AC604" t="s">
        <v>46</v>
      </c>
      <c r="AE604">
        <v>1</v>
      </c>
      <c r="AF604">
        <v>0</v>
      </c>
      <c r="AG604" t="s">
        <v>75</v>
      </c>
      <c r="AH604" t="s">
        <v>48</v>
      </c>
      <c r="AI604" t="s">
        <v>49</v>
      </c>
      <c r="AJ604">
        <v>4</v>
      </c>
      <c r="AK604">
        <v>0.25</v>
      </c>
      <c r="AL604">
        <v>0</v>
      </c>
    </row>
    <row r="605" spans="1:38" x14ac:dyDescent="0.35">
      <c r="A605" t="s">
        <v>802</v>
      </c>
      <c r="B605" t="s">
        <v>39</v>
      </c>
      <c r="C605" t="s">
        <v>66</v>
      </c>
      <c r="D605">
        <v>8.5</v>
      </c>
      <c r="E605" t="s">
        <v>81</v>
      </c>
      <c r="F605">
        <v>37</v>
      </c>
      <c r="G605" t="s">
        <v>42</v>
      </c>
      <c r="H605" t="s">
        <v>55</v>
      </c>
      <c r="I605">
        <v>4</v>
      </c>
      <c r="J605">
        <v>7.5</v>
      </c>
      <c r="K605">
        <v>7</v>
      </c>
      <c r="L605">
        <v>5</v>
      </c>
      <c r="M605">
        <v>12</v>
      </c>
      <c r="N605">
        <v>0</v>
      </c>
      <c r="O605" t="s">
        <v>82</v>
      </c>
      <c r="P605">
        <v>24700</v>
      </c>
      <c r="Q605">
        <v>2.8</v>
      </c>
      <c r="R605">
        <v>3.2</v>
      </c>
      <c r="S605">
        <v>0.8</v>
      </c>
      <c r="T605">
        <v>0</v>
      </c>
      <c r="U605">
        <v>3.7</v>
      </c>
      <c r="V605">
        <v>3.3</v>
      </c>
      <c r="W605">
        <v>4.4000000000000004</v>
      </c>
      <c r="X605" t="s">
        <v>45</v>
      </c>
      <c r="Y605">
        <v>1</v>
      </c>
      <c r="Z605">
        <v>0</v>
      </c>
      <c r="AB605">
        <v>2</v>
      </c>
      <c r="AC605" t="s">
        <v>46</v>
      </c>
      <c r="AE605">
        <v>1</v>
      </c>
      <c r="AF605">
        <v>0</v>
      </c>
      <c r="AG605" t="s">
        <v>75</v>
      </c>
      <c r="AH605" t="s">
        <v>83</v>
      </c>
      <c r="AI605" t="s">
        <v>64</v>
      </c>
      <c r="AJ605" s="1" t="s">
        <v>347</v>
      </c>
      <c r="AK605" s="1" t="s">
        <v>115</v>
      </c>
      <c r="AL605">
        <v>0</v>
      </c>
    </row>
    <row r="606" spans="1:38" x14ac:dyDescent="0.35">
      <c r="A606" t="s">
        <v>803</v>
      </c>
      <c r="B606" t="s">
        <v>60</v>
      </c>
      <c r="C606" t="s">
        <v>107</v>
      </c>
      <c r="D606">
        <v>4.2</v>
      </c>
      <c r="E606" t="s">
        <v>81</v>
      </c>
      <c r="F606">
        <v>29</v>
      </c>
      <c r="G606" t="s">
        <v>42</v>
      </c>
      <c r="H606" t="s">
        <v>55</v>
      </c>
      <c r="I606">
        <v>2</v>
      </c>
      <c r="J606">
        <v>11.9</v>
      </c>
      <c r="K606">
        <v>11</v>
      </c>
      <c r="L606">
        <v>0</v>
      </c>
      <c r="M606">
        <v>12</v>
      </c>
      <c r="N606">
        <v>0</v>
      </c>
      <c r="O606" t="s">
        <v>82</v>
      </c>
      <c r="P606">
        <v>26100</v>
      </c>
      <c r="Q606">
        <v>9.6999999999999993</v>
      </c>
      <c r="R606">
        <v>2.6</v>
      </c>
      <c r="S606">
        <v>1.8</v>
      </c>
      <c r="T606">
        <v>0</v>
      </c>
      <c r="U606">
        <v>1.7</v>
      </c>
      <c r="V606">
        <v>4</v>
      </c>
      <c r="W606">
        <v>4.0999999999999996</v>
      </c>
      <c r="X606" t="s">
        <v>45</v>
      </c>
      <c r="Y606">
        <v>0</v>
      </c>
      <c r="Z606">
        <v>2</v>
      </c>
      <c r="AA606">
        <v>2.1</v>
      </c>
      <c r="AB606">
        <v>0</v>
      </c>
      <c r="AC606" t="s">
        <v>46</v>
      </c>
      <c r="AE606">
        <v>0</v>
      </c>
      <c r="AF606">
        <v>0</v>
      </c>
      <c r="AG606" t="s">
        <v>47</v>
      </c>
      <c r="AH606" t="s">
        <v>76</v>
      </c>
      <c r="AI606" t="s">
        <v>49</v>
      </c>
      <c r="AJ606" s="1" t="s">
        <v>235</v>
      </c>
      <c r="AK606" s="1" t="s">
        <v>84</v>
      </c>
      <c r="AL606">
        <v>0</v>
      </c>
    </row>
    <row r="607" spans="1:38" x14ac:dyDescent="0.35">
      <c r="A607" t="s">
        <v>804</v>
      </c>
      <c r="B607" t="s">
        <v>39</v>
      </c>
      <c r="C607" t="s">
        <v>40</v>
      </c>
      <c r="D607">
        <v>2.8</v>
      </c>
      <c r="E607" t="s">
        <v>41</v>
      </c>
      <c r="F607">
        <v>33</v>
      </c>
      <c r="G607" t="s">
        <v>42</v>
      </c>
      <c r="H607" t="s">
        <v>55</v>
      </c>
      <c r="I607">
        <v>0</v>
      </c>
      <c r="J607">
        <v>16.3</v>
      </c>
      <c r="K607">
        <v>9</v>
      </c>
      <c r="L607">
        <v>5</v>
      </c>
      <c r="M607">
        <v>12</v>
      </c>
      <c r="N607">
        <v>0</v>
      </c>
      <c r="O607" t="s">
        <v>56</v>
      </c>
      <c r="P607">
        <v>78700</v>
      </c>
      <c r="Q607">
        <v>0</v>
      </c>
      <c r="R607">
        <v>3.7</v>
      </c>
      <c r="S607">
        <v>0.2</v>
      </c>
      <c r="T607">
        <v>0</v>
      </c>
      <c r="U607">
        <v>3.2</v>
      </c>
      <c r="V607">
        <v>1.7</v>
      </c>
      <c r="W607">
        <v>2.7</v>
      </c>
      <c r="X607" t="s">
        <v>45</v>
      </c>
      <c r="Y607">
        <v>0</v>
      </c>
      <c r="Z607">
        <v>0</v>
      </c>
      <c r="AB607">
        <v>1</v>
      </c>
      <c r="AC607" t="s">
        <v>46</v>
      </c>
      <c r="AE607">
        <v>1</v>
      </c>
      <c r="AF607">
        <v>0</v>
      </c>
      <c r="AG607" t="s">
        <v>75</v>
      </c>
      <c r="AH607" t="s">
        <v>48</v>
      </c>
      <c r="AI607" t="s">
        <v>49</v>
      </c>
      <c r="AJ607" s="1" t="s">
        <v>135</v>
      </c>
      <c r="AK607">
        <v>0</v>
      </c>
      <c r="AL607">
        <v>0</v>
      </c>
    </row>
    <row r="608" spans="1:38" x14ac:dyDescent="0.35">
      <c r="A608" t="s">
        <v>805</v>
      </c>
      <c r="B608" t="s">
        <v>60</v>
      </c>
      <c r="C608" t="s">
        <v>61</v>
      </c>
      <c r="D608">
        <v>3.3</v>
      </c>
      <c r="E608" t="s">
        <v>81</v>
      </c>
      <c r="F608">
        <v>39</v>
      </c>
      <c r="G608" t="s">
        <v>42</v>
      </c>
      <c r="H608" t="s">
        <v>63</v>
      </c>
      <c r="I608">
        <v>3</v>
      </c>
      <c r="J608">
        <v>9.5</v>
      </c>
      <c r="K608">
        <v>12</v>
      </c>
      <c r="L608">
        <v>2</v>
      </c>
      <c r="M608">
        <v>12</v>
      </c>
      <c r="N608">
        <v>0</v>
      </c>
      <c r="O608" t="s">
        <v>82</v>
      </c>
      <c r="P608">
        <v>29800</v>
      </c>
      <c r="Q608">
        <v>10.5</v>
      </c>
      <c r="R608">
        <v>3.3</v>
      </c>
      <c r="S608">
        <v>2.9</v>
      </c>
      <c r="T608">
        <v>0</v>
      </c>
      <c r="U608">
        <v>4.0999999999999996</v>
      </c>
      <c r="V608">
        <v>4.4000000000000004</v>
      </c>
      <c r="W608">
        <v>2.7</v>
      </c>
      <c r="X608" t="s">
        <v>45</v>
      </c>
      <c r="Y608">
        <v>0</v>
      </c>
      <c r="Z608">
        <v>1</v>
      </c>
      <c r="AA608">
        <v>2.7</v>
      </c>
      <c r="AB608">
        <v>0</v>
      </c>
      <c r="AC608" t="s">
        <v>46</v>
      </c>
      <c r="AE608">
        <v>0</v>
      </c>
      <c r="AF608">
        <v>0</v>
      </c>
      <c r="AG608" t="s">
        <v>47</v>
      </c>
      <c r="AH608" t="s">
        <v>76</v>
      </c>
      <c r="AI608" t="s">
        <v>64</v>
      </c>
      <c r="AJ608" s="1" t="s">
        <v>114</v>
      </c>
      <c r="AK608">
        <v>0.25</v>
      </c>
      <c r="AL608">
        <v>0</v>
      </c>
    </row>
    <row r="609" spans="1:38" x14ac:dyDescent="0.35">
      <c r="A609" t="s">
        <v>806</v>
      </c>
      <c r="B609" t="s">
        <v>73</v>
      </c>
      <c r="C609" t="s">
        <v>113</v>
      </c>
      <c r="D609">
        <v>1.2</v>
      </c>
      <c r="E609" t="s">
        <v>110</v>
      </c>
      <c r="F609">
        <v>23</v>
      </c>
      <c r="G609" t="s">
        <v>68</v>
      </c>
      <c r="H609" t="s">
        <v>55</v>
      </c>
      <c r="I609">
        <v>4</v>
      </c>
      <c r="J609">
        <v>15.3</v>
      </c>
      <c r="K609">
        <v>3</v>
      </c>
      <c r="L609">
        <v>3</v>
      </c>
      <c r="M609">
        <v>12</v>
      </c>
      <c r="N609">
        <v>0</v>
      </c>
      <c r="O609" t="s">
        <v>44</v>
      </c>
      <c r="P609">
        <v>56800</v>
      </c>
      <c r="Q609">
        <v>7.3</v>
      </c>
      <c r="R609">
        <v>2.9</v>
      </c>
      <c r="S609">
        <v>1.7</v>
      </c>
      <c r="T609">
        <v>0</v>
      </c>
      <c r="U609">
        <v>3.5</v>
      </c>
      <c r="V609">
        <v>2.8</v>
      </c>
      <c r="W609">
        <v>4</v>
      </c>
      <c r="X609" t="s">
        <v>45</v>
      </c>
      <c r="Y609">
        <v>0</v>
      </c>
      <c r="Z609">
        <v>2</v>
      </c>
      <c r="AA609">
        <v>1.2</v>
      </c>
      <c r="AB609">
        <v>0</v>
      </c>
      <c r="AC609" t="s">
        <v>46</v>
      </c>
      <c r="AE609">
        <v>0</v>
      </c>
      <c r="AF609">
        <v>0</v>
      </c>
      <c r="AG609" t="s">
        <v>47</v>
      </c>
      <c r="AH609" t="s">
        <v>48</v>
      </c>
      <c r="AI609" t="s">
        <v>49</v>
      </c>
      <c r="AJ609" s="1" t="s">
        <v>174</v>
      </c>
      <c r="AK609" s="1" t="s">
        <v>115</v>
      </c>
      <c r="AL609">
        <v>0</v>
      </c>
    </row>
    <row r="610" spans="1:38" x14ac:dyDescent="0.35">
      <c r="A610" t="s">
        <v>807</v>
      </c>
      <c r="B610" t="s">
        <v>39</v>
      </c>
      <c r="C610" t="s">
        <v>66</v>
      </c>
      <c r="D610">
        <v>1.2</v>
      </c>
      <c r="E610" t="s">
        <v>110</v>
      </c>
      <c r="F610">
        <v>23</v>
      </c>
      <c r="G610" t="s">
        <v>42</v>
      </c>
      <c r="H610" t="s">
        <v>55</v>
      </c>
      <c r="I610">
        <v>3</v>
      </c>
      <c r="J610">
        <v>10.6</v>
      </c>
      <c r="K610">
        <v>5</v>
      </c>
      <c r="L610">
        <v>3</v>
      </c>
      <c r="M610">
        <v>12</v>
      </c>
      <c r="N610">
        <v>0</v>
      </c>
      <c r="O610" t="s">
        <v>44</v>
      </c>
      <c r="P610">
        <v>54800</v>
      </c>
      <c r="Q610">
        <v>9.6</v>
      </c>
      <c r="R610">
        <v>4</v>
      </c>
      <c r="S610">
        <v>0.6</v>
      </c>
      <c r="T610">
        <v>0</v>
      </c>
      <c r="U610">
        <v>3.7</v>
      </c>
      <c r="V610">
        <v>4.5999999999999996</v>
      </c>
      <c r="W610">
        <v>3.4</v>
      </c>
      <c r="X610" t="s">
        <v>45</v>
      </c>
      <c r="Y610">
        <v>1</v>
      </c>
      <c r="Z610">
        <v>1</v>
      </c>
      <c r="AA610">
        <v>0.3</v>
      </c>
      <c r="AB610">
        <v>0</v>
      </c>
      <c r="AC610" t="s">
        <v>46</v>
      </c>
      <c r="AE610">
        <v>0</v>
      </c>
      <c r="AF610">
        <v>0</v>
      </c>
      <c r="AG610" t="s">
        <v>47</v>
      </c>
      <c r="AH610" t="s">
        <v>48</v>
      </c>
      <c r="AI610" t="s">
        <v>49</v>
      </c>
      <c r="AJ610" s="1" t="s">
        <v>275</v>
      </c>
      <c r="AK610">
        <v>0.25</v>
      </c>
      <c r="AL610">
        <v>0</v>
      </c>
    </row>
    <row r="611" spans="1:38" x14ac:dyDescent="0.35">
      <c r="A611" t="s">
        <v>808</v>
      </c>
      <c r="B611" t="s">
        <v>52</v>
      </c>
      <c r="C611" t="s">
        <v>153</v>
      </c>
      <c r="D611">
        <v>2.6</v>
      </c>
      <c r="E611" t="s">
        <v>110</v>
      </c>
      <c r="F611">
        <v>25</v>
      </c>
      <c r="G611" t="s">
        <v>68</v>
      </c>
      <c r="H611" t="s">
        <v>55</v>
      </c>
      <c r="I611">
        <v>5</v>
      </c>
      <c r="J611">
        <v>11</v>
      </c>
      <c r="K611">
        <v>6</v>
      </c>
      <c r="L611">
        <v>4</v>
      </c>
      <c r="M611">
        <v>12</v>
      </c>
      <c r="N611">
        <v>0</v>
      </c>
      <c r="O611" t="s">
        <v>70</v>
      </c>
      <c r="P611">
        <v>46700</v>
      </c>
      <c r="Q611">
        <v>5.6</v>
      </c>
      <c r="R611">
        <v>3.8</v>
      </c>
      <c r="S611">
        <v>1.7</v>
      </c>
      <c r="T611">
        <v>0</v>
      </c>
      <c r="U611">
        <v>2.6</v>
      </c>
      <c r="V611">
        <v>2.4</v>
      </c>
      <c r="W611">
        <v>2.6</v>
      </c>
      <c r="X611" t="s">
        <v>45</v>
      </c>
      <c r="Y611">
        <v>0</v>
      </c>
      <c r="Z611">
        <v>0</v>
      </c>
      <c r="AB611">
        <v>0</v>
      </c>
      <c r="AC611" t="s">
        <v>46</v>
      </c>
      <c r="AE611">
        <v>1</v>
      </c>
      <c r="AF611">
        <v>0</v>
      </c>
      <c r="AG611" t="s">
        <v>75</v>
      </c>
      <c r="AH611" t="s">
        <v>48</v>
      </c>
      <c r="AI611" t="s">
        <v>49</v>
      </c>
      <c r="AJ611" s="1" t="s">
        <v>111</v>
      </c>
      <c r="AK611" s="1" t="s">
        <v>127</v>
      </c>
      <c r="AL611">
        <v>0</v>
      </c>
    </row>
    <row r="612" spans="1:38" x14ac:dyDescent="0.35">
      <c r="A612" t="s">
        <v>809</v>
      </c>
      <c r="B612" t="s">
        <v>117</v>
      </c>
      <c r="C612" t="s">
        <v>189</v>
      </c>
      <c r="D612">
        <v>2.7</v>
      </c>
      <c r="E612" t="s">
        <v>81</v>
      </c>
      <c r="F612">
        <v>35</v>
      </c>
      <c r="G612" t="s">
        <v>42</v>
      </c>
      <c r="H612" t="s">
        <v>43</v>
      </c>
      <c r="I612">
        <v>3</v>
      </c>
      <c r="J612">
        <v>23.1</v>
      </c>
      <c r="K612">
        <v>10</v>
      </c>
      <c r="L612">
        <v>3</v>
      </c>
      <c r="M612">
        <v>12</v>
      </c>
      <c r="N612">
        <v>0</v>
      </c>
      <c r="O612" t="s">
        <v>82</v>
      </c>
      <c r="P612">
        <v>30900</v>
      </c>
      <c r="Q612">
        <v>4.2</v>
      </c>
      <c r="R612">
        <v>1.8</v>
      </c>
      <c r="S612">
        <v>0.1</v>
      </c>
      <c r="T612">
        <v>0</v>
      </c>
      <c r="U612">
        <v>3.5</v>
      </c>
      <c r="V612">
        <v>4.9000000000000004</v>
      </c>
      <c r="W612">
        <v>4.4000000000000004</v>
      </c>
      <c r="X612" t="s">
        <v>45</v>
      </c>
      <c r="Y612">
        <v>0</v>
      </c>
      <c r="Z612">
        <v>1</v>
      </c>
      <c r="AA612">
        <v>2.2000000000000002</v>
      </c>
      <c r="AB612">
        <v>0</v>
      </c>
      <c r="AC612" t="s">
        <v>46</v>
      </c>
      <c r="AE612">
        <v>0</v>
      </c>
      <c r="AF612">
        <v>0</v>
      </c>
      <c r="AG612" t="s">
        <v>47</v>
      </c>
      <c r="AH612" t="s">
        <v>48</v>
      </c>
      <c r="AI612" t="s">
        <v>57</v>
      </c>
      <c r="AJ612" s="1" t="s">
        <v>193</v>
      </c>
      <c r="AK612">
        <v>0.25</v>
      </c>
      <c r="AL612">
        <v>0</v>
      </c>
    </row>
    <row r="613" spans="1:38" x14ac:dyDescent="0.35">
      <c r="A613" t="s">
        <v>810</v>
      </c>
      <c r="B613" t="s">
        <v>39</v>
      </c>
      <c r="C613" t="s">
        <v>40</v>
      </c>
      <c r="D613">
        <v>3.1</v>
      </c>
      <c r="E613" t="s">
        <v>81</v>
      </c>
      <c r="F613">
        <v>33</v>
      </c>
      <c r="G613" t="s">
        <v>42</v>
      </c>
      <c r="H613" t="s">
        <v>69</v>
      </c>
      <c r="I613">
        <v>7</v>
      </c>
      <c r="J613">
        <v>8.6999999999999993</v>
      </c>
      <c r="K613">
        <v>9</v>
      </c>
      <c r="L613">
        <v>1</v>
      </c>
      <c r="M613">
        <v>12</v>
      </c>
      <c r="N613">
        <v>0</v>
      </c>
      <c r="O613" t="s">
        <v>82</v>
      </c>
      <c r="P613">
        <v>30500</v>
      </c>
      <c r="Q613">
        <v>6.3</v>
      </c>
      <c r="R613">
        <v>3.2</v>
      </c>
      <c r="S613">
        <v>0.3</v>
      </c>
      <c r="T613">
        <v>0</v>
      </c>
      <c r="U613">
        <v>3.2</v>
      </c>
      <c r="V613">
        <v>2.2999999999999998</v>
      </c>
      <c r="W613">
        <v>1.9</v>
      </c>
      <c r="X613" t="s">
        <v>45</v>
      </c>
      <c r="Y613">
        <v>0</v>
      </c>
      <c r="Z613">
        <v>0</v>
      </c>
      <c r="AB613">
        <v>0</v>
      </c>
      <c r="AC613" t="s">
        <v>46</v>
      </c>
      <c r="AE613">
        <v>1</v>
      </c>
      <c r="AF613">
        <v>0</v>
      </c>
      <c r="AG613" t="s">
        <v>75</v>
      </c>
      <c r="AH613" t="s">
        <v>76</v>
      </c>
      <c r="AI613" t="s">
        <v>64</v>
      </c>
      <c r="AJ613" s="1" t="s">
        <v>133</v>
      </c>
      <c r="AK613" s="1" t="s">
        <v>105</v>
      </c>
      <c r="AL613">
        <v>0</v>
      </c>
    </row>
    <row r="614" spans="1:38" x14ac:dyDescent="0.35">
      <c r="A614" t="s">
        <v>811</v>
      </c>
      <c r="B614" t="s">
        <v>60</v>
      </c>
      <c r="C614" t="s">
        <v>80</v>
      </c>
      <c r="D614">
        <v>9</v>
      </c>
      <c r="E614" t="s">
        <v>67</v>
      </c>
      <c r="F614">
        <v>34</v>
      </c>
      <c r="G614" t="s">
        <v>54</v>
      </c>
      <c r="H614" t="s">
        <v>94</v>
      </c>
      <c r="I614">
        <v>3</v>
      </c>
      <c r="J614">
        <v>16.8</v>
      </c>
      <c r="K614">
        <v>8</v>
      </c>
      <c r="L614">
        <v>2</v>
      </c>
      <c r="M614">
        <v>12</v>
      </c>
      <c r="N614">
        <v>0</v>
      </c>
      <c r="O614" t="s">
        <v>70</v>
      </c>
      <c r="P614">
        <v>41400</v>
      </c>
      <c r="Q614">
        <v>8.8000000000000007</v>
      </c>
      <c r="R614">
        <v>2.2999999999999998</v>
      </c>
      <c r="S614">
        <v>0.3</v>
      </c>
      <c r="T614">
        <v>0</v>
      </c>
      <c r="U614">
        <v>3.1</v>
      </c>
      <c r="V614">
        <v>1.6</v>
      </c>
      <c r="W614">
        <v>3.7</v>
      </c>
      <c r="X614" t="s">
        <v>45</v>
      </c>
      <c r="Y614">
        <v>0</v>
      </c>
      <c r="Z614">
        <v>1</v>
      </c>
      <c r="AA614">
        <v>0.5</v>
      </c>
      <c r="AB614">
        <v>1</v>
      </c>
      <c r="AC614" t="s">
        <v>46</v>
      </c>
      <c r="AE614">
        <v>0</v>
      </c>
      <c r="AF614">
        <v>0</v>
      </c>
      <c r="AG614" t="s">
        <v>47</v>
      </c>
      <c r="AH614" t="s">
        <v>83</v>
      </c>
      <c r="AI614" t="s">
        <v>49</v>
      </c>
      <c r="AJ614" s="1" t="s">
        <v>144</v>
      </c>
      <c r="AK614">
        <v>0.25</v>
      </c>
      <c r="AL614">
        <v>0</v>
      </c>
    </row>
    <row r="615" spans="1:38" x14ac:dyDescent="0.35">
      <c r="A615" t="s">
        <v>812</v>
      </c>
      <c r="B615" t="s">
        <v>60</v>
      </c>
      <c r="C615" t="s">
        <v>61</v>
      </c>
      <c r="D615">
        <v>5.8</v>
      </c>
      <c r="E615" t="s">
        <v>81</v>
      </c>
      <c r="F615">
        <v>32</v>
      </c>
      <c r="G615" t="s">
        <v>42</v>
      </c>
      <c r="H615" t="s">
        <v>43</v>
      </c>
      <c r="I615">
        <v>1</v>
      </c>
      <c r="J615">
        <v>2.5</v>
      </c>
      <c r="K615">
        <v>8</v>
      </c>
      <c r="L615">
        <v>3</v>
      </c>
      <c r="M615">
        <v>12</v>
      </c>
      <c r="N615">
        <v>0</v>
      </c>
      <c r="O615" t="s">
        <v>82</v>
      </c>
      <c r="P615">
        <v>29800</v>
      </c>
      <c r="Q615">
        <v>10.3</v>
      </c>
      <c r="R615">
        <v>3.3</v>
      </c>
      <c r="S615">
        <v>0.3</v>
      </c>
      <c r="T615">
        <v>0</v>
      </c>
      <c r="U615">
        <v>3.3</v>
      </c>
      <c r="V615">
        <v>3.2</v>
      </c>
      <c r="W615">
        <v>3.3</v>
      </c>
      <c r="X615" t="s">
        <v>45</v>
      </c>
      <c r="Y615">
        <v>1</v>
      </c>
      <c r="Z615">
        <v>1</v>
      </c>
      <c r="AA615">
        <v>4.8</v>
      </c>
      <c r="AB615">
        <v>0</v>
      </c>
      <c r="AC615" t="s">
        <v>46</v>
      </c>
      <c r="AE615">
        <v>0</v>
      </c>
      <c r="AF615">
        <v>0</v>
      </c>
      <c r="AG615" t="s">
        <v>47</v>
      </c>
      <c r="AH615" t="s">
        <v>83</v>
      </c>
      <c r="AI615" t="s">
        <v>64</v>
      </c>
      <c r="AJ615" s="1" t="s">
        <v>235</v>
      </c>
      <c r="AK615">
        <v>8.3333333333333301E-2</v>
      </c>
      <c r="AL615">
        <v>0</v>
      </c>
    </row>
    <row r="616" spans="1:38" x14ac:dyDescent="0.35">
      <c r="A616" t="s">
        <v>813</v>
      </c>
      <c r="B616" t="s">
        <v>98</v>
      </c>
      <c r="C616" t="s">
        <v>148</v>
      </c>
      <c r="D616">
        <v>0.7</v>
      </c>
      <c r="E616" t="s">
        <v>110</v>
      </c>
      <c r="F616">
        <v>23</v>
      </c>
      <c r="G616" t="s">
        <v>42</v>
      </c>
      <c r="H616" t="s">
        <v>69</v>
      </c>
      <c r="I616">
        <v>3</v>
      </c>
      <c r="J616">
        <v>11.6</v>
      </c>
      <c r="K616">
        <v>15</v>
      </c>
      <c r="L616">
        <v>1</v>
      </c>
      <c r="M616">
        <v>12</v>
      </c>
      <c r="N616">
        <v>0</v>
      </c>
      <c r="O616" t="s">
        <v>44</v>
      </c>
      <c r="P616">
        <v>56900</v>
      </c>
      <c r="Q616">
        <v>9.1999999999999993</v>
      </c>
      <c r="R616">
        <v>1</v>
      </c>
      <c r="S616">
        <v>1.1000000000000001</v>
      </c>
      <c r="T616">
        <v>0</v>
      </c>
      <c r="U616">
        <v>4.0999999999999996</v>
      </c>
      <c r="V616">
        <v>4.3</v>
      </c>
      <c r="W616">
        <v>3.2</v>
      </c>
      <c r="X616" t="s">
        <v>45</v>
      </c>
      <c r="Y616">
        <v>0</v>
      </c>
      <c r="Z616">
        <v>1</v>
      </c>
      <c r="AA616">
        <v>0.4</v>
      </c>
      <c r="AB616">
        <v>0</v>
      </c>
      <c r="AC616" t="s">
        <v>46</v>
      </c>
      <c r="AE616">
        <v>0</v>
      </c>
      <c r="AF616">
        <v>0</v>
      </c>
      <c r="AG616" t="s">
        <v>47</v>
      </c>
      <c r="AH616" t="s">
        <v>95</v>
      </c>
      <c r="AI616" t="s">
        <v>49</v>
      </c>
      <c r="AJ616" s="1" t="s">
        <v>814</v>
      </c>
      <c r="AK616">
        <v>0.25</v>
      </c>
      <c r="AL616">
        <v>0</v>
      </c>
    </row>
    <row r="617" spans="1:38" x14ac:dyDescent="0.35">
      <c r="A617" t="s">
        <v>815</v>
      </c>
      <c r="B617" t="s">
        <v>39</v>
      </c>
      <c r="C617" t="s">
        <v>40</v>
      </c>
      <c r="D617">
        <v>7.9</v>
      </c>
      <c r="E617" t="s">
        <v>67</v>
      </c>
      <c r="F617">
        <v>37</v>
      </c>
      <c r="G617" t="s">
        <v>68</v>
      </c>
      <c r="H617" t="s">
        <v>43</v>
      </c>
      <c r="I617">
        <v>4</v>
      </c>
      <c r="J617">
        <v>27.2</v>
      </c>
      <c r="K617">
        <v>15</v>
      </c>
      <c r="L617">
        <v>2</v>
      </c>
      <c r="M617">
        <v>12</v>
      </c>
      <c r="N617">
        <v>0</v>
      </c>
      <c r="O617" t="s">
        <v>70</v>
      </c>
      <c r="P617">
        <v>37600</v>
      </c>
      <c r="Q617">
        <v>4.3</v>
      </c>
      <c r="R617">
        <v>3.4</v>
      </c>
      <c r="S617">
        <v>1.7</v>
      </c>
      <c r="T617">
        <v>0</v>
      </c>
      <c r="U617">
        <v>3.6</v>
      </c>
      <c r="V617">
        <v>3.9</v>
      </c>
      <c r="W617">
        <v>3.4</v>
      </c>
      <c r="X617" t="s">
        <v>45</v>
      </c>
      <c r="Y617">
        <v>0</v>
      </c>
      <c r="Z617">
        <v>1</v>
      </c>
      <c r="AA617">
        <v>0.3</v>
      </c>
      <c r="AB617">
        <v>3</v>
      </c>
      <c r="AC617" t="s">
        <v>46</v>
      </c>
      <c r="AE617">
        <v>0</v>
      </c>
      <c r="AF617">
        <v>0</v>
      </c>
      <c r="AG617" t="s">
        <v>47</v>
      </c>
      <c r="AH617" t="s">
        <v>83</v>
      </c>
      <c r="AI617" t="s">
        <v>57</v>
      </c>
      <c r="AJ617" s="1" t="s">
        <v>190</v>
      </c>
      <c r="AK617" s="1" t="s">
        <v>115</v>
      </c>
      <c r="AL617">
        <v>0</v>
      </c>
    </row>
    <row r="618" spans="1:38" x14ac:dyDescent="0.35">
      <c r="A618" t="s">
        <v>816</v>
      </c>
      <c r="B618" t="s">
        <v>39</v>
      </c>
      <c r="C618" t="s">
        <v>40</v>
      </c>
      <c r="D618">
        <v>2.6</v>
      </c>
      <c r="E618" t="s">
        <v>67</v>
      </c>
      <c r="F618">
        <v>27</v>
      </c>
      <c r="G618" t="s">
        <v>42</v>
      </c>
      <c r="H618" t="s">
        <v>94</v>
      </c>
      <c r="I618">
        <v>4</v>
      </c>
      <c r="J618">
        <v>44.3</v>
      </c>
      <c r="K618">
        <v>14</v>
      </c>
      <c r="L618">
        <v>1</v>
      </c>
      <c r="M618">
        <v>12</v>
      </c>
      <c r="N618">
        <v>0</v>
      </c>
      <c r="O618" t="s">
        <v>70</v>
      </c>
      <c r="P618">
        <v>43300</v>
      </c>
      <c r="Q618">
        <v>15.4</v>
      </c>
      <c r="R618">
        <v>3.8</v>
      </c>
      <c r="S618">
        <v>7.9</v>
      </c>
      <c r="T618">
        <v>0</v>
      </c>
      <c r="U618">
        <v>3.5</v>
      </c>
      <c r="V618">
        <v>4.2</v>
      </c>
      <c r="W618">
        <v>2.7</v>
      </c>
      <c r="X618" t="s">
        <v>45</v>
      </c>
      <c r="Y618">
        <v>0</v>
      </c>
      <c r="Z618">
        <v>1</v>
      </c>
      <c r="AA618">
        <v>2</v>
      </c>
      <c r="AB618">
        <v>0</v>
      </c>
      <c r="AC618" t="s">
        <v>124</v>
      </c>
      <c r="AD618" s="2">
        <v>45643</v>
      </c>
      <c r="AE618">
        <v>0</v>
      </c>
      <c r="AF618">
        <v>0</v>
      </c>
      <c r="AG618" t="s">
        <v>47</v>
      </c>
      <c r="AH618" t="s">
        <v>48</v>
      </c>
      <c r="AI618" t="s">
        <v>57</v>
      </c>
      <c r="AJ618" s="1" t="s">
        <v>77</v>
      </c>
      <c r="AK618" s="1" t="s">
        <v>115</v>
      </c>
      <c r="AL618">
        <v>1</v>
      </c>
    </row>
    <row r="619" spans="1:38" x14ac:dyDescent="0.35">
      <c r="A619" t="s">
        <v>817</v>
      </c>
      <c r="B619" t="s">
        <v>98</v>
      </c>
      <c r="C619" t="s">
        <v>148</v>
      </c>
      <c r="D619">
        <v>6.2</v>
      </c>
      <c r="E619" t="s">
        <v>81</v>
      </c>
      <c r="F619">
        <v>31</v>
      </c>
      <c r="G619" t="s">
        <v>42</v>
      </c>
      <c r="H619" t="s">
        <v>69</v>
      </c>
      <c r="I619">
        <v>3</v>
      </c>
      <c r="J619">
        <v>2.7</v>
      </c>
      <c r="K619">
        <v>9</v>
      </c>
      <c r="L619">
        <v>1</v>
      </c>
      <c r="M619">
        <v>12</v>
      </c>
      <c r="N619">
        <v>0</v>
      </c>
      <c r="O619" t="s">
        <v>82</v>
      </c>
      <c r="P619">
        <v>31800</v>
      </c>
      <c r="Q619">
        <v>9.3000000000000007</v>
      </c>
      <c r="R619">
        <v>3.1</v>
      </c>
      <c r="S619">
        <v>3.2</v>
      </c>
      <c r="T619">
        <v>0</v>
      </c>
      <c r="U619">
        <v>5</v>
      </c>
      <c r="V619">
        <v>3.9</v>
      </c>
      <c r="W619">
        <v>3.4</v>
      </c>
      <c r="X619" t="s">
        <v>89</v>
      </c>
      <c r="Y619">
        <v>1</v>
      </c>
      <c r="Z619">
        <v>0</v>
      </c>
      <c r="AB619">
        <v>0</v>
      </c>
      <c r="AC619" t="s">
        <v>46</v>
      </c>
      <c r="AE619">
        <v>1</v>
      </c>
      <c r="AF619">
        <v>0</v>
      </c>
      <c r="AG619" t="s">
        <v>75</v>
      </c>
      <c r="AH619" t="s">
        <v>83</v>
      </c>
      <c r="AI619" t="s">
        <v>64</v>
      </c>
      <c r="AJ619" s="1" t="s">
        <v>304</v>
      </c>
      <c r="AK619">
        <v>0.25</v>
      </c>
      <c r="AL619">
        <v>0</v>
      </c>
    </row>
    <row r="620" spans="1:38" x14ac:dyDescent="0.35">
      <c r="A620" t="s">
        <v>818</v>
      </c>
      <c r="B620" t="s">
        <v>73</v>
      </c>
      <c r="C620" t="s">
        <v>121</v>
      </c>
      <c r="D620">
        <v>2.8</v>
      </c>
      <c r="E620" t="s">
        <v>110</v>
      </c>
      <c r="F620">
        <v>31</v>
      </c>
      <c r="G620" t="s">
        <v>42</v>
      </c>
      <c r="H620" t="s">
        <v>55</v>
      </c>
      <c r="I620">
        <v>1</v>
      </c>
      <c r="J620">
        <v>7.4</v>
      </c>
      <c r="K620">
        <v>5</v>
      </c>
      <c r="L620">
        <v>2</v>
      </c>
      <c r="M620">
        <v>12</v>
      </c>
      <c r="N620">
        <v>0</v>
      </c>
      <c r="O620" t="s">
        <v>44</v>
      </c>
      <c r="P620">
        <v>52600</v>
      </c>
      <c r="Q620">
        <v>5.5</v>
      </c>
      <c r="R620">
        <v>2.2000000000000002</v>
      </c>
      <c r="S620">
        <v>0.1</v>
      </c>
      <c r="T620">
        <v>0</v>
      </c>
      <c r="U620">
        <v>3.7</v>
      </c>
      <c r="V620">
        <v>3.3</v>
      </c>
      <c r="W620">
        <v>3.4</v>
      </c>
      <c r="X620" t="s">
        <v>45</v>
      </c>
      <c r="Y620">
        <v>1</v>
      </c>
      <c r="Z620">
        <v>0</v>
      </c>
      <c r="AB620">
        <v>0</v>
      </c>
      <c r="AC620" t="s">
        <v>46</v>
      </c>
      <c r="AE620">
        <v>1</v>
      </c>
      <c r="AF620">
        <v>0</v>
      </c>
      <c r="AG620" t="s">
        <v>75</v>
      </c>
      <c r="AH620" t="s">
        <v>48</v>
      </c>
      <c r="AI620" t="s">
        <v>64</v>
      </c>
      <c r="AJ620" s="1" t="s">
        <v>77</v>
      </c>
      <c r="AK620">
        <v>8.3333333333333301E-2</v>
      </c>
      <c r="AL620">
        <v>0</v>
      </c>
    </row>
    <row r="621" spans="1:38" x14ac:dyDescent="0.35">
      <c r="A621" t="s">
        <v>819</v>
      </c>
      <c r="B621" t="s">
        <v>73</v>
      </c>
      <c r="C621" t="s">
        <v>74</v>
      </c>
      <c r="D621">
        <v>4.0999999999999996</v>
      </c>
      <c r="E621" t="s">
        <v>81</v>
      </c>
      <c r="F621">
        <v>29</v>
      </c>
      <c r="G621" t="s">
        <v>54</v>
      </c>
      <c r="H621" t="s">
        <v>69</v>
      </c>
      <c r="I621">
        <v>5</v>
      </c>
      <c r="J621">
        <v>4.0999999999999996</v>
      </c>
      <c r="K621">
        <v>11</v>
      </c>
      <c r="L621">
        <v>3</v>
      </c>
      <c r="M621">
        <v>12</v>
      </c>
      <c r="N621">
        <v>0</v>
      </c>
      <c r="O621" t="s">
        <v>82</v>
      </c>
      <c r="P621">
        <v>34200</v>
      </c>
      <c r="Q621">
        <v>9.6999999999999993</v>
      </c>
      <c r="R621">
        <v>5</v>
      </c>
      <c r="S621">
        <v>4.8</v>
      </c>
      <c r="T621">
        <v>0</v>
      </c>
      <c r="U621">
        <v>4.4000000000000004</v>
      </c>
      <c r="V621">
        <v>3.9</v>
      </c>
      <c r="W621">
        <v>4.0999999999999996</v>
      </c>
      <c r="X621" t="s">
        <v>45</v>
      </c>
      <c r="Y621">
        <v>0</v>
      </c>
      <c r="Z621">
        <v>1</v>
      </c>
      <c r="AA621">
        <v>2.6</v>
      </c>
      <c r="AB621">
        <v>0</v>
      </c>
      <c r="AC621" t="s">
        <v>46</v>
      </c>
      <c r="AE621">
        <v>0</v>
      </c>
      <c r="AF621">
        <v>0</v>
      </c>
      <c r="AG621" t="s">
        <v>47</v>
      </c>
      <c r="AH621" t="s">
        <v>76</v>
      </c>
      <c r="AI621" t="s">
        <v>64</v>
      </c>
      <c r="AJ621" s="1" t="s">
        <v>201</v>
      </c>
      <c r="AK621" s="1" t="s">
        <v>127</v>
      </c>
      <c r="AL621">
        <v>0</v>
      </c>
    </row>
    <row r="622" spans="1:38" x14ac:dyDescent="0.35">
      <c r="A622" t="s">
        <v>820</v>
      </c>
      <c r="B622" t="s">
        <v>39</v>
      </c>
      <c r="C622" t="s">
        <v>40</v>
      </c>
      <c r="D622">
        <v>1.3</v>
      </c>
      <c r="E622" t="s">
        <v>110</v>
      </c>
      <c r="F622">
        <v>26</v>
      </c>
      <c r="G622" t="s">
        <v>68</v>
      </c>
      <c r="H622" t="s">
        <v>94</v>
      </c>
      <c r="I622">
        <v>5</v>
      </c>
      <c r="J622">
        <v>9</v>
      </c>
      <c r="K622">
        <v>11</v>
      </c>
      <c r="L622">
        <v>2</v>
      </c>
      <c r="M622">
        <v>12</v>
      </c>
      <c r="N622">
        <v>0</v>
      </c>
      <c r="O622" t="s">
        <v>70</v>
      </c>
      <c r="P622">
        <v>43900</v>
      </c>
      <c r="Q622">
        <v>9</v>
      </c>
      <c r="R622">
        <v>4.2</v>
      </c>
      <c r="S622">
        <v>0.6</v>
      </c>
      <c r="T622">
        <v>0</v>
      </c>
      <c r="U622">
        <v>3.5</v>
      </c>
      <c r="V622">
        <v>3.3</v>
      </c>
      <c r="W622">
        <v>4.7</v>
      </c>
      <c r="X622" t="s">
        <v>45</v>
      </c>
      <c r="Y622">
        <v>0</v>
      </c>
      <c r="Z622">
        <v>0</v>
      </c>
      <c r="AB622">
        <v>0</v>
      </c>
      <c r="AC622" t="s">
        <v>46</v>
      </c>
      <c r="AE622">
        <v>1</v>
      </c>
      <c r="AF622">
        <v>0</v>
      </c>
      <c r="AG622" t="s">
        <v>75</v>
      </c>
      <c r="AH622" t="s">
        <v>48</v>
      </c>
      <c r="AI622" t="s">
        <v>64</v>
      </c>
      <c r="AJ622" s="1" t="s">
        <v>180</v>
      </c>
      <c r="AK622" s="1" t="s">
        <v>127</v>
      </c>
      <c r="AL622">
        <v>0</v>
      </c>
    </row>
    <row r="623" spans="1:38" x14ac:dyDescent="0.35">
      <c r="A623" t="s">
        <v>821</v>
      </c>
      <c r="B623" t="s">
        <v>52</v>
      </c>
      <c r="C623" t="s">
        <v>93</v>
      </c>
      <c r="D623">
        <v>4.7</v>
      </c>
      <c r="E623" t="s">
        <v>81</v>
      </c>
      <c r="F623">
        <v>31</v>
      </c>
      <c r="G623" t="s">
        <v>42</v>
      </c>
      <c r="H623" t="s">
        <v>43</v>
      </c>
      <c r="I623">
        <v>5</v>
      </c>
      <c r="J623">
        <v>18.8</v>
      </c>
      <c r="K623">
        <v>7</v>
      </c>
      <c r="L623">
        <v>0</v>
      </c>
      <c r="M623">
        <v>12</v>
      </c>
      <c r="N623">
        <v>0</v>
      </c>
      <c r="O623" t="s">
        <v>82</v>
      </c>
      <c r="P623">
        <v>27500</v>
      </c>
      <c r="Q623">
        <v>7.3</v>
      </c>
      <c r="R623">
        <v>2.7</v>
      </c>
      <c r="S623">
        <v>2</v>
      </c>
      <c r="T623">
        <v>0</v>
      </c>
      <c r="U623">
        <v>3</v>
      </c>
      <c r="V623">
        <v>2.6</v>
      </c>
      <c r="W623">
        <v>3.5</v>
      </c>
      <c r="X623" t="s">
        <v>45</v>
      </c>
      <c r="Y623">
        <v>0</v>
      </c>
      <c r="Z623">
        <v>0</v>
      </c>
      <c r="AB623">
        <v>0</v>
      </c>
      <c r="AC623" t="s">
        <v>46</v>
      </c>
      <c r="AE623">
        <v>1</v>
      </c>
      <c r="AF623">
        <v>0</v>
      </c>
      <c r="AG623" t="s">
        <v>75</v>
      </c>
      <c r="AH623" t="s">
        <v>76</v>
      </c>
      <c r="AI623" t="s">
        <v>49</v>
      </c>
      <c r="AJ623" s="1" t="s">
        <v>627</v>
      </c>
      <c r="AK623" s="1" t="s">
        <v>127</v>
      </c>
      <c r="AL623">
        <v>0</v>
      </c>
    </row>
    <row r="624" spans="1:38" x14ac:dyDescent="0.35">
      <c r="A624" t="s">
        <v>822</v>
      </c>
      <c r="B624" t="s">
        <v>60</v>
      </c>
      <c r="C624" t="s">
        <v>80</v>
      </c>
      <c r="D624">
        <v>6.7</v>
      </c>
      <c r="E624" t="s">
        <v>62</v>
      </c>
      <c r="F624">
        <v>36</v>
      </c>
      <c r="G624" t="s">
        <v>54</v>
      </c>
      <c r="H624" t="s">
        <v>63</v>
      </c>
      <c r="I624">
        <v>1</v>
      </c>
      <c r="J624">
        <v>23.7</v>
      </c>
      <c r="K624">
        <v>12</v>
      </c>
      <c r="L624">
        <v>0</v>
      </c>
      <c r="M624">
        <v>12</v>
      </c>
      <c r="N624">
        <v>0</v>
      </c>
      <c r="O624" t="s">
        <v>56</v>
      </c>
      <c r="P624">
        <v>93400</v>
      </c>
      <c r="Q624">
        <v>6.8</v>
      </c>
      <c r="R624">
        <v>3</v>
      </c>
      <c r="S624">
        <v>1.1000000000000001</v>
      </c>
      <c r="T624">
        <v>0</v>
      </c>
      <c r="U624">
        <v>2.2999999999999998</v>
      </c>
      <c r="V624">
        <v>3.4</v>
      </c>
      <c r="W624">
        <v>2.7</v>
      </c>
      <c r="X624" t="s">
        <v>45</v>
      </c>
      <c r="Y624">
        <v>0</v>
      </c>
      <c r="Z624">
        <v>5</v>
      </c>
      <c r="AA624">
        <v>6</v>
      </c>
      <c r="AB624">
        <v>0</v>
      </c>
      <c r="AC624" t="s">
        <v>46</v>
      </c>
      <c r="AE624">
        <v>0</v>
      </c>
      <c r="AF624">
        <v>0</v>
      </c>
      <c r="AG624" t="s">
        <v>47</v>
      </c>
      <c r="AH624" t="s">
        <v>83</v>
      </c>
      <c r="AI624" t="s">
        <v>57</v>
      </c>
      <c r="AJ624" s="1" t="s">
        <v>102</v>
      </c>
      <c r="AK624">
        <v>8.3333333333333301E-2</v>
      </c>
      <c r="AL624">
        <v>0</v>
      </c>
    </row>
    <row r="625" spans="1:38" x14ac:dyDescent="0.35">
      <c r="A625" t="s">
        <v>823</v>
      </c>
      <c r="B625" t="s">
        <v>52</v>
      </c>
      <c r="C625" t="s">
        <v>153</v>
      </c>
      <c r="D625">
        <v>0.8</v>
      </c>
      <c r="E625" t="s">
        <v>110</v>
      </c>
      <c r="F625">
        <v>33</v>
      </c>
      <c r="G625" t="s">
        <v>68</v>
      </c>
      <c r="H625" t="s">
        <v>94</v>
      </c>
      <c r="I625">
        <v>1</v>
      </c>
      <c r="J625">
        <v>24.2</v>
      </c>
      <c r="K625">
        <v>7</v>
      </c>
      <c r="L625">
        <v>4</v>
      </c>
      <c r="M625">
        <v>12</v>
      </c>
      <c r="N625">
        <v>0</v>
      </c>
      <c r="O625" t="s">
        <v>44</v>
      </c>
      <c r="P625">
        <v>54200</v>
      </c>
      <c r="Q625">
        <v>11.9</v>
      </c>
      <c r="R625">
        <v>1.4</v>
      </c>
      <c r="S625">
        <v>5</v>
      </c>
      <c r="T625">
        <v>0</v>
      </c>
      <c r="U625">
        <v>3.5</v>
      </c>
      <c r="V625">
        <v>3.1</v>
      </c>
      <c r="W625">
        <v>2.5</v>
      </c>
      <c r="X625" t="s">
        <v>45</v>
      </c>
      <c r="Y625">
        <v>0</v>
      </c>
      <c r="Z625">
        <v>0</v>
      </c>
      <c r="AB625">
        <v>0</v>
      </c>
      <c r="AC625" t="s">
        <v>46</v>
      </c>
      <c r="AE625">
        <v>1</v>
      </c>
      <c r="AF625">
        <v>0</v>
      </c>
      <c r="AG625" t="s">
        <v>75</v>
      </c>
      <c r="AH625" t="s">
        <v>95</v>
      </c>
      <c r="AI625" t="s">
        <v>57</v>
      </c>
      <c r="AJ625" s="1" t="s">
        <v>627</v>
      </c>
      <c r="AK625">
        <v>8.3333333333333301E-2</v>
      </c>
      <c r="AL625">
        <v>0</v>
      </c>
    </row>
    <row r="626" spans="1:38" x14ac:dyDescent="0.35">
      <c r="A626" t="s">
        <v>824</v>
      </c>
      <c r="B626" t="s">
        <v>60</v>
      </c>
      <c r="C626" t="s">
        <v>107</v>
      </c>
      <c r="D626">
        <v>6.7</v>
      </c>
      <c r="E626" t="s">
        <v>81</v>
      </c>
      <c r="F626">
        <v>35</v>
      </c>
      <c r="G626" t="s">
        <v>234</v>
      </c>
      <c r="H626" t="s">
        <v>55</v>
      </c>
      <c r="I626">
        <v>2</v>
      </c>
      <c r="J626">
        <v>2.4</v>
      </c>
      <c r="K626">
        <v>7</v>
      </c>
      <c r="L626">
        <v>2</v>
      </c>
      <c r="M626">
        <v>12</v>
      </c>
      <c r="N626">
        <v>0</v>
      </c>
      <c r="O626" t="s">
        <v>82</v>
      </c>
      <c r="P626">
        <v>34200</v>
      </c>
      <c r="Q626">
        <v>14.9</v>
      </c>
      <c r="R626">
        <v>3.6</v>
      </c>
      <c r="S626">
        <v>3</v>
      </c>
      <c r="T626">
        <v>0</v>
      </c>
      <c r="U626">
        <v>1</v>
      </c>
      <c r="V626">
        <v>4.5</v>
      </c>
      <c r="W626">
        <v>4.8</v>
      </c>
      <c r="X626" t="s">
        <v>45</v>
      </c>
      <c r="Y626">
        <v>0</v>
      </c>
      <c r="Z626">
        <v>0</v>
      </c>
      <c r="AB626">
        <v>1</v>
      </c>
      <c r="AC626" t="s">
        <v>46</v>
      </c>
      <c r="AE626">
        <v>1</v>
      </c>
      <c r="AF626">
        <v>0</v>
      </c>
      <c r="AG626" t="s">
        <v>75</v>
      </c>
      <c r="AH626" t="s">
        <v>83</v>
      </c>
      <c r="AI626" t="s">
        <v>64</v>
      </c>
      <c r="AJ626" s="1" t="s">
        <v>174</v>
      </c>
      <c r="AK626" s="1" t="s">
        <v>84</v>
      </c>
      <c r="AL626">
        <v>0</v>
      </c>
    </row>
    <row r="627" spans="1:38" x14ac:dyDescent="0.35">
      <c r="A627" t="s">
        <v>825</v>
      </c>
      <c r="B627" t="s">
        <v>98</v>
      </c>
      <c r="C627" t="s">
        <v>99</v>
      </c>
      <c r="D627">
        <v>2.1</v>
      </c>
      <c r="E627" t="s">
        <v>81</v>
      </c>
      <c r="F627">
        <v>31</v>
      </c>
      <c r="G627" t="s">
        <v>42</v>
      </c>
      <c r="H627" t="s">
        <v>94</v>
      </c>
      <c r="I627">
        <v>1</v>
      </c>
      <c r="J627">
        <v>10.3</v>
      </c>
      <c r="K627">
        <v>10</v>
      </c>
      <c r="L627">
        <v>4</v>
      </c>
      <c r="M627">
        <v>12</v>
      </c>
      <c r="N627">
        <v>0</v>
      </c>
      <c r="O627" t="s">
        <v>82</v>
      </c>
      <c r="P627">
        <v>24700</v>
      </c>
      <c r="Q627">
        <v>0</v>
      </c>
      <c r="R627">
        <v>2</v>
      </c>
      <c r="S627">
        <v>4.5</v>
      </c>
      <c r="T627">
        <v>0</v>
      </c>
      <c r="U627">
        <v>3.5</v>
      </c>
      <c r="V627">
        <v>2.7</v>
      </c>
      <c r="W627">
        <v>4.7</v>
      </c>
      <c r="X627" t="s">
        <v>45</v>
      </c>
      <c r="Y627">
        <v>0</v>
      </c>
      <c r="Z627">
        <v>0</v>
      </c>
      <c r="AB627">
        <v>0</v>
      </c>
      <c r="AC627" t="s">
        <v>46</v>
      </c>
      <c r="AE627">
        <v>1</v>
      </c>
      <c r="AF627">
        <v>0</v>
      </c>
      <c r="AG627" t="s">
        <v>75</v>
      </c>
      <c r="AH627" t="s">
        <v>48</v>
      </c>
      <c r="AI627" t="s">
        <v>49</v>
      </c>
      <c r="AJ627" s="1" t="s">
        <v>190</v>
      </c>
      <c r="AK627">
        <v>8.3333333333333301E-2</v>
      </c>
      <c r="AL627">
        <v>0</v>
      </c>
    </row>
    <row r="628" spans="1:38" x14ac:dyDescent="0.35">
      <c r="A628" t="s">
        <v>826</v>
      </c>
      <c r="B628" t="s">
        <v>39</v>
      </c>
      <c r="C628" t="s">
        <v>40</v>
      </c>
      <c r="D628">
        <v>10.9</v>
      </c>
      <c r="E628" t="s">
        <v>67</v>
      </c>
      <c r="F628">
        <v>36</v>
      </c>
      <c r="G628" t="s">
        <v>42</v>
      </c>
      <c r="H628" t="s">
        <v>69</v>
      </c>
      <c r="I628">
        <v>1</v>
      </c>
      <c r="J628">
        <v>6</v>
      </c>
      <c r="K628">
        <v>8</v>
      </c>
      <c r="L628">
        <v>3</v>
      </c>
      <c r="M628">
        <v>12</v>
      </c>
      <c r="N628">
        <v>0</v>
      </c>
      <c r="O628" t="s">
        <v>44</v>
      </c>
      <c r="P628">
        <v>60200</v>
      </c>
      <c r="Q628">
        <v>12.9</v>
      </c>
      <c r="R628">
        <v>3.8</v>
      </c>
      <c r="S628">
        <v>2.1</v>
      </c>
      <c r="T628">
        <v>0</v>
      </c>
      <c r="U628">
        <v>3.6</v>
      </c>
      <c r="V628">
        <v>2.7</v>
      </c>
      <c r="W628">
        <v>4.0999999999999996</v>
      </c>
      <c r="X628" t="s">
        <v>45</v>
      </c>
      <c r="Y628">
        <v>0</v>
      </c>
      <c r="Z628">
        <v>2</v>
      </c>
      <c r="AA628">
        <v>0.8</v>
      </c>
      <c r="AB628">
        <v>0</v>
      </c>
      <c r="AC628" t="s">
        <v>46</v>
      </c>
      <c r="AE628">
        <v>0</v>
      </c>
      <c r="AF628">
        <v>0</v>
      </c>
      <c r="AG628" t="s">
        <v>47</v>
      </c>
      <c r="AH628" t="s">
        <v>83</v>
      </c>
      <c r="AI628" t="s">
        <v>64</v>
      </c>
      <c r="AJ628" s="1" t="s">
        <v>77</v>
      </c>
      <c r="AK628">
        <v>8.3333333333333301E-2</v>
      </c>
      <c r="AL628">
        <v>0</v>
      </c>
    </row>
    <row r="629" spans="1:38" x14ac:dyDescent="0.35">
      <c r="A629" t="s">
        <v>827</v>
      </c>
      <c r="B629" t="s">
        <v>73</v>
      </c>
      <c r="C629" t="s">
        <v>177</v>
      </c>
      <c r="D629">
        <v>6.3</v>
      </c>
      <c r="E629" t="s">
        <v>81</v>
      </c>
      <c r="F629">
        <v>29</v>
      </c>
      <c r="G629" t="s">
        <v>68</v>
      </c>
      <c r="H629" t="s">
        <v>43</v>
      </c>
      <c r="I629">
        <v>1</v>
      </c>
      <c r="J629">
        <v>8.5</v>
      </c>
      <c r="K629">
        <v>12</v>
      </c>
      <c r="L629">
        <v>5</v>
      </c>
      <c r="M629">
        <v>12</v>
      </c>
      <c r="N629">
        <v>0</v>
      </c>
      <c r="O629" t="s">
        <v>82</v>
      </c>
      <c r="P629">
        <v>27400</v>
      </c>
      <c r="Q629">
        <v>8.1</v>
      </c>
      <c r="R629">
        <v>4.0999999999999996</v>
      </c>
      <c r="S629">
        <v>0.8</v>
      </c>
      <c r="T629">
        <v>0</v>
      </c>
      <c r="U629">
        <v>3.1</v>
      </c>
      <c r="V629">
        <v>2.6</v>
      </c>
      <c r="W629">
        <v>3.4</v>
      </c>
      <c r="X629" t="s">
        <v>45</v>
      </c>
      <c r="Y629">
        <v>0</v>
      </c>
      <c r="Z629">
        <v>2</v>
      </c>
      <c r="AA629">
        <v>3.4</v>
      </c>
      <c r="AB629">
        <v>0</v>
      </c>
      <c r="AC629" t="s">
        <v>46</v>
      </c>
      <c r="AE629">
        <v>0</v>
      </c>
      <c r="AF629">
        <v>0</v>
      </c>
      <c r="AG629" t="s">
        <v>47</v>
      </c>
      <c r="AH629" t="s">
        <v>83</v>
      </c>
      <c r="AI629" t="s">
        <v>64</v>
      </c>
      <c r="AJ629" s="1" t="s">
        <v>627</v>
      </c>
      <c r="AK629">
        <v>8.3333333333333301E-2</v>
      </c>
      <c r="AL629">
        <v>0</v>
      </c>
    </row>
    <row r="630" spans="1:38" x14ac:dyDescent="0.35">
      <c r="A630" t="s">
        <v>828</v>
      </c>
      <c r="B630" t="s">
        <v>117</v>
      </c>
      <c r="C630" t="s">
        <v>118</v>
      </c>
      <c r="D630">
        <v>5.5</v>
      </c>
      <c r="E630" t="s">
        <v>81</v>
      </c>
      <c r="F630">
        <v>34</v>
      </c>
      <c r="G630" t="s">
        <v>42</v>
      </c>
      <c r="H630" t="s">
        <v>43</v>
      </c>
      <c r="I630">
        <v>7</v>
      </c>
      <c r="J630">
        <v>6.7</v>
      </c>
      <c r="K630">
        <v>11</v>
      </c>
      <c r="L630">
        <v>2</v>
      </c>
      <c r="M630">
        <v>12</v>
      </c>
      <c r="N630">
        <v>0</v>
      </c>
      <c r="O630" t="s">
        <v>82</v>
      </c>
      <c r="P630">
        <v>30700</v>
      </c>
      <c r="Q630">
        <v>8.9</v>
      </c>
      <c r="R630">
        <v>3.1</v>
      </c>
      <c r="S630">
        <v>2.4</v>
      </c>
      <c r="T630">
        <v>0</v>
      </c>
      <c r="U630">
        <v>3.2</v>
      </c>
      <c r="V630">
        <v>4.9000000000000004</v>
      </c>
      <c r="W630">
        <v>4.0999999999999996</v>
      </c>
      <c r="X630" t="s">
        <v>45</v>
      </c>
      <c r="Y630">
        <v>0</v>
      </c>
      <c r="Z630">
        <v>0</v>
      </c>
      <c r="AB630">
        <v>1</v>
      </c>
      <c r="AC630" t="s">
        <v>46</v>
      </c>
      <c r="AE630">
        <v>1</v>
      </c>
      <c r="AF630">
        <v>0</v>
      </c>
      <c r="AG630" t="s">
        <v>75</v>
      </c>
      <c r="AH630" t="s">
        <v>83</v>
      </c>
      <c r="AI630" t="s">
        <v>64</v>
      </c>
      <c r="AJ630" s="1" t="s">
        <v>677</v>
      </c>
      <c r="AK630" s="1" t="s">
        <v>105</v>
      </c>
      <c r="AL630">
        <v>0</v>
      </c>
    </row>
    <row r="631" spans="1:38" x14ac:dyDescent="0.35">
      <c r="A631" t="s">
        <v>829</v>
      </c>
      <c r="B631" t="s">
        <v>39</v>
      </c>
      <c r="C631" t="s">
        <v>88</v>
      </c>
      <c r="D631">
        <v>3.3</v>
      </c>
      <c r="E631" t="s">
        <v>41</v>
      </c>
      <c r="F631">
        <v>30</v>
      </c>
      <c r="G631" t="s">
        <v>42</v>
      </c>
      <c r="H631" t="s">
        <v>94</v>
      </c>
      <c r="I631">
        <v>2</v>
      </c>
      <c r="J631">
        <v>2.6</v>
      </c>
      <c r="K631">
        <v>10</v>
      </c>
      <c r="L631">
        <v>3</v>
      </c>
      <c r="M631">
        <v>12</v>
      </c>
      <c r="N631">
        <v>0</v>
      </c>
      <c r="O631" t="s">
        <v>44</v>
      </c>
      <c r="P631">
        <v>71400</v>
      </c>
      <c r="Q631">
        <v>13.4</v>
      </c>
      <c r="R631">
        <v>2.2000000000000002</v>
      </c>
      <c r="S631">
        <v>3.8</v>
      </c>
      <c r="T631">
        <v>0</v>
      </c>
      <c r="U631">
        <v>2.2000000000000002</v>
      </c>
      <c r="V631">
        <v>2.6</v>
      </c>
      <c r="W631">
        <v>4.4000000000000004</v>
      </c>
      <c r="X631" t="s">
        <v>45</v>
      </c>
      <c r="Y631">
        <v>0</v>
      </c>
      <c r="Z631">
        <v>2</v>
      </c>
      <c r="AA631">
        <v>3</v>
      </c>
      <c r="AB631">
        <v>0</v>
      </c>
      <c r="AC631" t="s">
        <v>46</v>
      </c>
      <c r="AE631">
        <v>0</v>
      </c>
      <c r="AF631">
        <v>0</v>
      </c>
      <c r="AG631" t="s">
        <v>47</v>
      </c>
      <c r="AH631" t="s">
        <v>76</v>
      </c>
      <c r="AI631" t="s">
        <v>64</v>
      </c>
      <c r="AJ631" s="1" t="s">
        <v>446</v>
      </c>
      <c r="AK631" s="1" t="s">
        <v>84</v>
      </c>
      <c r="AL631">
        <v>0</v>
      </c>
    </row>
    <row r="632" spans="1:38" x14ac:dyDescent="0.35">
      <c r="A632" t="s">
        <v>830</v>
      </c>
      <c r="B632" t="s">
        <v>60</v>
      </c>
      <c r="C632" t="s">
        <v>107</v>
      </c>
      <c r="D632">
        <v>16.600000000000001</v>
      </c>
      <c r="E632" t="s">
        <v>110</v>
      </c>
      <c r="F632">
        <v>37</v>
      </c>
      <c r="G632" t="s">
        <v>42</v>
      </c>
      <c r="H632" t="s">
        <v>69</v>
      </c>
      <c r="I632">
        <v>2</v>
      </c>
      <c r="J632">
        <v>23.8</v>
      </c>
      <c r="K632">
        <v>10</v>
      </c>
      <c r="L632">
        <v>2</v>
      </c>
      <c r="M632">
        <v>12</v>
      </c>
      <c r="N632">
        <v>0</v>
      </c>
      <c r="O632" t="s">
        <v>44</v>
      </c>
      <c r="P632">
        <v>63700</v>
      </c>
      <c r="Q632">
        <v>0</v>
      </c>
      <c r="R632">
        <v>4.3</v>
      </c>
      <c r="S632">
        <v>0.5</v>
      </c>
      <c r="T632">
        <v>0</v>
      </c>
      <c r="U632">
        <v>4.5</v>
      </c>
      <c r="V632">
        <v>4.4000000000000004</v>
      </c>
      <c r="W632">
        <v>2.9</v>
      </c>
      <c r="X632" t="s">
        <v>45</v>
      </c>
      <c r="Y632">
        <v>0</v>
      </c>
      <c r="Z632">
        <v>0</v>
      </c>
      <c r="AB632">
        <v>1</v>
      </c>
      <c r="AC632" t="s">
        <v>46</v>
      </c>
      <c r="AE632">
        <v>1</v>
      </c>
      <c r="AF632">
        <v>0</v>
      </c>
      <c r="AG632" t="s">
        <v>75</v>
      </c>
      <c r="AH632" t="s">
        <v>83</v>
      </c>
      <c r="AI632" t="s">
        <v>57</v>
      </c>
      <c r="AJ632" s="1" t="s">
        <v>219</v>
      </c>
      <c r="AK632" s="1" t="s">
        <v>84</v>
      </c>
      <c r="AL632">
        <v>0</v>
      </c>
    </row>
    <row r="633" spans="1:38" x14ac:dyDescent="0.35">
      <c r="A633" t="s">
        <v>831</v>
      </c>
      <c r="B633" t="s">
        <v>60</v>
      </c>
      <c r="C633" t="s">
        <v>107</v>
      </c>
      <c r="D633">
        <v>2.6</v>
      </c>
      <c r="E633" t="s">
        <v>81</v>
      </c>
      <c r="F633">
        <v>27</v>
      </c>
      <c r="G633" t="s">
        <v>68</v>
      </c>
      <c r="H633" t="s">
        <v>43</v>
      </c>
      <c r="I633">
        <v>3</v>
      </c>
      <c r="J633">
        <v>5.2</v>
      </c>
      <c r="K633">
        <v>8</v>
      </c>
      <c r="L633">
        <v>4</v>
      </c>
      <c r="M633">
        <v>12</v>
      </c>
      <c r="N633">
        <v>0</v>
      </c>
      <c r="O633" t="s">
        <v>82</v>
      </c>
      <c r="P633">
        <v>25600</v>
      </c>
      <c r="Q633">
        <v>11.3</v>
      </c>
      <c r="R633">
        <v>3.2</v>
      </c>
      <c r="S633">
        <v>1.9</v>
      </c>
      <c r="T633">
        <v>0</v>
      </c>
      <c r="U633">
        <v>3</v>
      </c>
      <c r="V633">
        <v>2.2999999999999998</v>
      </c>
      <c r="W633">
        <v>3.4</v>
      </c>
      <c r="X633" t="s">
        <v>45</v>
      </c>
      <c r="Y633">
        <v>0</v>
      </c>
      <c r="Z633">
        <v>2</v>
      </c>
      <c r="AA633">
        <v>0.5</v>
      </c>
      <c r="AB633">
        <v>0</v>
      </c>
      <c r="AC633" t="s">
        <v>46</v>
      </c>
      <c r="AE633">
        <v>0</v>
      </c>
      <c r="AF633">
        <v>0</v>
      </c>
      <c r="AG633" t="s">
        <v>47</v>
      </c>
      <c r="AH633" t="s">
        <v>48</v>
      </c>
      <c r="AI633" t="s">
        <v>64</v>
      </c>
      <c r="AJ633">
        <v>2.9</v>
      </c>
      <c r="AK633">
        <v>0.25</v>
      </c>
      <c r="AL633">
        <v>0</v>
      </c>
    </row>
    <row r="634" spans="1:38" x14ac:dyDescent="0.35">
      <c r="A634" t="s">
        <v>832</v>
      </c>
      <c r="B634" t="s">
        <v>73</v>
      </c>
      <c r="C634" t="s">
        <v>74</v>
      </c>
      <c r="D634">
        <v>1.6</v>
      </c>
      <c r="E634" t="s">
        <v>110</v>
      </c>
      <c r="F634">
        <v>27</v>
      </c>
      <c r="G634" t="s">
        <v>68</v>
      </c>
      <c r="H634" t="s">
        <v>55</v>
      </c>
      <c r="I634">
        <v>5</v>
      </c>
      <c r="J634">
        <v>6.1</v>
      </c>
      <c r="K634">
        <v>9</v>
      </c>
      <c r="L634">
        <v>1</v>
      </c>
      <c r="M634">
        <v>12</v>
      </c>
      <c r="N634">
        <v>0</v>
      </c>
      <c r="O634" t="s">
        <v>44</v>
      </c>
      <c r="P634">
        <v>58700</v>
      </c>
      <c r="Q634">
        <v>13.1</v>
      </c>
      <c r="R634">
        <v>3.3</v>
      </c>
      <c r="S634">
        <v>2.8</v>
      </c>
      <c r="T634">
        <v>0</v>
      </c>
      <c r="U634">
        <v>2.4</v>
      </c>
      <c r="V634">
        <v>3.7</v>
      </c>
      <c r="W634">
        <v>2.5</v>
      </c>
      <c r="X634" t="s">
        <v>45</v>
      </c>
      <c r="Y634">
        <v>0</v>
      </c>
      <c r="Z634">
        <v>1</v>
      </c>
      <c r="AA634">
        <v>0.2</v>
      </c>
      <c r="AB634">
        <v>0</v>
      </c>
      <c r="AC634" t="s">
        <v>46</v>
      </c>
      <c r="AE634">
        <v>0</v>
      </c>
      <c r="AF634">
        <v>0</v>
      </c>
      <c r="AG634" t="s">
        <v>47</v>
      </c>
      <c r="AH634" t="s">
        <v>48</v>
      </c>
      <c r="AI634" t="s">
        <v>64</v>
      </c>
      <c r="AJ634" s="1" t="s">
        <v>182</v>
      </c>
      <c r="AK634" s="1" t="s">
        <v>127</v>
      </c>
      <c r="AL634">
        <v>0</v>
      </c>
    </row>
    <row r="635" spans="1:38" x14ac:dyDescent="0.35">
      <c r="A635" t="s">
        <v>833</v>
      </c>
      <c r="B635" t="s">
        <v>98</v>
      </c>
      <c r="C635" t="s">
        <v>99</v>
      </c>
      <c r="D635">
        <v>2.2000000000000002</v>
      </c>
      <c r="E635" t="s">
        <v>67</v>
      </c>
      <c r="F635">
        <v>26</v>
      </c>
      <c r="G635" t="s">
        <v>42</v>
      </c>
      <c r="H635" t="s">
        <v>43</v>
      </c>
      <c r="I635">
        <v>2</v>
      </c>
      <c r="J635">
        <v>27.4</v>
      </c>
      <c r="K635">
        <v>9</v>
      </c>
      <c r="L635">
        <v>4</v>
      </c>
      <c r="M635">
        <v>12</v>
      </c>
      <c r="N635">
        <v>0</v>
      </c>
      <c r="O635" t="s">
        <v>82</v>
      </c>
      <c r="P635">
        <v>34200</v>
      </c>
      <c r="Q635">
        <v>5.2</v>
      </c>
      <c r="R635">
        <v>2.4</v>
      </c>
      <c r="S635">
        <v>0.7</v>
      </c>
      <c r="T635">
        <v>0</v>
      </c>
      <c r="U635">
        <v>3.8</v>
      </c>
      <c r="V635">
        <v>3.3</v>
      </c>
      <c r="W635">
        <v>3.3</v>
      </c>
      <c r="X635" t="s">
        <v>89</v>
      </c>
      <c r="Y635">
        <v>1</v>
      </c>
      <c r="Z635">
        <v>2</v>
      </c>
      <c r="AA635">
        <v>1.7</v>
      </c>
      <c r="AB635">
        <v>0</v>
      </c>
      <c r="AC635" t="s">
        <v>46</v>
      </c>
      <c r="AE635">
        <v>0</v>
      </c>
      <c r="AF635">
        <v>0</v>
      </c>
      <c r="AG635" t="s">
        <v>47</v>
      </c>
      <c r="AH635" t="s">
        <v>48</v>
      </c>
      <c r="AI635" t="s">
        <v>57</v>
      </c>
      <c r="AJ635" s="1" t="s">
        <v>137</v>
      </c>
      <c r="AK635" s="1" t="s">
        <v>84</v>
      </c>
      <c r="AL635">
        <v>0</v>
      </c>
    </row>
    <row r="636" spans="1:38" x14ac:dyDescent="0.35">
      <c r="A636" t="s">
        <v>834</v>
      </c>
      <c r="B636" t="s">
        <v>73</v>
      </c>
      <c r="C636" t="s">
        <v>177</v>
      </c>
      <c r="D636">
        <v>7.5</v>
      </c>
      <c r="E636" t="s">
        <v>62</v>
      </c>
      <c r="F636">
        <v>39</v>
      </c>
      <c r="G636" t="s">
        <v>54</v>
      </c>
      <c r="H636" t="s">
        <v>63</v>
      </c>
      <c r="I636">
        <v>1</v>
      </c>
      <c r="J636">
        <v>2.1</v>
      </c>
      <c r="K636">
        <v>9</v>
      </c>
      <c r="L636">
        <v>2</v>
      </c>
      <c r="M636">
        <v>12</v>
      </c>
      <c r="N636">
        <v>0</v>
      </c>
      <c r="O636" t="s">
        <v>56</v>
      </c>
      <c r="P636">
        <v>81000</v>
      </c>
      <c r="Q636">
        <v>2.4</v>
      </c>
      <c r="R636">
        <v>3.4</v>
      </c>
      <c r="S636">
        <v>0.9</v>
      </c>
      <c r="T636">
        <v>0</v>
      </c>
      <c r="U636">
        <v>3.4</v>
      </c>
      <c r="V636">
        <v>4.3</v>
      </c>
      <c r="W636">
        <v>4.5999999999999996</v>
      </c>
      <c r="X636" t="s">
        <v>45</v>
      </c>
      <c r="Y636">
        <v>0</v>
      </c>
      <c r="Z636">
        <v>2</v>
      </c>
      <c r="AA636">
        <v>1.2</v>
      </c>
      <c r="AB636">
        <v>0</v>
      </c>
      <c r="AC636" t="s">
        <v>46</v>
      </c>
      <c r="AE636">
        <v>0</v>
      </c>
      <c r="AF636">
        <v>0</v>
      </c>
      <c r="AG636" t="s">
        <v>47</v>
      </c>
      <c r="AH636" t="s">
        <v>83</v>
      </c>
      <c r="AI636" t="s">
        <v>64</v>
      </c>
      <c r="AJ636">
        <v>4.0999999999999996</v>
      </c>
      <c r="AK636">
        <v>8.3333333333333301E-2</v>
      </c>
      <c r="AL636">
        <v>0</v>
      </c>
    </row>
    <row r="637" spans="1:38" x14ac:dyDescent="0.35">
      <c r="A637" t="s">
        <v>835</v>
      </c>
      <c r="B637" t="s">
        <v>73</v>
      </c>
      <c r="C637" t="s">
        <v>177</v>
      </c>
      <c r="D637">
        <v>4</v>
      </c>
      <c r="E637" t="s">
        <v>81</v>
      </c>
      <c r="F637">
        <v>32</v>
      </c>
      <c r="G637" t="s">
        <v>42</v>
      </c>
      <c r="H637" t="s">
        <v>69</v>
      </c>
      <c r="I637">
        <v>5</v>
      </c>
      <c r="J637">
        <v>13.9</v>
      </c>
      <c r="K637">
        <v>8</v>
      </c>
      <c r="L637">
        <v>0</v>
      </c>
      <c r="M637">
        <v>12</v>
      </c>
      <c r="N637">
        <v>0</v>
      </c>
      <c r="O637" t="s">
        <v>82</v>
      </c>
      <c r="P637">
        <v>25000</v>
      </c>
      <c r="Q637">
        <v>14.6</v>
      </c>
      <c r="R637">
        <v>3</v>
      </c>
      <c r="S637">
        <v>1.2</v>
      </c>
      <c r="T637">
        <v>0</v>
      </c>
      <c r="U637">
        <v>3</v>
      </c>
      <c r="V637">
        <v>4.2</v>
      </c>
      <c r="W637">
        <v>4.3</v>
      </c>
      <c r="X637" t="s">
        <v>45</v>
      </c>
      <c r="Y637">
        <v>0</v>
      </c>
      <c r="Z637">
        <v>1</v>
      </c>
      <c r="AA637">
        <v>0.3</v>
      </c>
      <c r="AB637">
        <v>1</v>
      </c>
      <c r="AC637" t="s">
        <v>46</v>
      </c>
      <c r="AE637">
        <v>0</v>
      </c>
      <c r="AF637">
        <v>0</v>
      </c>
      <c r="AG637" t="s">
        <v>47</v>
      </c>
      <c r="AH637" t="s">
        <v>76</v>
      </c>
      <c r="AI637" t="s">
        <v>49</v>
      </c>
      <c r="AJ637" s="1" t="s">
        <v>180</v>
      </c>
      <c r="AK637" s="1" t="s">
        <v>127</v>
      </c>
      <c r="AL637">
        <v>0</v>
      </c>
    </row>
    <row r="638" spans="1:38" x14ac:dyDescent="0.35">
      <c r="A638" t="s">
        <v>836</v>
      </c>
      <c r="B638" t="s">
        <v>39</v>
      </c>
      <c r="C638" t="s">
        <v>66</v>
      </c>
      <c r="D638">
        <v>3.6</v>
      </c>
      <c r="E638" t="s">
        <v>110</v>
      </c>
      <c r="F638">
        <v>35</v>
      </c>
      <c r="G638" t="s">
        <v>42</v>
      </c>
      <c r="H638" t="s">
        <v>55</v>
      </c>
      <c r="I638">
        <v>3</v>
      </c>
      <c r="J638">
        <v>20.7</v>
      </c>
      <c r="K638">
        <v>6</v>
      </c>
      <c r="L638">
        <v>2</v>
      </c>
      <c r="M638">
        <v>12</v>
      </c>
      <c r="N638">
        <v>0</v>
      </c>
      <c r="O638" t="s">
        <v>44</v>
      </c>
      <c r="P638">
        <v>62500</v>
      </c>
      <c r="Q638">
        <v>1</v>
      </c>
      <c r="R638">
        <v>2</v>
      </c>
      <c r="S638">
        <v>1.9</v>
      </c>
      <c r="T638">
        <v>0</v>
      </c>
      <c r="U638">
        <v>2.9</v>
      </c>
      <c r="V638">
        <v>3.3</v>
      </c>
      <c r="W638">
        <v>3.5</v>
      </c>
      <c r="X638" t="s">
        <v>89</v>
      </c>
      <c r="Y638">
        <v>0</v>
      </c>
      <c r="Z638">
        <v>0</v>
      </c>
      <c r="AB638">
        <v>0</v>
      </c>
      <c r="AC638" t="s">
        <v>46</v>
      </c>
      <c r="AE638">
        <v>1</v>
      </c>
      <c r="AF638">
        <v>0</v>
      </c>
      <c r="AG638" t="s">
        <v>75</v>
      </c>
      <c r="AH638" t="s">
        <v>76</v>
      </c>
      <c r="AI638" t="s">
        <v>57</v>
      </c>
      <c r="AJ638" s="1" t="s">
        <v>198</v>
      </c>
      <c r="AK638">
        <v>0.25</v>
      </c>
      <c r="AL638">
        <v>0</v>
      </c>
    </row>
    <row r="639" spans="1:38" x14ac:dyDescent="0.35">
      <c r="A639" t="s">
        <v>837</v>
      </c>
      <c r="B639" t="s">
        <v>39</v>
      </c>
      <c r="C639" t="s">
        <v>40</v>
      </c>
      <c r="D639">
        <v>2.6</v>
      </c>
      <c r="E639" t="s">
        <v>41</v>
      </c>
      <c r="F639">
        <v>30</v>
      </c>
      <c r="G639" t="s">
        <v>68</v>
      </c>
      <c r="H639" t="s">
        <v>94</v>
      </c>
      <c r="I639">
        <v>4</v>
      </c>
      <c r="J639">
        <v>25.9</v>
      </c>
      <c r="K639">
        <v>8</v>
      </c>
      <c r="L639">
        <v>3</v>
      </c>
      <c r="M639">
        <v>12</v>
      </c>
      <c r="N639">
        <v>0</v>
      </c>
      <c r="O639" t="s">
        <v>56</v>
      </c>
      <c r="P639">
        <v>81200</v>
      </c>
      <c r="Q639">
        <v>9.6999999999999993</v>
      </c>
      <c r="R639">
        <v>4.4000000000000004</v>
      </c>
      <c r="S639">
        <v>1.3</v>
      </c>
      <c r="T639">
        <v>0</v>
      </c>
      <c r="U639">
        <v>3.3</v>
      </c>
      <c r="V639">
        <v>2.7</v>
      </c>
      <c r="W639">
        <v>1.2</v>
      </c>
      <c r="X639" t="s">
        <v>89</v>
      </c>
      <c r="Y639">
        <v>0</v>
      </c>
      <c r="Z639">
        <v>1</v>
      </c>
      <c r="AA639">
        <v>2.5</v>
      </c>
      <c r="AB639">
        <v>0</v>
      </c>
      <c r="AC639" t="s">
        <v>46</v>
      </c>
      <c r="AE639">
        <v>0</v>
      </c>
      <c r="AF639">
        <v>0</v>
      </c>
      <c r="AG639" t="s">
        <v>47</v>
      </c>
      <c r="AH639" t="s">
        <v>48</v>
      </c>
      <c r="AI639" t="s">
        <v>57</v>
      </c>
      <c r="AJ639">
        <v>2.4</v>
      </c>
      <c r="AK639" s="1" t="s">
        <v>115</v>
      </c>
      <c r="AL639">
        <v>0</v>
      </c>
    </row>
    <row r="640" spans="1:38" x14ac:dyDescent="0.35">
      <c r="A640" t="s">
        <v>838</v>
      </c>
      <c r="B640" t="s">
        <v>39</v>
      </c>
      <c r="C640" t="s">
        <v>88</v>
      </c>
      <c r="D640">
        <v>3.4</v>
      </c>
      <c r="E640" t="s">
        <v>81</v>
      </c>
      <c r="F640">
        <v>30</v>
      </c>
      <c r="G640" t="s">
        <v>42</v>
      </c>
      <c r="H640" t="s">
        <v>94</v>
      </c>
      <c r="I640">
        <v>6</v>
      </c>
      <c r="J640">
        <v>13.2</v>
      </c>
      <c r="K640">
        <v>10</v>
      </c>
      <c r="L640">
        <v>1</v>
      </c>
      <c r="M640">
        <v>12</v>
      </c>
      <c r="N640">
        <v>0</v>
      </c>
      <c r="O640" t="s">
        <v>82</v>
      </c>
      <c r="P640">
        <v>21700</v>
      </c>
      <c r="Q640">
        <v>12.1</v>
      </c>
      <c r="R640">
        <v>4.8</v>
      </c>
      <c r="S640">
        <v>1.5</v>
      </c>
      <c r="T640">
        <v>0</v>
      </c>
      <c r="U640">
        <v>4.5</v>
      </c>
      <c r="V640">
        <v>4.7</v>
      </c>
      <c r="W640">
        <v>2.9</v>
      </c>
      <c r="X640" t="s">
        <v>45</v>
      </c>
      <c r="Y640">
        <v>0</v>
      </c>
      <c r="Z640">
        <v>1</v>
      </c>
      <c r="AA640">
        <v>1</v>
      </c>
      <c r="AB640">
        <v>0</v>
      </c>
      <c r="AC640" t="s">
        <v>46</v>
      </c>
      <c r="AE640">
        <v>0</v>
      </c>
      <c r="AF640">
        <v>0</v>
      </c>
      <c r="AG640" t="s">
        <v>47</v>
      </c>
      <c r="AH640" t="s">
        <v>76</v>
      </c>
      <c r="AI640" t="s">
        <v>49</v>
      </c>
      <c r="AJ640" s="1" t="s">
        <v>288</v>
      </c>
      <c r="AK640">
        <v>0.5</v>
      </c>
      <c r="AL640">
        <v>0</v>
      </c>
    </row>
    <row r="641" spans="1:38" x14ac:dyDescent="0.35">
      <c r="A641" t="s">
        <v>839</v>
      </c>
      <c r="B641" t="s">
        <v>60</v>
      </c>
      <c r="C641" t="s">
        <v>107</v>
      </c>
      <c r="D641">
        <v>2.5</v>
      </c>
      <c r="E641" t="s">
        <v>81</v>
      </c>
      <c r="F641">
        <v>25</v>
      </c>
      <c r="G641" t="s">
        <v>54</v>
      </c>
      <c r="H641" t="s">
        <v>43</v>
      </c>
      <c r="I641">
        <v>1</v>
      </c>
      <c r="J641">
        <v>17</v>
      </c>
      <c r="K641">
        <v>5</v>
      </c>
      <c r="L641">
        <v>3</v>
      </c>
      <c r="M641">
        <v>12</v>
      </c>
      <c r="N641">
        <v>0</v>
      </c>
      <c r="O641" t="s">
        <v>82</v>
      </c>
      <c r="P641">
        <v>31000</v>
      </c>
      <c r="Q641">
        <v>9.6</v>
      </c>
      <c r="R641">
        <v>4.0999999999999996</v>
      </c>
      <c r="S641">
        <v>5.5</v>
      </c>
      <c r="T641">
        <v>0</v>
      </c>
      <c r="U641">
        <v>3.7</v>
      </c>
      <c r="V641">
        <v>2.6</v>
      </c>
      <c r="W641">
        <v>3.5</v>
      </c>
      <c r="X641" t="s">
        <v>45</v>
      </c>
      <c r="Y641">
        <v>0</v>
      </c>
      <c r="Z641">
        <v>0</v>
      </c>
      <c r="AB641">
        <v>0</v>
      </c>
      <c r="AC641" t="s">
        <v>46</v>
      </c>
      <c r="AE641">
        <v>1</v>
      </c>
      <c r="AF641">
        <v>0</v>
      </c>
      <c r="AG641" t="s">
        <v>75</v>
      </c>
      <c r="AH641" t="s">
        <v>48</v>
      </c>
      <c r="AI641" t="s">
        <v>49</v>
      </c>
      <c r="AJ641" s="1" t="s">
        <v>235</v>
      </c>
      <c r="AK641">
        <v>8.3333333333333301E-2</v>
      </c>
      <c r="AL641">
        <v>0</v>
      </c>
    </row>
    <row r="642" spans="1:38" x14ac:dyDescent="0.35">
      <c r="A642" t="s">
        <v>840</v>
      </c>
      <c r="B642" t="s">
        <v>39</v>
      </c>
      <c r="C642" t="s">
        <v>88</v>
      </c>
      <c r="D642">
        <v>5.9</v>
      </c>
      <c r="E642" t="s">
        <v>67</v>
      </c>
      <c r="F642">
        <v>32</v>
      </c>
      <c r="G642" t="s">
        <v>68</v>
      </c>
      <c r="H642" t="s">
        <v>55</v>
      </c>
      <c r="I642">
        <v>2</v>
      </c>
      <c r="J642">
        <v>20.7</v>
      </c>
      <c r="K642">
        <v>9</v>
      </c>
      <c r="L642">
        <v>1</v>
      </c>
      <c r="M642">
        <v>12</v>
      </c>
      <c r="N642">
        <v>0</v>
      </c>
      <c r="O642" t="s">
        <v>82</v>
      </c>
      <c r="P642">
        <v>30700</v>
      </c>
      <c r="Q642">
        <v>10.3</v>
      </c>
      <c r="R642">
        <v>4</v>
      </c>
      <c r="S642">
        <v>1.3</v>
      </c>
      <c r="T642">
        <v>0</v>
      </c>
      <c r="U642">
        <v>3.3</v>
      </c>
      <c r="V642">
        <v>1.2</v>
      </c>
      <c r="W642">
        <v>3.2</v>
      </c>
      <c r="X642" t="s">
        <v>45</v>
      </c>
      <c r="Y642">
        <v>0</v>
      </c>
      <c r="Z642">
        <v>0</v>
      </c>
      <c r="AB642">
        <v>1</v>
      </c>
      <c r="AC642" t="s">
        <v>46</v>
      </c>
      <c r="AE642">
        <v>1</v>
      </c>
      <c r="AF642">
        <v>0</v>
      </c>
      <c r="AG642" t="s">
        <v>75</v>
      </c>
      <c r="AH642" t="s">
        <v>83</v>
      </c>
      <c r="AI642" t="s">
        <v>57</v>
      </c>
      <c r="AJ642" s="1" t="s">
        <v>119</v>
      </c>
      <c r="AK642" s="1" t="s">
        <v>84</v>
      </c>
      <c r="AL642">
        <v>0</v>
      </c>
    </row>
    <row r="643" spans="1:38" x14ac:dyDescent="0.35">
      <c r="A643" t="s">
        <v>841</v>
      </c>
      <c r="B643" t="s">
        <v>39</v>
      </c>
      <c r="C643" t="s">
        <v>66</v>
      </c>
      <c r="D643">
        <v>3.1</v>
      </c>
      <c r="E643" t="s">
        <v>41</v>
      </c>
      <c r="F643">
        <v>29</v>
      </c>
      <c r="G643" t="s">
        <v>42</v>
      </c>
      <c r="H643" t="s">
        <v>69</v>
      </c>
      <c r="I643">
        <v>1</v>
      </c>
      <c r="J643">
        <v>9.1</v>
      </c>
      <c r="K643">
        <v>7</v>
      </c>
      <c r="L643">
        <v>0</v>
      </c>
      <c r="M643">
        <v>12</v>
      </c>
      <c r="N643">
        <v>0</v>
      </c>
      <c r="O643" t="s">
        <v>44</v>
      </c>
      <c r="P643">
        <v>70900</v>
      </c>
      <c r="Q643">
        <v>6.9</v>
      </c>
      <c r="R643">
        <v>4.8</v>
      </c>
      <c r="S643">
        <v>4.2</v>
      </c>
      <c r="T643">
        <v>0</v>
      </c>
      <c r="U643">
        <v>4.0999999999999996</v>
      </c>
      <c r="V643">
        <v>1.5</v>
      </c>
      <c r="W643">
        <v>3.4</v>
      </c>
      <c r="X643" t="s">
        <v>45</v>
      </c>
      <c r="Y643">
        <v>0</v>
      </c>
      <c r="Z643">
        <v>1</v>
      </c>
      <c r="AA643">
        <v>1.9</v>
      </c>
      <c r="AB643">
        <v>1</v>
      </c>
      <c r="AC643" t="s">
        <v>46</v>
      </c>
      <c r="AE643">
        <v>0</v>
      </c>
      <c r="AF643">
        <v>0</v>
      </c>
      <c r="AG643" t="s">
        <v>47</v>
      </c>
      <c r="AH643" t="s">
        <v>76</v>
      </c>
      <c r="AI643" t="s">
        <v>64</v>
      </c>
      <c r="AJ643">
        <v>3</v>
      </c>
      <c r="AK643">
        <v>8.3333333333333301E-2</v>
      </c>
      <c r="AL643">
        <v>0</v>
      </c>
    </row>
    <row r="644" spans="1:38" x14ac:dyDescent="0.35">
      <c r="A644" t="s">
        <v>842</v>
      </c>
      <c r="B644" t="s">
        <v>73</v>
      </c>
      <c r="C644" t="s">
        <v>177</v>
      </c>
      <c r="D644">
        <v>2.2000000000000002</v>
      </c>
      <c r="E644" t="s">
        <v>110</v>
      </c>
      <c r="F644">
        <v>23</v>
      </c>
      <c r="G644" t="s">
        <v>68</v>
      </c>
      <c r="H644" t="s">
        <v>55</v>
      </c>
      <c r="I644">
        <v>1</v>
      </c>
      <c r="J644">
        <v>4.5</v>
      </c>
      <c r="K644">
        <v>7</v>
      </c>
      <c r="L644">
        <v>1</v>
      </c>
      <c r="M644">
        <v>12</v>
      </c>
      <c r="N644">
        <v>0</v>
      </c>
      <c r="O644" t="s">
        <v>70</v>
      </c>
      <c r="P644">
        <v>44600</v>
      </c>
      <c r="Q644">
        <v>9.9</v>
      </c>
      <c r="R644">
        <v>2.2999999999999998</v>
      </c>
      <c r="S644">
        <v>7.3</v>
      </c>
      <c r="T644">
        <v>0</v>
      </c>
      <c r="U644">
        <v>3.3</v>
      </c>
      <c r="V644">
        <v>1.7</v>
      </c>
      <c r="W644">
        <v>3.6</v>
      </c>
      <c r="X644" t="s">
        <v>45</v>
      </c>
      <c r="Y644">
        <v>0</v>
      </c>
      <c r="Z644">
        <v>1</v>
      </c>
      <c r="AA644">
        <v>1.3</v>
      </c>
      <c r="AB644">
        <v>0</v>
      </c>
      <c r="AC644" t="s">
        <v>46</v>
      </c>
      <c r="AE644">
        <v>0</v>
      </c>
      <c r="AF644">
        <v>0</v>
      </c>
      <c r="AG644" t="s">
        <v>47</v>
      </c>
      <c r="AH644" t="s">
        <v>48</v>
      </c>
      <c r="AI644" t="s">
        <v>64</v>
      </c>
      <c r="AJ644" s="1" t="s">
        <v>182</v>
      </c>
      <c r="AK644">
        <v>8.3333333333333301E-2</v>
      </c>
      <c r="AL644">
        <v>0</v>
      </c>
    </row>
    <row r="645" spans="1:38" x14ac:dyDescent="0.35">
      <c r="A645" t="s">
        <v>843</v>
      </c>
      <c r="B645" t="s">
        <v>73</v>
      </c>
      <c r="C645" t="s">
        <v>113</v>
      </c>
      <c r="D645">
        <v>7.1</v>
      </c>
      <c r="E645" t="s">
        <v>110</v>
      </c>
      <c r="F645">
        <v>31</v>
      </c>
      <c r="G645" t="s">
        <v>54</v>
      </c>
      <c r="H645" t="s">
        <v>55</v>
      </c>
      <c r="I645">
        <v>3</v>
      </c>
      <c r="J645">
        <v>28.8</v>
      </c>
      <c r="K645">
        <v>8</v>
      </c>
      <c r="L645">
        <v>2</v>
      </c>
      <c r="M645">
        <v>12</v>
      </c>
      <c r="N645">
        <v>0</v>
      </c>
      <c r="O645" t="s">
        <v>44</v>
      </c>
      <c r="P645">
        <v>62000</v>
      </c>
      <c r="Q645">
        <v>5.2</v>
      </c>
      <c r="R645">
        <v>2.2000000000000002</v>
      </c>
      <c r="S645">
        <v>0.6</v>
      </c>
      <c r="T645">
        <v>0</v>
      </c>
      <c r="U645">
        <v>3.7</v>
      </c>
      <c r="V645">
        <v>3.7</v>
      </c>
      <c r="W645">
        <v>3</v>
      </c>
      <c r="X645" t="s">
        <v>89</v>
      </c>
      <c r="Y645">
        <v>0</v>
      </c>
      <c r="Z645">
        <v>0</v>
      </c>
      <c r="AB645">
        <v>0</v>
      </c>
      <c r="AC645" t="s">
        <v>124</v>
      </c>
      <c r="AD645" s="2">
        <v>45863</v>
      </c>
      <c r="AE645">
        <v>1</v>
      </c>
      <c r="AF645">
        <v>0</v>
      </c>
      <c r="AG645" t="s">
        <v>75</v>
      </c>
      <c r="AH645" t="s">
        <v>83</v>
      </c>
      <c r="AI645" t="s">
        <v>57</v>
      </c>
      <c r="AJ645" s="1" t="s">
        <v>77</v>
      </c>
      <c r="AK645">
        <v>0.25</v>
      </c>
      <c r="AL645">
        <v>1</v>
      </c>
    </row>
    <row r="646" spans="1:38" x14ac:dyDescent="0.35">
      <c r="A646" t="s">
        <v>844</v>
      </c>
      <c r="B646" t="s">
        <v>39</v>
      </c>
      <c r="C646" t="s">
        <v>66</v>
      </c>
      <c r="D646">
        <v>1.6</v>
      </c>
      <c r="E646" t="s">
        <v>41</v>
      </c>
      <c r="F646">
        <v>26</v>
      </c>
      <c r="G646" t="s">
        <v>68</v>
      </c>
      <c r="H646" t="s">
        <v>69</v>
      </c>
      <c r="I646">
        <v>3</v>
      </c>
      <c r="J646">
        <v>15.7</v>
      </c>
      <c r="K646">
        <v>6</v>
      </c>
      <c r="L646">
        <v>1</v>
      </c>
      <c r="M646">
        <v>12</v>
      </c>
      <c r="N646">
        <v>0</v>
      </c>
      <c r="O646" t="s">
        <v>44</v>
      </c>
      <c r="P646">
        <v>74700</v>
      </c>
      <c r="Q646">
        <v>5.7</v>
      </c>
      <c r="R646">
        <v>2.8</v>
      </c>
      <c r="S646">
        <v>3.1</v>
      </c>
      <c r="T646">
        <v>0</v>
      </c>
      <c r="U646">
        <v>3.4</v>
      </c>
      <c r="V646">
        <v>5</v>
      </c>
      <c r="W646">
        <v>3.4</v>
      </c>
      <c r="X646" t="s">
        <v>45</v>
      </c>
      <c r="Y646">
        <v>0</v>
      </c>
      <c r="Z646">
        <v>0</v>
      </c>
      <c r="AB646">
        <v>0</v>
      </c>
      <c r="AC646" t="s">
        <v>46</v>
      </c>
      <c r="AE646">
        <v>1</v>
      </c>
      <c r="AF646">
        <v>0</v>
      </c>
      <c r="AG646" t="s">
        <v>75</v>
      </c>
      <c r="AH646" t="s">
        <v>48</v>
      </c>
      <c r="AI646" t="s">
        <v>49</v>
      </c>
      <c r="AJ646" s="1" t="s">
        <v>219</v>
      </c>
      <c r="AK646">
        <v>0.25</v>
      </c>
      <c r="AL646">
        <v>0</v>
      </c>
    </row>
    <row r="647" spans="1:38" x14ac:dyDescent="0.35">
      <c r="A647" t="s">
        <v>845</v>
      </c>
      <c r="B647" t="s">
        <v>60</v>
      </c>
      <c r="C647" t="s">
        <v>80</v>
      </c>
      <c r="D647">
        <v>4</v>
      </c>
      <c r="E647" t="s">
        <v>41</v>
      </c>
      <c r="F647">
        <v>32</v>
      </c>
      <c r="G647" t="s">
        <v>54</v>
      </c>
      <c r="H647" t="s">
        <v>63</v>
      </c>
      <c r="I647">
        <v>2</v>
      </c>
      <c r="J647">
        <v>10.3</v>
      </c>
      <c r="K647">
        <v>6</v>
      </c>
      <c r="L647">
        <v>3</v>
      </c>
      <c r="M647">
        <v>12</v>
      </c>
      <c r="N647">
        <v>0</v>
      </c>
      <c r="O647" t="s">
        <v>56</v>
      </c>
      <c r="P647">
        <v>80600</v>
      </c>
      <c r="Q647">
        <v>8.1</v>
      </c>
      <c r="R647">
        <v>3.5</v>
      </c>
      <c r="S647">
        <v>0.8</v>
      </c>
      <c r="T647">
        <v>0</v>
      </c>
      <c r="U647">
        <v>3.8</v>
      </c>
      <c r="V647">
        <v>1.4</v>
      </c>
      <c r="W647">
        <v>3.3</v>
      </c>
      <c r="X647" t="s">
        <v>45</v>
      </c>
      <c r="Y647">
        <v>0</v>
      </c>
      <c r="Z647">
        <v>0</v>
      </c>
      <c r="AB647">
        <v>0</v>
      </c>
      <c r="AC647" t="s">
        <v>46</v>
      </c>
      <c r="AE647">
        <v>1</v>
      </c>
      <c r="AF647">
        <v>0</v>
      </c>
      <c r="AG647" t="s">
        <v>75</v>
      </c>
      <c r="AH647" t="s">
        <v>76</v>
      </c>
      <c r="AI647" t="s">
        <v>49</v>
      </c>
      <c r="AJ647" s="1" t="s">
        <v>212</v>
      </c>
      <c r="AK647" s="1" t="s">
        <v>84</v>
      </c>
      <c r="AL647">
        <v>0</v>
      </c>
    </row>
    <row r="648" spans="1:38" x14ac:dyDescent="0.35">
      <c r="A648" t="s">
        <v>846</v>
      </c>
      <c r="B648" t="s">
        <v>73</v>
      </c>
      <c r="C648" t="s">
        <v>121</v>
      </c>
      <c r="D648">
        <v>0.6</v>
      </c>
      <c r="E648" t="s">
        <v>67</v>
      </c>
      <c r="F648">
        <v>28</v>
      </c>
      <c r="G648" t="s">
        <v>54</v>
      </c>
      <c r="H648" t="s">
        <v>55</v>
      </c>
      <c r="I648">
        <v>2</v>
      </c>
      <c r="J648">
        <v>2.7</v>
      </c>
      <c r="K648">
        <v>11</v>
      </c>
      <c r="L648">
        <v>2</v>
      </c>
      <c r="M648">
        <v>12</v>
      </c>
      <c r="N648">
        <v>0</v>
      </c>
      <c r="O648" t="s">
        <v>70</v>
      </c>
      <c r="P648">
        <v>36700</v>
      </c>
      <c r="Q648">
        <v>1.8</v>
      </c>
      <c r="R648">
        <v>2.9</v>
      </c>
      <c r="S648">
        <v>3</v>
      </c>
      <c r="T648">
        <v>0</v>
      </c>
      <c r="U648">
        <v>2.9</v>
      </c>
      <c r="V648">
        <v>2.5</v>
      </c>
      <c r="W648">
        <v>2.8</v>
      </c>
      <c r="X648" t="s">
        <v>89</v>
      </c>
      <c r="Y648">
        <v>0</v>
      </c>
      <c r="Z648">
        <v>2</v>
      </c>
      <c r="AA648">
        <v>0.2</v>
      </c>
      <c r="AB648">
        <v>0</v>
      </c>
      <c r="AC648" t="s">
        <v>124</v>
      </c>
      <c r="AD648" s="2">
        <v>45989</v>
      </c>
      <c r="AE648">
        <v>0</v>
      </c>
      <c r="AF648">
        <v>0</v>
      </c>
      <c r="AG648" t="s">
        <v>47</v>
      </c>
      <c r="AH648" t="s">
        <v>95</v>
      </c>
      <c r="AI648" t="s">
        <v>64</v>
      </c>
      <c r="AJ648" s="1" t="s">
        <v>168</v>
      </c>
      <c r="AK648" s="1" t="s">
        <v>84</v>
      </c>
      <c r="AL648">
        <v>1</v>
      </c>
    </row>
    <row r="649" spans="1:38" x14ac:dyDescent="0.35">
      <c r="A649" t="s">
        <v>847</v>
      </c>
      <c r="B649" t="s">
        <v>117</v>
      </c>
      <c r="C649" t="s">
        <v>189</v>
      </c>
      <c r="D649">
        <v>1.1000000000000001</v>
      </c>
      <c r="E649" t="s">
        <v>67</v>
      </c>
      <c r="F649">
        <v>25</v>
      </c>
      <c r="G649" t="s">
        <v>42</v>
      </c>
      <c r="H649" t="s">
        <v>94</v>
      </c>
      <c r="I649">
        <v>1</v>
      </c>
      <c r="J649">
        <v>0.7</v>
      </c>
      <c r="K649">
        <v>9</v>
      </c>
      <c r="L649">
        <v>3</v>
      </c>
      <c r="M649">
        <v>12</v>
      </c>
      <c r="N649">
        <v>0</v>
      </c>
      <c r="O649" t="s">
        <v>70</v>
      </c>
      <c r="P649">
        <v>37100</v>
      </c>
      <c r="Q649">
        <v>10.3</v>
      </c>
      <c r="R649">
        <v>2.2999999999999998</v>
      </c>
      <c r="S649">
        <v>0.8</v>
      </c>
      <c r="T649">
        <v>0</v>
      </c>
      <c r="U649">
        <v>2.2999999999999998</v>
      </c>
      <c r="V649">
        <v>3.3</v>
      </c>
      <c r="W649">
        <v>4.9000000000000004</v>
      </c>
      <c r="X649" t="s">
        <v>45</v>
      </c>
      <c r="Y649">
        <v>0</v>
      </c>
      <c r="Z649">
        <v>0</v>
      </c>
      <c r="AB649">
        <v>2</v>
      </c>
      <c r="AC649" t="s">
        <v>46</v>
      </c>
      <c r="AE649">
        <v>1</v>
      </c>
      <c r="AF649">
        <v>0</v>
      </c>
      <c r="AG649" t="s">
        <v>75</v>
      </c>
      <c r="AH649" t="s">
        <v>48</v>
      </c>
      <c r="AI649" t="s">
        <v>64</v>
      </c>
      <c r="AJ649">
        <v>3.5</v>
      </c>
      <c r="AK649">
        <v>8.3333333333333301E-2</v>
      </c>
      <c r="AL649">
        <v>0</v>
      </c>
    </row>
    <row r="650" spans="1:38" x14ac:dyDescent="0.35">
      <c r="A650" t="s">
        <v>848</v>
      </c>
      <c r="B650" t="s">
        <v>39</v>
      </c>
      <c r="C650" t="s">
        <v>40</v>
      </c>
      <c r="D650">
        <v>2.8</v>
      </c>
      <c r="E650" t="s">
        <v>110</v>
      </c>
      <c r="F650">
        <v>31</v>
      </c>
      <c r="G650" t="s">
        <v>42</v>
      </c>
      <c r="H650" t="s">
        <v>63</v>
      </c>
      <c r="I650">
        <v>6</v>
      </c>
      <c r="J650">
        <v>13.7</v>
      </c>
      <c r="K650">
        <v>13</v>
      </c>
      <c r="L650">
        <v>1</v>
      </c>
      <c r="M650">
        <v>12</v>
      </c>
      <c r="N650">
        <v>0</v>
      </c>
      <c r="O650" t="s">
        <v>70</v>
      </c>
      <c r="P650">
        <v>43200</v>
      </c>
      <c r="Q650">
        <v>0</v>
      </c>
      <c r="R650">
        <v>3.2</v>
      </c>
      <c r="S650">
        <v>0.1</v>
      </c>
      <c r="T650">
        <v>0</v>
      </c>
      <c r="U650">
        <v>4.0999999999999996</v>
      </c>
      <c r="V650">
        <v>4.5999999999999996</v>
      </c>
      <c r="W650">
        <v>3</v>
      </c>
      <c r="X650" t="s">
        <v>45</v>
      </c>
      <c r="Y650">
        <v>0</v>
      </c>
      <c r="Z650">
        <v>1</v>
      </c>
      <c r="AA650">
        <v>0.7</v>
      </c>
      <c r="AB650">
        <v>0</v>
      </c>
      <c r="AC650" t="s">
        <v>46</v>
      </c>
      <c r="AE650">
        <v>0</v>
      </c>
      <c r="AF650">
        <v>0</v>
      </c>
      <c r="AG650" t="s">
        <v>47</v>
      </c>
      <c r="AH650" t="s">
        <v>48</v>
      </c>
      <c r="AI650" t="s">
        <v>49</v>
      </c>
      <c r="AJ650">
        <v>3.9</v>
      </c>
      <c r="AK650">
        <v>0.5</v>
      </c>
      <c r="AL650">
        <v>0</v>
      </c>
    </row>
    <row r="651" spans="1:38" x14ac:dyDescent="0.35">
      <c r="A651" t="s">
        <v>849</v>
      </c>
      <c r="B651" t="s">
        <v>73</v>
      </c>
      <c r="C651" t="s">
        <v>113</v>
      </c>
      <c r="D651">
        <v>2.5</v>
      </c>
      <c r="E651" t="s">
        <v>67</v>
      </c>
      <c r="F651">
        <v>28</v>
      </c>
      <c r="G651" t="s">
        <v>42</v>
      </c>
      <c r="H651" t="s">
        <v>55</v>
      </c>
      <c r="I651">
        <v>4</v>
      </c>
      <c r="J651">
        <v>0.6</v>
      </c>
      <c r="K651">
        <v>12</v>
      </c>
      <c r="L651">
        <v>2</v>
      </c>
      <c r="M651">
        <v>12</v>
      </c>
      <c r="N651">
        <v>0</v>
      </c>
      <c r="O651" t="s">
        <v>82</v>
      </c>
      <c r="P651">
        <v>33600</v>
      </c>
      <c r="Q651">
        <v>9.5</v>
      </c>
      <c r="R651">
        <v>3.1</v>
      </c>
      <c r="S651">
        <v>2.6</v>
      </c>
      <c r="T651">
        <v>0</v>
      </c>
      <c r="U651">
        <v>4.7</v>
      </c>
      <c r="V651">
        <v>2.5</v>
      </c>
      <c r="W651">
        <v>1.6</v>
      </c>
      <c r="X651" t="s">
        <v>45</v>
      </c>
      <c r="Y651">
        <v>0</v>
      </c>
      <c r="Z651">
        <v>0</v>
      </c>
      <c r="AB651">
        <v>0</v>
      </c>
      <c r="AC651" t="s">
        <v>46</v>
      </c>
      <c r="AE651">
        <v>1</v>
      </c>
      <c r="AF651">
        <v>0</v>
      </c>
      <c r="AG651" t="s">
        <v>75</v>
      </c>
      <c r="AH651" t="s">
        <v>48</v>
      </c>
      <c r="AI651" t="s">
        <v>64</v>
      </c>
      <c r="AJ651" s="1" t="s">
        <v>141</v>
      </c>
      <c r="AK651" s="1" t="s">
        <v>115</v>
      </c>
      <c r="AL651">
        <v>0</v>
      </c>
    </row>
    <row r="652" spans="1:38" x14ac:dyDescent="0.35">
      <c r="A652" t="s">
        <v>850</v>
      </c>
      <c r="B652" t="s">
        <v>98</v>
      </c>
      <c r="C652" t="s">
        <v>151</v>
      </c>
      <c r="D652">
        <v>2.5</v>
      </c>
      <c r="E652" t="s">
        <v>41</v>
      </c>
      <c r="F652">
        <v>21</v>
      </c>
      <c r="G652" t="s">
        <v>54</v>
      </c>
      <c r="H652" t="s">
        <v>55</v>
      </c>
      <c r="I652">
        <v>6</v>
      </c>
      <c r="J652">
        <v>10.199999999999999</v>
      </c>
      <c r="K652">
        <v>10</v>
      </c>
      <c r="L652">
        <v>3</v>
      </c>
      <c r="M652">
        <v>12</v>
      </c>
      <c r="N652">
        <v>0</v>
      </c>
      <c r="O652" t="s">
        <v>56</v>
      </c>
      <c r="P652">
        <v>78600</v>
      </c>
      <c r="Q652">
        <v>9.8000000000000007</v>
      </c>
      <c r="R652">
        <v>4</v>
      </c>
      <c r="S652">
        <v>1.5</v>
      </c>
      <c r="T652">
        <v>0</v>
      </c>
      <c r="U652">
        <v>2.2999999999999998</v>
      </c>
      <c r="V652">
        <v>3.7</v>
      </c>
      <c r="W652">
        <v>4.8</v>
      </c>
      <c r="X652" t="s">
        <v>45</v>
      </c>
      <c r="Y652">
        <v>0</v>
      </c>
      <c r="Z652">
        <v>0</v>
      </c>
      <c r="AB652">
        <v>0</v>
      </c>
      <c r="AC652" t="s">
        <v>46</v>
      </c>
      <c r="AE652">
        <v>1</v>
      </c>
      <c r="AF652">
        <v>0</v>
      </c>
      <c r="AG652" t="s">
        <v>75</v>
      </c>
      <c r="AH652" t="s">
        <v>48</v>
      </c>
      <c r="AI652" t="s">
        <v>49</v>
      </c>
      <c r="AJ652">
        <v>3.6</v>
      </c>
      <c r="AK652">
        <v>0.5</v>
      </c>
      <c r="AL652">
        <v>0</v>
      </c>
    </row>
    <row r="653" spans="1:38" x14ac:dyDescent="0.35">
      <c r="A653" t="s">
        <v>851</v>
      </c>
      <c r="B653" t="s">
        <v>60</v>
      </c>
      <c r="C653" t="s">
        <v>107</v>
      </c>
      <c r="D653">
        <v>6.3</v>
      </c>
      <c r="E653" t="s">
        <v>81</v>
      </c>
      <c r="F653">
        <v>30</v>
      </c>
      <c r="G653" t="s">
        <v>54</v>
      </c>
      <c r="H653" t="s">
        <v>69</v>
      </c>
      <c r="I653">
        <v>4</v>
      </c>
      <c r="J653">
        <v>5.4</v>
      </c>
      <c r="K653">
        <v>15</v>
      </c>
      <c r="L653">
        <v>2</v>
      </c>
      <c r="M653">
        <v>12</v>
      </c>
      <c r="N653">
        <v>0</v>
      </c>
      <c r="O653" t="s">
        <v>82</v>
      </c>
      <c r="P653">
        <v>31100</v>
      </c>
      <c r="Q653">
        <v>4.8</v>
      </c>
      <c r="R653">
        <v>3.2</v>
      </c>
      <c r="S653">
        <v>3.9</v>
      </c>
      <c r="T653">
        <v>0</v>
      </c>
      <c r="U653">
        <v>3.5</v>
      </c>
      <c r="V653">
        <v>3</v>
      </c>
      <c r="W653">
        <v>2.7</v>
      </c>
      <c r="X653" t="s">
        <v>45</v>
      </c>
      <c r="Y653">
        <v>0</v>
      </c>
      <c r="Z653">
        <v>1</v>
      </c>
      <c r="AA653">
        <v>5.5</v>
      </c>
      <c r="AB653">
        <v>0</v>
      </c>
      <c r="AC653" t="s">
        <v>46</v>
      </c>
      <c r="AE653">
        <v>0</v>
      </c>
      <c r="AF653">
        <v>0</v>
      </c>
      <c r="AG653" t="s">
        <v>47</v>
      </c>
      <c r="AH653" t="s">
        <v>83</v>
      </c>
      <c r="AI653" t="s">
        <v>64</v>
      </c>
      <c r="AJ653" s="1" t="s">
        <v>159</v>
      </c>
      <c r="AK653" s="1" t="s">
        <v>115</v>
      </c>
      <c r="AL653">
        <v>0</v>
      </c>
    </row>
    <row r="654" spans="1:38" x14ac:dyDescent="0.35">
      <c r="A654" t="s">
        <v>852</v>
      </c>
      <c r="B654" t="s">
        <v>39</v>
      </c>
      <c r="C654" t="s">
        <v>40</v>
      </c>
      <c r="D654">
        <v>6.5</v>
      </c>
      <c r="E654" t="s">
        <v>81</v>
      </c>
      <c r="F654">
        <v>37</v>
      </c>
      <c r="G654" t="s">
        <v>68</v>
      </c>
      <c r="H654" t="s">
        <v>69</v>
      </c>
      <c r="I654">
        <v>1</v>
      </c>
      <c r="J654">
        <v>6.7</v>
      </c>
      <c r="K654">
        <v>14</v>
      </c>
      <c r="L654">
        <v>2</v>
      </c>
      <c r="M654">
        <v>12</v>
      </c>
      <c r="N654">
        <v>0</v>
      </c>
      <c r="O654" t="s">
        <v>82</v>
      </c>
      <c r="P654">
        <v>30300</v>
      </c>
      <c r="Q654">
        <v>3.1</v>
      </c>
      <c r="R654">
        <v>1.5</v>
      </c>
      <c r="S654">
        <v>0.8</v>
      </c>
      <c r="T654">
        <v>0</v>
      </c>
      <c r="U654">
        <v>2.9</v>
      </c>
      <c r="V654">
        <v>5</v>
      </c>
      <c r="W654">
        <v>4.0999999999999996</v>
      </c>
      <c r="X654" t="s">
        <v>45</v>
      </c>
      <c r="Y654">
        <v>0</v>
      </c>
      <c r="Z654">
        <v>1</v>
      </c>
      <c r="AA654">
        <v>0.2</v>
      </c>
      <c r="AB654">
        <v>1</v>
      </c>
      <c r="AC654" t="s">
        <v>46</v>
      </c>
      <c r="AE654">
        <v>0</v>
      </c>
      <c r="AF654">
        <v>0</v>
      </c>
      <c r="AG654" t="s">
        <v>47</v>
      </c>
      <c r="AH654" t="s">
        <v>83</v>
      </c>
      <c r="AI654" t="s">
        <v>64</v>
      </c>
      <c r="AJ654">
        <v>4</v>
      </c>
      <c r="AK654">
        <v>8.3333333333333301E-2</v>
      </c>
      <c r="AL654">
        <v>0</v>
      </c>
    </row>
    <row r="655" spans="1:38" x14ac:dyDescent="0.35">
      <c r="A655" t="s">
        <v>853</v>
      </c>
      <c r="B655" t="s">
        <v>73</v>
      </c>
      <c r="C655" t="s">
        <v>113</v>
      </c>
      <c r="D655">
        <v>4.5999999999999996</v>
      </c>
      <c r="E655" t="s">
        <v>41</v>
      </c>
      <c r="F655">
        <v>24</v>
      </c>
      <c r="G655" t="s">
        <v>42</v>
      </c>
      <c r="H655" t="s">
        <v>43</v>
      </c>
      <c r="I655">
        <v>3</v>
      </c>
      <c r="J655">
        <v>24.4</v>
      </c>
      <c r="K655">
        <v>9</v>
      </c>
      <c r="L655">
        <v>2</v>
      </c>
      <c r="M655">
        <v>12</v>
      </c>
      <c r="N655">
        <v>0</v>
      </c>
      <c r="O655" t="s">
        <v>56</v>
      </c>
      <c r="P655">
        <v>83700</v>
      </c>
      <c r="Q655">
        <v>6.4</v>
      </c>
      <c r="R655">
        <v>3.5</v>
      </c>
      <c r="S655">
        <v>1.3</v>
      </c>
      <c r="T655">
        <v>0</v>
      </c>
      <c r="U655">
        <v>4.0999999999999996</v>
      </c>
      <c r="V655">
        <v>3.3</v>
      </c>
      <c r="W655">
        <v>2.9</v>
      </c>
      <c r="X655" t="s">
        <v>45</v>
      </c>
      <c r="Y655">
        <v>0</v>
      </c>
      <c r="Z655">
        <v>0</v>
      </c>
      <c r="AB655">
        <v>1</v>
      </c>
      <c r="AC655" t="s">
        <v>46</v>
      </c>
      <c r="AE655">
        <v>1</v>
      </c>
      <c r="AF655">
        <v>0</v>
      </c>
      <c r="AG655" t="s">
        <v>75</v>
      </c>
      <c r="AH655" t="s">
        <v>76</v>
      </c>
      <c r="AI655" t="s">
        <v>57</v>
      </c>
      <c r="AJ655" s="1" t="s">
        <v>854</v>
      </c>
      <c r="AK655">
        <v>0.25</v>
      </c>
      <c r="AL655">
        <v>0</v>
      </c>
    </row>
    <row r="656" spans="1:38" x14ac:dyDescent="0.35">
      <c r="A656" t="s">
        <v>855</v>
      </c>
      <c r="B656" t="s">
        <v>60</v>
      </c>
      <c r="C656" t="s">
        <v>107</v>
      </c>
      <c r="D656">
        <v>1.6</v>
      </c>
      <c r="E656" t="s">
        <v>67</v>
      </c>
      <c r="F656">
        <v>28</v>
      </c>
      <c r="G656" t="s">
        <v>42</v>
      </c>
      <c r="H656" t="s">
        <v>69</v>
      </c>
      <c r="I656">
        <v>4</v>
      </c>
      <c r="J656">
        <v>5.5</v>
      </c>
      <c r="K656">
        <v>7</v>
      </c>
      <c r="L656">
        <v>1</v>
      </c>
      <c r="M656">
        <v>12</v>
      </c>
      <c r="N656">
        <v>0</v>
      </c>
      <c r="O656" t="s">
        <v>82</v>
      </c>
      <c r="P656">
        <v>32100</v>
      </c>
      <c r="Q656">
        <v>10.6</v>
      </c>
      <c r="R656">
        <v>4.5999999999999996</v>
      </c>
      <c r="S656">
        <v>0.8</v>
      </c>
      <c r="T656">
        <v>0</v>
      </c>
      <c r="U656">
        <v>3.5</v>
      </c>
      <c r="V656">
        <v>3.5</v>
      </c>
      <c r="W656">
        <v>3.9</v>
      </c>
      <c r="X656" t="s">
        <v>45</v>
      </c>
      <c r="Y656">
        <v>0</v>
      </c>
      <c r="Z656">
        <v>1</v>
      </c>
      <c r="AA656">
        <v>1.4</v>
      </c>
      <c r="AB656">
        <v>0</v>
      </c>
      <c r="AC656" t="s">
        <v>46</v>
      </c>
      <c r="AE656">
        <v>0</v>
      </c>
      <c r="AF656">
        <v>0</v>
      </c>
      <c r="AG656" t="s">
        <v>47</v>
      </c>
      <c r="AH656" t="s">
        <v>48</v>
      </c>
      <c r="AI656" t="s">
        <v>64</v>
      </c>
      <c r="AJ656" s="1" t="s">
        <v>190</v>
      </c>
      <c r="AK656" s="1" t="s">
        <v>115</v>
      </c>
      <c r="AL656">
        <v>0</v>
      </c>
    </row>
    <row r="657" spans="1:38" x14ac:dyDescent="0.35">
      <c r="A657" t="s">
        <v>856</v>
      </c>
      <c r="B657" t="s">
        <v>98</v>
      </c>
      <c r="C657" t="s">
        <v>99</v>
      </c>
      <c r="D657">
        <v>3.4</v>
      </c>
      <c r="E657" t="s">
        <v>81</v>
      </c>
      <c r="F657">
        <v>36</v>
      </c>
      <c r="G657" t="s">
        <v>68</v>
      </c>
      <c r="H657" t="s">
        <v>69</v>
      </c>
      <c r="I657">
        <v>3</v>
      </c>
      <c r="J657">
        <v>10.7</v>
      </c>
      <c r="K657">
        <v>4</v>
      </c>
      <c r="L657">
        <v>0</v>
      </c>
      <c r="M657">
        <v>12</v>
      </c>
      <c r="N657">
        <v>0</v>
      </c>
      <c r="O657" t="s">
        <v>82</v>
      </c>
      <c r="P657">
        <v>31100</v>
      </c>
      <c r="Q657">
        <v>9.4</v>
      </c>
      <c r="R657">
        <v>3.2</v>
      </c>
      <c r="S657">
        <v>0.3</v>
      </c>
      <c r="T657">
        <v>0</v>
      </c>
      <c r="U657">
        <v>5</v>
      </c>
      <c r="V657">
        <v>3.3</v>
      </c>
      <c r="W657">
        <v>3.4</v>
      </c>
      <c r="X657" t="s">
        <v>45</v>
      </c>
      <c r="Y657">
        <v>0</v>
      </c>
      <c r="Z657">
        <v>0</v>
      </c>
      <c r="AB657">
        <v>2</v>
      </c>
      <c r="AC657" t="s">
        <v>46</v>
      </c>
      <c r="AE657">
        <v>1</v>
      </c>
      <c r="AF657">
        <v>0</v>
      </c>
      <c r="AG657" t="s">
        <v>75</v>
      </c>
      <c r="AH657" t="s">
        <v>76</v>
      </c>
      <c r="AI657" t="s">
        <v>49</v>
      </c>
      <c r="AJ657" s="1" t="s">
        <v>275</v>
      </c>
      <c r="AK657">
        <v>0.25</v>
      </c>
      <c r="AL657">
        <v>0</v>
      </c>
    </row>
    <row r="658" spans="1:38" x14ac:dyDescent="0.35">
      <c r="A658" t="s">
        <v>857</v>
      </c>
      <c r="B658" t="s">
        <v>60</v>
      </c>
      <c r="C658" t="s">
        <v>80</v>
      </c>
      <c r="D658">
        <v>11.8</v>
      </c>
      <c r="E658" t="s">
        <v>81</v>
      </c>
      <c r="F658">
        <v>35</v>
      </c>
      <c r="G658" t="s">
        <v>54</v>
      </c>
      <c r="H658" t="s">
        <v>69</v>
      </c>
      <c r="I658">
        <v>5</v>
      </c>
      <c r="J658">
        <v>5.5</v>
      </c>
      <c r="K658">
        <v>9</v>
      </c>
      <c r="L658">
        <v>0</v>
      </c>
      <c r="M658">
        <v>12</v>
      </c>
      <c r="N658">
        <v>0</v>
      </c>
      <c r="O658" t="s">
        <v>82</v>
      </c>
      <c r="P658">
        <v>27600</v>
      </c>
      <c r="Q658">
        <v>3.6</v>
      </c>
      <c r="R658">
        <v>4.0999999999999996</v>
      </c>
      <c r="S658">
        <v>1.9</v>
      </c>
      <c r="T658">
        <v>0</v>
      </c>
      <c r="U658">
        <v>3</v>
      </c>
      <c r="V658">
        <v>2.8</v>
      </c>
      <c r="W658">
        <v>4.2</v>
      </c>
      <c r="X658" t="s">
        <v>45</v>
      </c>
      <c r="Y658">
        <v>0</v>
      </c>
      <c r="Z658">
        <v>0</v>
      </c>
      <c r="AB658">
        <v>0</v>
      </c>
      <c r="AC658" t="s">
        <v>46</v>
      </c>
      <c r="AE658">
        <v>1</v>
      </c>
      <c r="AF658">
        <v>0</v>
      </c>
      <c r="AG658" t="s">
        <v>75</v>
      </c>
      <c r="AH658" t="s">
        <v>83</v>
      </c>
      <c r="AI658" t="s">
        <v>64</v>
      </c>
      <c r="AJ658" s="1" t="s">
        <v>90</v>
      </c>
      <c r="AK658" s="1" t="s">
        <v>127</v>
      </c>
      <c r="AL658">
        <v>0</v>
      </c>
    </row>
    <row r="659" spans="1:38" x14ac:dyDescent="0.35">
      <c r="A659" t="s">
        <v>858</v>
      </c>
      <c r="B659" t="s">
        <v>98</v>
      </c>
      <c r="C659" t="s">
        <v>148</v>
      </c>
      <c r="D659">
        <v>15.5</v>
      </c>
      <c r="E659" t="s">
        <v>110</v>
      </c>
      <c r="F659">
        <v>42</v>
      </c>
      <c r="G659" t="s">
        <v>68</v>
      </c>
      <c r="H659" t="s">
        <v>69</v>
      </c>
      <c r="I659">
        <v>3</v>
      </c>
      <c r="J659">
        <v>12.8</v>
      </c>
      <c r="K659">
        <v>4</v>
      </c>
      <c r="L659">
        <v>1</v>
      </c>
      <c r="M659">
        <v>12</v>
      </c>
      <c r="N659">
        <v>0</v>
      </c>
      <c r="O659" t="s">
        <v>44</v>
      </c>
      <c r="P659">
        <v>73600</v>
      </c>
      <c r="Q659">
        <v>8.4</v>
      </c>
      <c r="R659">
        <v>2.7</v>
      </c>
      <c r="S659">
        <v>1.3</v>
      </c>
      <c r="T659">
        <v>0</v>
      </c>
      <c r="U659">
        <v>4.7</v>
      </c>
      <c r="V659">
        <v>4.0999999999999996</v>
      </c>
      <c r="W659">
        <v>3.2</v>
      </c>
      <c r="X659" t="s">
        <v>45</v>
      </c>
      <c r="Y659">
        <v>0</v>
      </c>
      <c r="Z659">
        <v>1</v>
      </c>
      <c r="AA659">
        <v>13.6</v>
      </c>
      <c r="AB659">
        <v>0</v>
      </c>
      <c r="AC659" t="s">
        <v>46</v>
      </c>
      <c r="AE659">
        <v>0</v>
      </c>
      <c r="AF659">
        <v>0</v>
      </c>
      <c r="AG659" t="s">
        <v>47</v>
      </c>
      <c r="AH659" t="s">
        <v>83</v>
      </c>
      <c r="AI659" t="s">
        <v>49</v>
      </c>
      <c r="AJ659">
        <v>4</v>
      </c>
      <c r="AK659">
        <v>0.25</v>
      </c>
      <c r="AL659">
        <v>0</v>
      </c>
    </row>
    <row r="660" spans="1:38" x14ac:dyDescent="0.35">
      <c r="A660" t="s">
        <v>859</v>
      </c>
      <c r="B660" t="s">
        <v>117</v>
      </c>
      <c r="C660" t="s">
        <v>189</v>
      </c>
      <c r="D660">
        <v>7.1</v>
      </c>
      <c r="E660" t="s">
        <v>41</v>
      </c>
      <c r="F660">
        <v>28</v>
      </c>
      <c r="G660" t="s">
        <v>42</v>
      </c>
      <c r="H660" t="s">
        <v>55</v>
      </c>
      <c r="I660">
        <v>2</v>
      </c>
      <c r="J660">
        <v>11.4</v>
      </c>
      <c r="K660">
        <v>6</v>
      </c>
      <c r="L660">
        <v>0</v>
      </c>
      <c r="M660">
        <v>12</v>
      </c>
      <c r="N660">
        <v>0</v>
      </c>
      <c r="O660" t="s">
        <v>56</v>
      </c>
      <c r="P660">
        <v>80300</v>
      </c>
      <c r="Q660">
        <v>9</v>
      </c>
      <c r="R660">
        <v>3.7</v>
      </c>
      <c r="S660">
        <v>0.1</v>
      </c>
      <c r="T660">
        <v>0</v>
      </c>
      <c r="U660">
        <v>4.8</v>
      </c>
      <c r="V660">
        <v>2.2000000000000002</v>
      </c>
      <c r="W660">
        <v>2.9</v>
      </c>
      <c r="X660" t="s">
        <v>45</v>
      </c>
      <c r="Y660">
        <v>0</v>
      </c>
      <c r="Z660">
        <v>1</v>
      </c>
      <c r="AA660">
        <v>6.4</v>
      </c>
      <c r="AB660">
        <v>0</v>
      </c>
      <c r="AC660" t="s">
        <v>46</v>
      </c>
      <c r="AE660">
        <v>0</v>
      </c>
      <c r="AF660">
        <v>0</v>
      </c>
      <c r="AG660" t="s">
        <v>47</v>
      </c>
      <c r="AH660" t="s">
        <v>83</v>
      </c>
      <c r="AI660" t="s">
        <v>49</v>
      </c>
      <c r="AJ660" s="1" t="s">
        <v>71</v>
      </c>
      <c r="AK660" s="1" t="s">
        <v>84</v>
      </c>
      <c r="AL660">
        <v>0</v>
      </c>
    </row>
    <row r="661" spans="1:38" x14ac:dyDescent="0.35">
      <c r="A661" t="s">
        <v>860</v>
      </c>
      <c r="B661" t="s">
        <v>98</v>
      </c>
      <c r="C661" t="s">
        <v>148</v>
      </c>
      <c r="D661">
        <v>1.6</v>
      </c>
      <c r="E661" t="s">
        <v>81</v>
      </c>
      <c r="F661">
        <v>34</v>
      </c>
      <c r="G661" t="s">
        <v>42</v>
      </c>
      <c r="H661" t="s">
        <v>55</v>
      </c>
      <c r="I661">
        <v>2</v>
      </c>
      <c r="J661">
        <v>10.3</v>
      </c>
      <c r="K661">
        <v>12</v>
      </c>
      <c r="L661">
        <v>3</v>
      </c>
      <c r="M661">
        <v>12</v>
      </c>
      <c r="N661">
        <v>0</v>
      </c>
      <c r="O661" t="s">
        <v>82</v>
      </c>
      <c r="P661">
        <v>31200</v>
      </c>
      <c r="Q661">
        <v>8.9</v>
      </c>
      <c r="R661">
        <v>2.5</v>
      </c>
      <c r="S661">
        <v>4</v>
      </c>
      <c r="T661">
        <v>0</v>
      </c>
      <c r="U661">
        <v>3.8</v>
      </c>
      <c r="V661">
        <v>1.4</v>
      </c>
      <c r="W661">
        <v>3.6</v>
      </c>
      <c r="X661" t="s">
        <v>45</v>
      </c>
      <c r="Y661">
        <v>0</v>
      </c>
      <c r="Z661">
        <v>0</v>
      </c>
      <c r="AB661">
        <v>1</v>
      </c>
      <c r="AC661" t="s">
        <v>46</v>
      </c>
      <c r="AE661">
        <v>1</v>
      </c>
      <c r="AF661">
        <v>0</v>
      </c>
      <c r="AG661" t="s">
        <v>75</v>
      </c>
      <c r="AH661" t="s">
        <v>48</v>
      </c>
      <c r="AI661" t="s">
        <v>49</v>
      </c>
      <c r="AJ661" s="1" t="s">
        <v>679</v>
      </c>
      <c r="AK661" s="1" t="s">
        <v>84</v>
      </c>
      <c r="AL661">
        <v>0</v>
      </c>
    </row>
    <row r="662" spans="1:38" x14ac:dyDescent="0.35">
      <c r="A662" t="s">
        <v>861</v>
      </c>
      <c r="B662" t="s">
        <v>98</v>
      </c>
      <c r="C662" t="s">
        <v>99</v>
      </c>
      <c r="D662">
        <v>3.4</v>
      </c>
      <c r="E662" t="s">
        <v>81</v>
      </c>
      <c r="F662">
        <v>29</v>
      </c>
      <c r="G662" t="s">
        <v>54</v>
      </c>
      <c r="H662" t="s">
        <v>55</v>
      </c>
      <c r="I662">
        <v>4</v>
      </c>
      <c r="J662">
        <v>20.7</v>
      </c>
      <c r="K662">
        <v>11</v>
      </c>
      <c r="L662">
        <v>3</v>
      </c>
      <c r="M662">
        <v>12</v>
      </c>
      <c r="N662">
        <v>0</v>
      </c>
      <c r="O662" t="s">
        <v>82</v>
      </c>
      <c r="P662">
        <v>26200</v>
      </c>
      <c r="Q662">
        <v>4.0999999999999996</v>
      </c>
      <c r="R662">
        <v>3</v>
      </c>
      <c r="S662">
        <v>1.4</v>
      </c>
      <c r="T662">
        <v>0</v>
      </c>
      <c r="U662">
        <v>3.3</v>
      </c>
      <c r="V662">
        <v>3.1</v>
      </c>
      <c r="W662">
        <v>3.1</v>
      </c>
      <c r="X662" t="s">
        <v>89</v>
      </c>
      <c r="Y662">
        <v>0</v>
      </c>
      <c r="Z662">
        <v>0</v>
      </c>
      <c r="AB662">
        <v>1</v>
      </c>
      <c r="AC662" t="s">
        <v>124</v>
      </c>
      <c r="AD662" s="2">
        <v>45477</v>
      </c>
      <c r="AE662">
        <v>1</v>
      </c>
      <c r="AF662">
        <v>0</v>
      </c>
      <c r="AG662" t="s">
        <v>75</v>
      </c>
      <c r="AH662" t="s">
        <v>76</v>
      </c>
      <c r="AI662" t="s">
        <v>57</v>
      </c>
      <c r="AJ662" s="1" t="s">
        <v>100</v>
      </c>
      <c r="AK662" s="1" t="s">
        <v>115</v>
      </c>
      <c r="AL662">
        <v>1</v>
      </c>
    </row>
    <row r="663" spans="1:38" x14ac:dyDescent="0.35">
      <c r="A663" t="s">
        <v>862</v>
      </c>
      <c r="B663" t="s">
        <v>60</v>
      </c>
      <c r="C663" t="s">
        <v>863</v>
      </c>
      <c r="D663">
        <v>4.4000000000000004</v>
      </c>
      <c r="E663" t="s">
        <v>67</v>
      </c>
      <c r="F663">
        <v>31</v>
      </c>
      <c r="G663" t="s">
        <v>68</v>
      </c>
      <c r="H663" t="s">
        <v>63</v>
      </c>
      <c r="I663">
        <v>1</v>
      </c>
      <c r="J663">
        <v>2.1</v>
      </c>
      <c r="K663">
        <v>5</v>
      </c>
      <c r="L663">
        <v>1</v>
      </c>
      <c r="M663">
        <v>12</v>
      </c>
      <c r="N663">
        <v>0</v>
      </c>
      <c r="O663" t="s">
        <v>70</v>
      </c>
      <c r="P663">
        <v>49700</v>
      </c>
      <c r="Q663">
        <v>8.6</v>
      </c>
      <c r="R663">
        <v>3</v>
      </c>
      <c r="S663">
        <v>0.7</v>
      </c>
      <c r="T663">
        <v>0</v>
      </c>
      <c r="U663">
        <v>3.4</v>
      </c>
      <c r="V663">
        <v>3.9</v>
      </c>
      <c r="W663">
        <v>1.9</v>
      </c>
      <c r="X663" t="s">
        <v>45</v>
      </c>
      <c r="Y663">
        <v>0</v>
      </c>
      <c r="Z663">
        <v>0</v>
      </c>
      <c r="AB663">
        <v>0</v>
      </c>
      <c r="AC663" t="s">
        <v>46</v>
      </c>
      <c r="AE663">
        <v>1</v>
      </c>
      <c r="AF663">
        <v>0</v>
      </c>
      <c r="AG663" t="s">
        <v>75</v>
      </c>
      <c r="AH663" t="s">
        <v>76</v>
      </c>
      <c r="AI663" t="s">
        <v>64</v>
      </c>
      <c r="AJ663" s="1" t="s">
        <v>159</v>
      </c>
      <c r="AK663">
        <v>8.3333333333333301E-2</v>
      </c>
      <c r="AL663">
        <v>0</v>
      </c>
    </row>
    <row r="664" spans="1:38" x14ac:dyDescent="0.35">
      <c r="A664" t="s">
        <v>864</v>
      </c>
      <c r="B664" t="s">
        <v>73</v>
      </c>
      <c r="C664" t="s">
        <v>177</v>
      </c>
      <c r="D664">
        <v>3.9</v>
      </c>
      <c r="E664" t="s">
        <v>62</v>
      </c>
      <c r="F664">
        <v>35</v>
      </c>
      <c r="G664" t="s">
        <v>42</v>
      </c>
      <c r="H664" t="s">
        <v>63</v>
      </c>
      <c r="I664">
        <v>1</v>
      </c>
      <c r="J664">
        <v>1.5</v>
      </c>
      <c r="K664">
        <v>14</v>
      </c>
      <c r="L664">
        <v>2</v>
      </c>
      <c r="M664">
        <v>12</v>
      </c>
      <c r="N664">
        <v>0</v>
      </c>
      <c r="O664" t="s">
        <v>293</v>
      </c>
      <c r="P664">
        <v>121100</v>
      </c>
      <c r="Q664">
        <v>11.7</v>
      </c>
      <c r="R664">
        <v>3.6</v>
      </c>
      <c r="S664">
        <v>2.7</v>
      </c>
      <c r="T664">
        <v>0</v>
      </c>
      <c r="U664">
        <v>3.3</v>
      </c>
      <c r="V664">
        <v>3.3</v>
      </c>
      <c r="W664">
        <v>2.9</v>
      </c>
      <c r="X664" t="s">
        <v>45</v>
      </c>
      <c r="Y664">
        <v>1</v>
      </c>
      <c r="Z664">
        <v>0</v>
      </c>
      <c r="AB664">
        <v>0</v>
      </c>
      <c r="AC664" t="s">
        <v>46</v>
      </c>
      <c r="AE664">
        <v>1</v>
      </c>
      <c r="AF664">
        <v>0</v>
      </c>
      <c r="AG664" t="s">
        <v>75</v>
      </c>
      <c r="AH664" t="s">
        <v>76</v>
      </c>
      <c r="AI664" t="s">
        <v>64</v>
      </c>
      <c r="AJ664" s="1" t="s">
        <v>100</v>
      </c>
      <c r="AK664">
        <v>8.3333333333333301E-2</v>
      </c>
      <c r="AL664">
        <v>0</v>
      </c>
    </row>
    <row r="665" spans="1:38" x14ac:dyDescent="0.35">
      <c r="A665" t="s">
        <v>865</v>
      </c>
      <c r="B665" t="s">
        <v>73</v>
      </c>
      <c r="C665" t="s">
        <v>113</v>
      </c>
      <c r="D665">
        <v>7.6</v>
      </c>
      <c r="E665" t="s">
        <v>67</v>
      </c>
      <c r="F665">
        <v>36</v>
      </c>
      <c r="G665" t="s">
        <v>42</v>
      </c>
      <c r="H665" t="s">
        <v>94</v>
      </c>
      <c r="I665">
        <v>4</v>
      </c>
      <c r="J665">
        <v>3.3</v>
      </c>
      <c r="K665">
        <v>7</v>
      </c>
      <c r="L665">
        <v>4</v>
      </c>
      <c r="M665">
        <v>12</v>
      </c>
      <c r="N665">
        <v>0</v>
      </c>
      <c r="O665" t="s">
        <v>70</v>
      </c>
      <c r="P665">
        <v>43300</v>
      </c>
      <c r="Q665">
        <v>10.1</v>
      </c>
      <c r="R665">
        <v>2.5</v>
      </c>
      <c r="S665">
        <v>3.3</v>
      </c>
      <c r="T665">
        <v>0</v>
      </c>
      <c r="U665">
        <v>4.3</v>
      </c>
      <c r="V665">
        <v>3.4</v>
      </c>
      <c r="W665">
        <v>5</v>
      </c>
      <c r="X665" t="s">
        <v>45</v>
      </c>
      <c r="Y665">
        <v>0</v>
      </c>
      <c r="Z665">
        <v>1</v>
      </c>
      <c r="AA665">
        <v>3</v>
      </c>
      <c r="AB665">
        <v>1</v>
      </c>
      <c r="AC665" t="s">
        <v>46</v>
      </c>
      <c r="AE665">
        <v>0</v>
      </c>
      <c r="AF665">
        <v>0</v>
      </c>
      <c r="AG665" t="s">
        <v>47</v>
      </c>
      <c r="AH665" t="s">
        <v>83</v>
      </c>
      <c r="AI665" t="s">
        <v>64</v>
      </c>
      <c r="AJ665" s="1" t="s">
        <v>730</v>
      </c>
      <c r="AK665" s="1" t="s">
        <v>115</v>
      </c>
      <c r="AL665">
        <v>0</v>
      </c>
    </row>
    <row r="666" spans="1:38" x14ac:dyDescent="0.35">
      <c r="A666" t="s">
        <v>866</v>
      </c>
      <c r="B666" t="s">
        <v>98</v>
      </c>
      <c r="C666" t="s">
        <v>148</v>
      </c>
      <c r="D666">
        <v>6.1</v>
      </c>
      <c r="E666" t="s">
        <v>62</v>
      </c>
      <c r="F666">
        <v>29</v>
      </c>
      <c r="G666" t="s">
        <v>234</v>
      </c>
      <c r="H666" t="s">
        <v>55</v>
      </c>
      <c r="I666">
        <v>3</v>
      </c>
      <c r="J666">
        <v>11.5</v>
      </c>
      <c r="K666">
        <v>8</v>
      </c>
      <c r="L666">
        <v>2</v>
      </c>
      <c r="M666">
        <v>12</v>
      </c>
      <c r="N666">
        <v>0</v>
      </c>
      <c r="O666" t="s">
        <v>293</v>
      </c>
      <c r="P666">
        <v>115100</v>
      </c>
      <c r="Q666">
        <v>9.6</v>
      </c>
      <c r="R666">
        <v>1.9</v>
      </c>
      <c r="S666">
        <v>0.4</v>
      </c>
      <c r="T666">
        <v>0</v>
      </c>
      <c r="U666">
        <v>2.5</v>
      </c>
      <c r="V666">
        <v>2.1</v>
      </c>
      <c r="W666">
        <v>1.9</v>
      </c>
      <c r="X666" t="s">
        <v>45</v>
      </c>
      <c r="Y666">
        <v>0</v>
      </c>
      <c r="Z666">
        <v>1</v>
      </c>
      <c r="AA666">
        <v>2.1</v>
      </c>
      <c r="AB666">
        <v>0</v>
      </c>
      <c r="AC666" t="s">
        <v>46</v>
      </c>
      <c r="AE666">
        <v>0</v>
      </c>
      <c r="AF666">
        <v>0</v>
      </c>
      <c r="AG666" t="s">
        <v>47</v>
      </c>
      <c r="AH666" t="s">
        <v>83</v>
      </c>
      <c r="AI666" t="s">
        <v>49</v>
      </c>
      <c r="AJ666" s="1" t="s">
        <v>867</v>
      </c>
      <c r="AK666">
        <v>0.25</v>
      </c>
      <c r="AL666">
        <v>0</v>
      </c>
    </row>
    <row r="667" spans="1:38" x14ac:dyDescent="0.35">
      <c r="A667" t="s">
        <v>868</v>
      </c>
      <c r="B667" t="s">
        <v>39</v>
      </c>
      <c r="C667" t="s">
        <v>66</v>
      </c>
      <c r="D667">
        <v>1.5</v>
      </c>
      <c r="E667" t="s">
        <v>41</v>
      </c>
      <c r="F667">
        <v>25</v>
      </c>
      <c r="G667" t="s">
        <v>42</v>
      </c>
      <c r="H667" t="s">
        <v>69</v>
      </c>
      <c r="I667">
        <v>2</v>
      </c>
      <c r="J667">
        <v>14.4</v>
      </c>
      <c r="K667">
        <v>9</v>
      </c>
      <c r="L667">
        <v>2</v>
      </c>
      <c r="M667">
        <v>12</v>
      </c>
      <c r="N667">
        <v>0</v>
      </c>
      <c r="O667" t="s">
        <v>44</v>
      </c>
      <c r="P667">
        <v>67500</v>
      </c>
      <c r="Q667">
        <v>14.6</v>
      </c>
      <c r="R667">
        <v>3.6</v>
      </c>
      <c r="S667">
        <v>0.3</v>
      </c>
      <c r="T667">
        <v>0</v>
      </c>
      <c r="U667">
        <v>3.2</v>
      </c>
      <c r="V667">
        <v>4.2</v>
      </c>
      <c r="W667">
        <v>3.6</v>
      </c>
      <c r="X667" t="s">
        <v>45</v>
      </c>
      <c r="Y667">
        <v>0</v>
      </c>
      <c r="Z667">
        <v>1</v>
      </c>
      <c r="AA667">
        <v>0.7</v>
      </c>
      <c r="AB667">
        <v>1</v>
      </c>
      <c r="AC667" t="s">
        <v>46</v>
      </c>
      <c r="AE667">
        <v>0</v>
      </c>
      <c r="AF667">
        <v>0</v>
      </c>
      <c r="AG667" t="s">
        <v>47</v>
      </c>
      <c r="AH667" t="s">
        <v>48</v>
      </c>
      <c r="AI667" t="s">
        <v>49</v>
      </c>
      <c r="AJ667" s="1" t="s">
        <v>266</v>
      </c>
      <c r="AK667" s="1" t="s">
        <v>84</v>
      </c>
      <c r="AL667">
        <v>0</v>
      </c>
    </row>
    <row r="668" spans="1:38" x14ac:dyDescent="0.35">
      <c r="A668" t="s">
        <v>869</v>
      </c>
      <c r="B668" t="s">
        <v>39</v>
      </c>
      <c r="C668" t="s">
        <v>88</v>
      </c>
      <c r="D668">
        <v>2.2999999999999998</v>
      </c>
      <c r="E668" t="s">
        <v>67</v>
      </c>
      <c r="F668">
        <v>30</v>
      </c>
      <c r="G668" t="s">
        <v>68</v>
      </c>
      <c r="H668" t="s">
        <v>55</v>
      </c>
      <c r="I668">
        <v>4</v>
      </c>
      <c r="J668">
        <v>14.3</v>
      </c>
      <c r="K668">
        <v>6</v>
      </c>
      <c r="L668">
        <v>1</v>
      </c>
      <c r="M668">
        <v>12</v>
      </c>
      <c r="N668">
        <v>0</v>
      </c>
      <c r="O668" t="s">
        <v>82</v>
      </c>
      <c r="P668">
        <v>32400</v>
      </c>
      <c r="Q668">
        <v>8.6999999999999993</v>
      </c>
      <c r="R668">
        <v>3.6</v>
      </c>
      <c r="S668">
        <v>0.9</v>
      </c>
      <c r="T668">
        <v>0</v>
      </c>
      <c r="U668">
        <v>3</v>
      </c>
      <c r="V668">
        <v>3.8</v>
      </c>
      <c r="W668">
        <v>3.2</v>
      </c>
      <c r="X668" t="s">
        <v>45</v>
      </c>
      <c r="Y668">
        <v>0</v>
      </c>
      <c r="Z668">
        <v>1</v>
      </c>
      <c r="AA668">
        <v>2</v>
      </c>
      <c r="AB668">
        <v>1</v>
      </c>
      <c r="AC668" t="s">
        <v>46</v>
      </c>
      <c r="AE668">
        <v>0</v>
      </c>
      <c r="AF668">
        <v>0</v>
      </c>
      <c r="AG668" t="s">
        <v>47</v>
      </c>
      <c r="AH668" t="s">
        <v>48</v>
      </c>
      <c r="AI668" t="s">
        <v>49</v>
      </c>
      <c r="AJ668" s="1" t="s">
        <v>90</v>
      </c>
      <c r="AK668" s="1" t="s">
        <v>115</v>
      </c>
      <c r="AL668">
        <v>0</v>
      </c>
    </row>
    <row r="669" spans="1:38" x14ac:dyDescent="0.35">
      <c r="A669" t="s">
        <v>870</v>
      </c>
      <c r="B669" t="s">
        <v>60</v>
      </c>
      <c r="C669" t="s">
        <v>107</v>
      </c>
      <c r="D669">
        <v>7.1</v>
      </c>
      <c r="E669" t="s">
        <v>41</v>
      </c>
      <c r="F669">
        <v>31</v>
      </c>
      <c r="G669" t="s">
        <v>68</v>
      </c>
      <c r="H669" t="s">
        <v>43</v>
      </c>
      <c r="I669">
        <v>5</v>
      </c>
      <c r="J669">
        <v>7.6</v>
      </c>
      <c r="K669">
        <v>6</v>
      </c>
      <c r="L669">
        <v>3</v>
      </c>
      <c r="M669">
        <v>12</v>
      </c>
      <c r="N669">
        <v>0</v>
      </c>
      <c r="O669" t="s">
        <v>56</v>
      </c>
      <c r="P669">
        <v>82600</v>
      </c>
      <c r="Q669">
        <v>4.5999999999999996</v>
      </c>
      <c r="R669">
        <v>3.3</v>
      </c>
      <c r="S669">
        <v>2</v>
      </c>
      <c r="T669">
        <v>0</v>
      </c>
      <c r="U669">
        <v>1.7</v>
      </c>
      <c r="V669">
        <v>3.2</v>
      </c>
      <c r="W669">
        <v>4.9000000000000004</v>
      </c>
      <c r="X669" t="s">
        <v>89</v>
      </c>
      <c r="Y669">
        <v>0</v>
      </c>
      <c r="Z669">
        <v>1</v>
      </c>
      <c r="AA669">
        <v>6.2</v>
      </c>
      <c r="AB669">
        <v>1</v>
      </c>
      <c r="AC669" t="s">
        <v>124</v>
      </c>
      <c r="AD669" s="2">
        <v>45428</v>
      </c>
      <c r="AE669">
        <v>0</v>
      </c>
      <c r="AF669">
        <v>0</v>
      </c>
      <c r="AG669" t="s">
        <v>47</v>
      </c>
      <c r="AH669" t="s">
        <v>83</v>
      </c>
      <c r="AI669" t="s">
        <v>64</v>
      </c>
      <c r="AJ669" s="1" t="s">
        <v>235</v>
      </c>
      <c r="AK669" s="1" t="s">
        <v>127</v>
      </c>
      <c r="AL669">
        <v>1</v>
      </c>
    </row>
    <row r="670" spans="1:38" x14ac:dyDescent="0.35">
      <c r="A670" t="s">
        <v>871</v>
      </c>
      <c r="B670" t="s">
        <v>98</v>
      </c>
      <c r="C670" t="s">
        <v>148</v>
      </c>
      <c r="D670">
        <v>9.1999999999999993</v>
      </c>
      <c r="E670" t="s">
        <v>110</v>
      </c>
      <c r="F670">
        <v>27</v>
      </c>
      <c r="G670" t="s">
        <v>68</v>
      </c>
      <c r="H670" t="s">
        <v>55</v>
      </c>
      <c r="I670">
        <v>5</v>
      </c>
      <c r="J670">
        <v>29.3</v>
      </c>
      <c r="K670">
        <v>11</v>
      </c>
      <c r="L670">
        <v>3</v>
      </c>
      <c r="M670">
        <v>12</v>
      </c>
      <c r="N670">
        <v>0</v>
      </c>
      <c r="O670" t="s">
        <v>44</v>
      </c>
      <c r="P670">
        <v>51300</v>
      </c>
      <c r="Q670">
        <v>4.5999999999999996</v>
      </c>
      <c r="R670">
        <v>4</v>
      </c>
      <c r="S670">
        <v>4.5999999999999996</v>
      </c>
      <c r="T670">
        <v>0</v>
      </c>
      <c r="U670">
        <v>4.0999999999999996</v>
      </c>
      <c r="V670">
        <v>3.4</v>
      </c>
      <c r="W670">
        <v>2.5</v>
      </c>
      <c r="X670" t="s">
        <v>45</v>
      </c>
      <c r="Y670">
        <v>0</v>
      </c>
      <c r="Z670">
        <v>2</v>
      </c>
      <c r="AA670">
        <v>1.6</v>
      </c>
      <c r="AB670">
        <v>0</v>
      </c>
      <c r="AC670" t="s">
        <v>46</v>
      </c>
      <c r="AE670">
        <v>0</v>
      </c>
      <c r="AF670">
        <v>0</v>
      </c>
      <c r="AG670" t="s">
        <v>47</v>
      </c>
      <c r="AH670" t="s">
        <v>83</v>
      </c>
      <c r="AI670" t="s">
        <v>57</v>
      </c>
      <c r="AJ670" s="1" t="s">
        <v>90</v>
      </c>
      <c r="AK670" s="1" t="s">
        <v>127</v>
      </c>
      <c r="AL670">
        <v>0</v>
      </c>
    </row>
    <row r="671" spans="1:38" x14ac:dyDescent="0.35">
      <c r="A671" t="s">
        <v>872</v>
      </c>
      <c r="B671" t="s">
        <v>98</v>
      </c>
      <c r="C671" t="s">
        <v>151</v>
      </c>
      <c r="D671">
        <v>4.4000000000000004</v>
      </c>
      <c r="E671" t="s">
        <v>67</v>
      </c>
      <c r="F671">
        <v>30</v>
      </c>
      <c r="G671" t="s">
        <v>68</v>
      </c>
      <c r="H671" t="s">
        <v>94</v>
      </c>
      <c r="I671">
        <v>2</v>
      </c>
      <c r="J671">
        <v>13.5</v>
      </c>
      <c r="K671">
        <v>10</v>
      </c>
      <c r="L671">
        <v>2</v>
      </c>
      <c r="M671">
        <v>12</v>
      </c>
      <c r="N671">
        <v>0</v>
      </c>
      <c r="O671" t="s">
        <v>70</v>
      </c>
      <c r="P671">
        <v>45600</v>
      </c>
      <c r="Q671">
        <v>8.6999999999999993</v>
      </c>
      <c r="R671">
        <v>3</v>
      </c>
      <c r="S671">
        <v>0</v>
      </c>
      <c r="T671">
        <v>0</v>
      </c>
      <c r="U671">
        <v>4.3</v>
      </c>
      <c r="V671">
        <v>1.9</v>
      </c>
      <c r="W671">
        <v>3.5</v>
      </c>
      <c r="X671" t="s">
        <v>89</v>
      </c>
      <c r="Y671">
        <v>0</v>
      </c>
      <c r="Z671">
        <v>0</v>
      </c>
      <c r="AB671">
        <v>0</v>
      </c>
      <c r="AC671" t="s">
        <v>46</v>
      </c>
      <c r="AE671">
        <v>1</v>
      </c>
      <c r="AF671">
        <v>0</v>
      </c>
      <c r="AG671" t="s">
        <v>75</v>
      </c>
      <c r="AH671" t="s">
        <v>76</v>
      </c>
      <c r="AI671" t="s">
        <v>49</v>
      </c>
      <c r="AJ671" s="1" t="s">
        <v>198</v>
      </c>
      <c r="AK671" s="1" t="s">
        <v>84</v>
      </c>
      <c r="AL671">
        <v>0</v>
      </c>
    </row>
    <row r="672" spans="1:38" x14ac:dyDescent="0.35">
      <c r="A672" t="s">
        <v>873</v>
      </c>
      <c r="B672" t="s">
        <v>73</v>
      </c>
      <c r="C672" t="s">
        <v>74</v>
      </c>
      <c r="D672">
        <v>9.9</v>
      </c>
      <c r="E672" t="s">
        <v>67</v>
      </c>
      <c r="F672">
        <v>30</v>
      </c>
      <c r="G672" t="s">
        <v>234</v>
      </c>
      <c r="H672" t="s">
        <v>55</v>
      </c>
      <c r="I672">
        <v>2</v>
      </c>
      <c r="J672">
        <v>27</v>
      </c>
      <c r="K672">
        <v>7</v>
      </c>
      <c r="L672">
        <v>4</v>
      </c>
      <c r="M672">
        <v>12</v>
      </c>
      <c r="N672">
        <v>0</v>
      </c>
      <c r="O672" t="s">
        <v>70</v>
      </c>
      <c r="P672">
        <v>47800</v>
      </c>
      <c r="Q672">
        <v>2.2000000000000002</v>
      </c>
      <c r="R672">
        <v>3.5</v>
      </c>
      <c r="S672">
        <v>5.7</v>
      </c>
      <c r="T672">
        <v>0</v>
      </c>
      <c r="U672">
        <v>2.7</v>
      </c>
      <c r="V672">
        <v>2</v>
      </c>
      <c r="W672">
        <v>3.9</v>
      </c>
      <c r="X672" t="s">
        <v>45</v>
      </c>
      <c r="Y672">
        <v>0</v>
      </c>
      <c r="Z672">
        <v>1</v>
      </c>
      <c r="AA672">
        <v>5.3</v>
      </c>
      <c r="AB672">
        <v>0</v>
      </c>
      <c r="AC672" t="s">
        <v>124</v>
      </c>
      <c r="AD672" s="2">
        <v>45995</v>
      </c>
      <c r="AE672">
        <v>0</v>
      </c>
      <c r="AF672">
        <v>0</v>
      </c>
      <c r="AG672" t="s">
        <v>47</v>
      </c>
      <c r="AH672" t="s">
        <v>83</v>
      </c>
      <c r="AI672" t="s">
        <v>57</v>
      </c>
      <c r="AJ672" s="1" t="s">
        <v>182</v>
      </c>
      <c r="AK672" s="1" t="s">
        <v>84</v>
      </c>
      <c r="AL672">
        <v>1</v>
      </c>
    </row>
    <row r="673" spans="1:38" x14ac:dyDescent="0.35">
      <c r="A673" t="s">
        <v>874</v>
      </c>
      <c r="B673" t="s">
        <v>117</v>
      </c>
      <c r="C673" t="s">
        <v>189</v>
      </c>
      <c r="D673">
        <v>4.0999999999999996</v>
      </c>
      <c r="E673" t="s">
        <v>41</v>
      </c>
      <c r="F673">
        <v>37</v>
      </c>
      <c r="G673" t="s">
        <v>42</v>
      </c>
      <c r="H673" t="s">
        <v>69</v>
      </c>
      <c r="I673">
        <v>0</v>
      </c>
      <c r="J673">
        <v>23.5</v>
      </c>
      <c r="K673">
        <v>7</v>
      </c>
      <c r="L673">
        <v>1</v>
      </c>
      <c r="M673">
        <v>12</v>
      </c>
      <c r="N673">
        <v>0</v>
      </c>
      <c r="O673" t="s">
        <v>44</v>
      </c>
      <c r="P673">
        <v>74200</v>
      </c>
      <c r="Q673">
        <v>6.8</v>
      </c>
      <c r="R673">
        <v>2.9</v>
      </c>
      <c r="S673">
        <v>1.6</v>
      </c>
      <c r="T673">
        <v>0</v>
      </c>
      <c r="U673">
        <v>4.2</v>
      </c>
      <c r="V673">
        <v>3.1</v>
      </c>
      <c r="W673">
        <v>3.3</v>
      </c>
      <c r="X673" t="s">
        <v>45</v>
      </c>
      <c r="Y673">
        <v>0</v>
      </c>
      <c r="Z673">
        <v>0</v>
      </c>
      <c r="AB673">
        <v>0</v>
      </c>
      <c r="AC673" t="s">
        <v>46</v>
      </c>
      <c r="AE673">
        <v>1</v>
      </c>
      <c r="AF673">
        <v>0</v>
      </c>
      <c r="AG673" t="s">
        <v>75</v>
      </c>
      <c r="AH673" t="s">
        <v>76</v>
      </c>
      <c r="AI673" t="s">
        <v>57</v>
      </c>
      <c r="AJ673" s="1" t="s">
        <v>149</v>
      </c>
      <c r="AK673">
        <v>0</v>
      </c>
      <c r="AL673">
        <v>0</v>
      </c>
    </row>
    <row r="674" spans="1:38" x14ac:dyDescent="0.35">
      <c r="A674" t="s">
        <v>875</v>
      </c>
      <c r="B674" t="s">
        <v>60</v>
      </c>
      <c r="C674" t="s">
        <v>107</v>
      </c>
      <c r="D674">
        <v>1.8</v>
      </c>
      <c r="E674" t="s">
        <v>41</v>
      </c>
      <c r="F674">
        <v>29</v>
      </c>
      <c r="G674" t="s">
        <v>68</v>
      </c>
      <c r="H674" t="s">
        <v>63</v>
      </c>
      <c r="I674">
        <v>1</v>
      </c>
      <c r="J674">
        <v>7.6</v>
      </c>
      <c r="K674">
        <v>6</v>
      </c>
      <c r="L674">
        <v>6</v>
      </c>
      <c r="M674">
        <v>12</v>
      </c>
      <c r="N674">
        <v>0</v>
      </c>
      <c r="O674" t="s">
        <v>44</v>
      </c>
      <c r="P674">
        <v>71500</v>
      </c>
      <c r="Q674">
        <v>9.9</v>
      </c>
      <c r="R674">
        <v>3</v>
      </c>
      <c r="S674">
        <v>3.8</v>
      </c>
      <c r="T674">
        <v>0</v>
      </c>
      <c r="U674">
        <v>1.9</v>
      </c>
      <c r="V674">
        <v>3.7</v>
      </c>
      <c r="W674">
        <v>3.4</v>
      </c>
      <c r="X674" t="s">
        <v>45</v>
      </c>
      <c r="Y674">
        <v>1</v>
      </c>
      <c r="Z674">
        <v>0</v>
      </c>
      <c r="AB674">
        <v>0</v>
      </c>
      <c r="AC674" t="s">
        <v>46</v>
      </c>
      <c r="AE674">
        <v>1</v>
      </c>
      <c r="AF674">
        <v>0</v>
      </c>
      <c r="AG674" t="s">
        <v>75</v>
      </c>
      <c r="AH674" t="s">
        <v>48</v>
      </c>
      <c r="AI674" t="s">
        <v>64</v>
      </c>
      <c r="AJ674">
        <v>3</v>
      </c>
      <c r="AK674">
        <v>8.3333333333333301E-2</v>
      </c>
      <c r="AL674">
        <v>0</v>
      </c>
    </row>
    <row r="675" spans="1:38" x14ac:dyDescent="0.35">
      <c r="A675" t="s">
        <v>876</v>
      </c>
      <c r="B675" t="s">
        <v>39</v>
      </c>
      <c r="C675" t="s">
        <v>88</v>
      </c>
      <c r="D675">
        <v>5.7</v>
      </c>
      <c r="E675" t="s">
        <v>110</v>
      </c>
      <c r="F675">
        <v>28</v>
      </c>
      <c r="G675" t="s">
        <v>68</v>
      </c>
      <c r="H675" t="s">
        <v>69</v>
      </c>
      <c r="I675">
        <v>3</v>
      </c>
      <c r="J675">
        <v>18.899999999999999</v>
      </c>
      <c r="K675">
        <v>15</v>
      </c>
      <c r="L675">
        <v>1</v>
      </c>
      <c r="M675">
        <v>12</v>
      </c>
      <c r="N675">
        <v>0</v>
      </c>
      <c r="O675" t="s">
        <v>44</v>
      </c>
      <c r="P675">
        <v>61400</v>
      </c>
      <c r="Q675">
        <v>12.7</v>
      </c>
      <c r="R675">
        <v>3.5</v>
      </c>
      <c r="S675">
        <v>3.6</v>
      </c>
      <c r="T675">
        <v>0</v>
      </c>
      <c r="U675">
        <v>3.3</v>
      </c>
      <c r="V675">
        <v>3.7</v>
      </c>
      <c r="W675">
        <v>3.4</v>
      </c>
      <c r="X675" t="s">
        <v>45</v>
      </c>
      <c r="Y675">
        <v>0</v>
      </c>
      <c r="Z675">
        <v>0</v>
      </c>
      <c r="AB675">
        <v>0</v>
      </c>
      <c r="AC675" t="s">
        <v>46</v>
      </c>
      <c r="AE675">
        <v>1</v>
      </c>
      <c r="AF675">
        <v>0</v>
      </c>
      <c r="AG675" t="s">
        <v>75</v>
      </c>
      <c r="AH675" t="s">
        <v>83</v>
      </c>
      <c r="AI675" t="s">
        <v>49</v>
      </c>
      <c r="AJ675" s="1" t="s">
        <v>77</v>
      </c>
      <c r="AK675">
        <v>0.25</v>
      </c>
      <c r="AL675">
        <v>0</v>
      </c>
    </row>
    <row r="676" spans="1:38" x14ac:dyDescent="0.35">
      <c r="A676" t="s">
        <v>877</v>
      </c>
      <c r="B676" t="s">
        <v>117</v>
      </c>
      <c r="C676" t="s">
        <v>189</v>
      </c>
      <c r="D676">
        <v>19.899999999999999</v>
      </c>
      <c r="E676" t="s">
        <v>62</v>
      </c>
      <c r="F676">
        <v>43</v>
      </c>
      <c r="G676" t="s">
        <v>42</v>
      </c>
      <c r="H676" t="s">
        <v>55</v>
      </c>
      <c r="I676">
        <v>4</v>
      </c>
      <c r="J676">
        <v>7.6</v>
      </c>
      <c r="K676">
        <v>11</v>
      </c>
      <c r="L676">
        <v>3</v>
      </c>
      <c r="M676">
        <v>12</v>
      </c>
      <c r="N676">
        <v>0</v>
      </c>
      <c r="O676" t="s">
        <v>293</v>
      </c>
      <c r="P676">
        <v>124500</v>
      </c>
      <c r="Q676">
        <v>1.8</v>
      </c>
      <c r="R676">
        <v>5</v>
      </c>
      <c r="S676">
        <v>1.3</v>
      </c>
      <c r="T676">
        <v>0</v>
      </c>
      <c r="U676">
        <v>3.2</v>
      </c>
      <c r="V676">
        <v>2.9</v>
      </c>
      <c r="W676">
        <v>3.2</v>
      </c>
      <c r="X676" t="s">
        <v>45</v>
      </c>
      <c r="Y676">
        <v>0</v>
      </c>
      <c r="Z676">
        <v>1</v>
      </c>
      <c r="AA676">
        <v>5.5</v>
      </c>
      <c r="AB676">
        <v>0</v>
      </c>
      <c r="AC676" t="s">
        <v>46</v>
      </c>
      <c r="AE676">
        <v>0</v>
      </c>
      <c r="AF676">
        <v>0</v>
      </c>
      <c r="AG676" t="s">
        <v>47</v>
      </c>
      <c r="AH676" t="s">
        <v>83</v>
      </c>
      <c r="AI676" t="s">
        <v>64</v>
      </c>
      <c r="AJ676">
        <v>3.1</v>
      </c>
      <c r="AK676" s="1" t="s">
        <v>115</v>
      </c>
      <c r="AL676">
        <v>0</v>
      </c>
    </row>
    <row r="677" spans="1:38" x14ac:dyDescent="0.35">
      <c r="A677" t="s">
        <v>878</v>
      </c>
      <c r="B677" t="s">
        <v>98</v>
      </c>
      <c r="C677" t="s">
        <v>99</v>
      </c>
      <c r="D677">
        <v>1.2</v>
      </c>
      <c r="E677" t="s">
        <v>67</v>
      </c>
      <c r="F677">
        <v>21</v>
      </c>
      <c r="G677" t="s">
        <v>42</v>
      </c>
      <c r="H677" t="s">
        <v>63</v>
      </c>
      <c r="I677">
        <v>2</v>
      </c>
      <c r="J677">
        <v>31.8</v>
      </c>
      <c r="K677">
        <v>9</v>
      </c>
      <c r="L677">
        <v>0</v>
      </c>
      <c r="M677">
        <v>12</v>
      </c>
      <c r="N677">
        <v>0</v>
      </c>
      <c r="O677" t="s">
        <v>70</v>
      </c>
      <c r="P677">
        <v>36200</v>
      </c>
      <c r="Q677">
        <v>8.4</v>
      </c>
      <c r="R677">
        <v>3.9</v>
      </c>
      <c r="S677">
        <v>0.9</v>
      </c>
      <c r="T677">
        <v>0</v>
      </c>
      <c r="U677">
        <v>3.4</v>
      </c>
      <c r="V677">
        <v>3.9</v>
      </c>
      <c r="W677">
        <v>3.2</v>
      </c>
      <c r="X677" t="s">
        <v>45</v>
      </c>
      <c r="Y677">
        <v>0</v>
      </c>
      <c r="Z677">
        <v>1</v>
      </c>
      <c r="AA677">
        <v>0.4</v>
      </c>
      <c r="AB677">
        <v>1</v>
      </c>
      <c r="AC677" t="s">
        <v>124</v>
      </c>
      <c r="AD677" s="2">
        <v>45364</v>
      </c>
      <c r="AE677">
        <v>0</v>
      </c>
      <c r="AF677">
        <v>0</v>
      </c>
      <c r="AG677" t="s">
        <v>47</v>
      </c>
      <c r="AH677" t="s">
        <v>48</v>
      </c>
      <c r="AI677" t="s">
        <v>57</v>
      </c>
      <c r="AJ677">
        <v>3.5</v>
      </c>
      <c r="AK677" s="1" t="s">
        <v>84</v>
      </c>
      <c r="AL677">
        <v>1</v>
      </c>
    </row>
    <row r="678" spans="1:38" x14ac:dyDescent="0.35">
      <c r="A678" t="s">
        <v>879</v>
      </c>
      <c r="B678" t="s">
        <v>60</v>
      </c>
      <c r="C678" t="s">
        <v>107</v>
      </c>
      <c r="D678">
        <v>9.6999999999999993</v>
      </c>
      <c r="E678" t="s">
        <v>41</v>
      </c>
      <c r="F678">
        <v>31</v>
      </c>
      <c r="G678" t="s">
        <v>234</v>
      </c>
      <c r="H678" t="s">
        <v>69</v>
      </c>
      <c r="I678">
        <v>5</v>
      </c>
      <c r="J678">
        <v>8.1999999999999993</v>
      </c>
      <c r="K678">
        <v>12</v>
      </c>
      <c r="L678">
        <v>1</v>
      </c>
      <c r="M678">
        <v>12</v>
      </c>
      <c r="N678">
        <v>0</v>
      </c>
      <c r="O678" t="s">
        <v>44</v>
      </c>
      <c r="P678">
        <v>63900</v>
      </c>
      <c r="Q678">
        <v>7.7</v>
      </c>
      <c r="R678">
        <v>3.7</v>
      </c>
      <c r="S678">
        <v>2.1</v>
      </c>
      <c r="T678">
        <v>0</v>
      </c>
      <c r="U678">
        <v>3.4</v>
      </c>
      <c r="V678">
        <v>4.5</v>
      </c>
      <c r="W678">
        <v>4.0999999999999996</v>
      </c>
      <c r="X678" t="s">
        <v>45</v>
      </c>
      <c r="Y678">
        <v>0</v>
      </c>
      <c r="Z678">
        <v>2</v>
      </c>
      <c r="AA678">
        <v>8.6</v>
      </c>
      <c r="AB678">
        <v>0</v>
      </c>
      <c r="AC678" t="s">
        <v>46</v>
      </c>
      <c r="AE678">
        <v>0</v>
      </c>
      <c r="AF678">
        <v>0</v>
      </c>
      <c r="AG678" t="s">
        <v>47</v>
      </c>
      <c r="AH678" t="s">
        <v>83</v>
      </c>
      <c r="AI678" t="s">
        <v>64</v>
      </c>
      <c r="AJ678">
        <v>4</v>
      </c>
      <c r="AK678" s="1" t="s">
        <v>127</v>
      </c>
      <c r="AL678">
        <v>0</v>
      </c>
    </row>
    <row r="679" spans="1:38" x14ac:dyDescent="0.35">
      <c r="A679" t="s">
        <v>880</v>
      </c>
      <c r="B679" t="s">
        <v>52</v>
      </c>
      <c r="C679" t="s">
        <v>153</v>
      </c>
      <c r="D679">
        <v>5.5</v>
      </c>
      <c r="E679" t="s">
        <v>41</v>
      </c>
      <c r="F679">
        <v>36</v>
      </c>
      <c r="G679" t="s">
        <v>42</v>
      </c>
      <c r="H679" t="s">
        <v>43</v>
      </c>
      <c r="I679">
        <v>1</v>
      </c>
      <c r="J679">
        <v>15</v>
      </c>
      <c r="K679">
        <v>15</v>
      </c>
      <c r="L679">
        <v>3</v>
      </c>
      <c r="M679">
        <v>12</v>
      </c>
      <c r="N679">
        <v>0</v>
      </c>
      <c r="O679" t="s">
        <v>56</v>
      </c>
      <c r="P679">
        <v>82200</v>
      </c>
      <c r="Q679">
        <v>8.1999999999999993</v>
      </c>
      <c r="R679">
        <v>3.9</v>
      </c>
      <c r="S679">
        <v>1.6</v>
      </c>
      <c r="T679">
        <v>0</v>
      </c>
      <c r="U679">
        <v>3.2</v>
      </c>
      <c r="V679">
        <v>3.1</v>
      </c>
      <c r="W679">
        <v>3.7</v>
      </c>
      <c r="X679" t="s">
        <v>45</v>
      </c>
      <c r="Y679">
        <v>0</v>
      </c>
      <c r="Z679">
        <v>1</v>
      </c>
      <c r="AA679">
        <v>1.8</v>
      </c>
      <c r="AB679">
        <v>1</v>
      </c>
      <c r="AC679" t="s">
        <v>46</v>
      </c>
      <c r="AE679">
        <v>0</v>
      </c>
      <c r="AF679">
        <v>0</v>
      </c>
      <c r="AG679" t="s">
        <v>47</v>
      </c>
      <c r="AH679" t="s">
        <v>83</v>
      </c>
      <c r="AI679" t="s">
        <v>49</v>
      </c>
      <c r="AJ679" s="1" t="s">
        <v>90</v>
      </c>
      <c r="AK679">
        <v>8.3333333333333301E-2</v>
      </c>
      <c r="AL679">
        <v>0</v>
      </c>
    </row>
    <row r="680" spans="1:38" x14ac:dyDescent="0.35">
      <c r="A680" t="s">
        <v>881</v>
      </c>
      <c r="B680" t="s">
        <v>73</v>
      </c>
      <c r="C680" t="s">
        <v>121</v>
      </c>
      <c r="D680">
        <v>2.2000000000000002</v>
      </c>
      <c r="E680" t="s">
        <v>81</v>
      </c>
      <c r="F680">
        <v>37</v>
      </c>
      <c r="G680" t="s">
        <v>42</v>
      </c>
      <c r="H680" t="s">
        <v>69</v>
      </c>
      <c r="I680">
        <v>2</v>
      </c>
      <c r="J680">
        <v>35.9</v>
      </c>
      <c r="K680">
        <v>9</v>
      </c>
      <c r="L680">
        <v>0</v>
      </c>
      <c r="M680">
        <v>12</v>
      </c>
      <c r="N680">
        <v>0</v>
      </c>
      <c r="O680" t="s">
        <v>82</v>
      </c>
      <c r="P680">
        <v>29300</v>
      </c>
      <c r="Q680">
        <v>8.6</v>
      </c>
      <c r="R680">
        <v>1.1000000000000001</v>
      </c>
      <c r="S680">
        <v>0.7</v>
      </c>
      <c r="T680">
        <v>0</v>
      </c>
      <c r="U680">
        <v>3</v>
      </c>
      <c r="V680">
        <v>3.5</v>
      </c>
      <c r="W680">
        <v>3.8</v>
      </c>
      <c r="X680" t="s">
        <v>45</v>
      </c>
      <c r="Y680">
        <v>0</v>
      </c>
      <c r="Z680">
        <v>0</v>
      </c>
      <c r="AB680">
        <v>1</v>
      </c>
      <c r="AC680" t="s">
        <v>124</v>
      </c>
      <c r="AD680" s="2">
        <v>46114</v>
      </c>
      <c r="AE680">
        <v>1</v>
      </c>
      <c r="AF680">
        <v>0</v>
      </c>
      <c r="AG680" t="s">
        <v>75</v>
      </c>
      <c r="AH680" t="s">
        <v>48</v>
      </c>
      <c r="AI680" t="s">
        <v>57</v>
      </c>
      <c r="AJ680" s="1" t="s">
        <v>174</v>
      </c>
      <c r="AK680" s="1" t="s">
        <v>84</v>
      </c>
      <c r="AL680">
        <v>1</v>
      </c>
    </row>
    <row r="681" spans="1:38" x14ac:dyDescent="0.35">
      <c r="A681" t="s">
        <v>882</v>
      </c>
      <c r="B681" t="s">
        <v>98</v>
      </c>
      <c r="C681" t="s">
        <v>99</v>
      </c>
      <c r="D681">
        <v>0.6</v>
      </c>
      <c r="E681" t="s">
        <v>81</v>
      </c>
      <c r="F681">
        <v>30</v>
      </c>
      <c r="G681" t="s">
        <v>42</v>
      </c>
      <c r="H681" t="s">
        <v>94</v>
      </c>
      <c r="I681">
        <v>7</v>
      </c>
      <c r="J681">
        <v>15.5</v>
      </c>
      <c r="K681">
        <v>10</v>
      </c>
      <c r="L681">
        <v>1</v>
      </c>
      <c r="M681">
        <v>12</v>
      </c>
      <c r="N681">
        <v>0</v>
      </c>
      <c r="O681" t="s">
        <v>70</v>
      </c>
      <c r="P681">
        <v>37300</v>
      </c>
      <c r="Q681">
        <v>7.9</v>
      </c>
      <c r="R681">
        <v>3.5</v>
      </c>
      <c r="S681">
        <v>1.3</v>
      </c>
      <c r="T681">
        <v>0</v>
      </c>
      <c r="U681">
        <v>3.2</v>
      </c>
      <c r="V681">
        <v>3</v>
      </c>
      <c r="W681">
        <v>3.7</v>
      </c>
      <c r="X681" t="s">
        <v>45</v>
      </c>
      <c r="Y681">
        <v>0</v>
      </c>
      <c r="Z681">
        <v>3</v>
      </c>
      <c r="AB681">
        <v>0</v>
      </c>
      <c r="AC681" t="s">
        <v>46</v>
      </c>
      <c r="AE681">
        <v>1</v>
      </c>
      <c r="AF681">
        <v>0</v>
      </c>
      <c r="AG681" t="s">
        <v>47</v>
      </c>
      <c r="AH681" t="s">
        <v>95</v>
      </c>
      <c r="AI681" t="s">
        <v>49</v>
      </c>
      <c r="AJ681" s="1" t="s">
        <v>71</v>
      </c>
      <c r="AK681" s="1" t="s">
        <v>105</v>
      </c>
      <c r="AL681">
        <v>0</v>
      </c>
    </row>
    <row r="682" spans="1:38" x14ac:dyDescent="0.35">
      <c r="A682" t="s">
        <v>883</v>
      </c>
      <c r="B682" t="s">
        <v>73</v>
      </c>
      <c r="C682" t="s">
        <v>177</v>
      </c>
      <c r="D682">
        <v>0.3</v>
      </c>
      <c r="E682" t="s">
        <v>67</v>
      </c>
      <c r="F682">
        <v>26</v>
      </c>
      <c r="G682" t="s">
        <v>42</v>
      </c>
      <c r="H682" t="s">
        <v>43</v>
      </c>
      <c r="I682">
        <v>4</v>
      </c>
      <c r="J682">
        <v>6.9</v>
      </c>
      <c r="K682">
        <v>9</v>
      </c>
      <c r="L682">
        <v>2</v>
      </c>
      <c r="M682">
        <v>12</v>
      </c>
      <c r="N682">
        <v>0</v>
      </c>
      <c r="O682" t="s">
        <v>70</v>
      </c>
      <c r="P682">
        <v>37600</v>
      </c>
      <c r="Q682">
        <v>13.6</v>
      </c>
      <c r="R682">
        <v>4</v>
      </c>
      <c r="S682">
        <v>1</v>
      </c>
      <c r="T682">
        <v>0</v>
      </c>
      <c r="U682">
        <v>4.5</v>
      </c>
      <c r="V682">
        <v>3.1</v>
      </c>
      <c r="W682">
        <v>4.2</v>
      </c>
      <c r="X682" t="s">
        <v>89</v>
      </c>
      <c r="Y682">
        <v>0</v>
      </c>
      <c r="Z682">
        <v>0</v>
      </c>
      <c r="AB682">
        <v>1</v>
      </c>
      <c r="AC682" t="s">
        <v>46</v>
      </c>
      <c r="AE682">
        <v>1</v>
      </c>
      <c r="AF682">
        <v>0</v>
      </c>
      <c r="AG682" t="s">
        <v>75</v>
      </c>
      <c r="AH682" t="s">
        <v>95</v>
      </c>
      <c r="AI682" t="s">
        <v>64</v>
      </c>
      <c r="AJ682" s="1" t="s">
        <v>219</v>
      </c>
      <c r="AK682" s="1" t="s">
        <v>115</v>
      </c>
      <c r="AL682">
        <v>0</v>
      </c>
    </row>
    <row r="683" spans="1:38" x14ac:dyDescent="0.35">
      <c r="A683" t="s">
        <v>884</v>
      </c>
      <c r="B683" t="s">
        <v>73</v>
      </c>
      <c r="C683" t="s">
        <v>177</v>
      </c>
      <c r="D683">
        <v>2.4</v>
      </c>
      <c r="E683" t="s">
        <v>41</v>
      </c>
      <c r="F683">
        <v>27</v>
      </c>
      <c r="G683" t="s">
        <v>68</v>
      </c>
      <c r="H683" t="s">
        <v>43</v>
      </c>
      <c r="I683">
        <v>5</v>
      </c>
      <c r="J683">
        <v>2.9</v>
      </c>
      <c r="K683">
        <v>11</v>
      </c>
      <c r="L683">
        <v>2</v>
      </c>
      <c r="M683">
        <v>12</v>
      </c>
      <c r="N683">
        <v>0</v>
      </c>
      <c r="O683" t="s">
        <v>44</v>
      </c>
      <c r="P683">
        <v>73000</v>
      </c>
      <c r="Q683">
        <v>13</v>
      </c>
      <c r="R683">
        <v>3.3</v>
      </c>
      <c r="S683">
        <v>1.4</v>
      </c>
      <c r="T683">
        <v>0</v>
      </c>
      <c r="U683">
        <v>2.8</v>
      </c>
      <c r="V683">
        <v>3.4</v>
      </c>
      <c r="W683">
        <v>4.4000000000000004</v>
      </c>
      <c r="X683" t="s">
        <v>45</v>
      </c>
      <c r="Y683">
        <v>0</v>
      </c>
      <c r="Z683">
        <v>0</v>
      </c>
      <c r="AB683">
        <v>0</v>
      </c>
      <c r="AC683" t="s">
        <v>46</v>
      </c>
      <c r="AE683">
        <v>1</v>
      </c>
      <c r="AF683">
        <v>0</v>
      </c>
      <c r="AG683" t="s">
        <v>75</v>
      </c>
      <c r="AH683" t="s">
        <v>48</v>
      </c>
      <c r="AI683" t="s">
        <v>64</v>
      </c>
      <c r="AJ683" s="1" t="s">
        <v>122</v>
      </c>
      <c r="AK683" s="1" t="s">
        <v>127</v>
      </c>
      <c r="AL683">
        <v>0</v>
      </c>
    </row>
    <row r="684" spans="1:38" x14ac:dyDescent="0.35">
      <c r="A684" t="s">
        <v>885</v>
      </c>
      <c r="B684" t="s">
        <v>73</v>
      </c>
      <c r="C684" t="s">
        <v>113</v>
      </c>
      <c r="D684">
        <v>4.9000000000000004</v>
      </c>
      <c r="E684" t="s">
        <v>67</v>
      </c>
      <c r="F684">
        <v>27</v>
      </c>
      <c r="G684" t="s">
        <v>54</v>
      </c>
      <c r="H684" t="s">
        <v>43</v>
      </c>
      <c r="I684">
        <v>2</v>
      </c>
      <c r="J684">
        <v>2.1</v>
      </c>
      <c r="K684">
        <v>7</v>
      </c>
      <c r="L684">
        <v>1</v>
      </c>
      <c r="M684">
        <v>12</v>
      </c>
      <c r="N684">
        <v>0</v>
      </c>
      <c r="O684" t="s">
        <v>70</v>
      </c>
      <c r="P684">
        <v>41200</v>
      </c>
      <c r="Q684">
        <v>16.600000000000001</v>
      </c>
      <c r="R684">
        <v>3.2</v>
      </c>
      <c r="S684">
        <v>3.3</v>
      </c>
      <c r="T684">
        <v>0</v>
      </c>
      <c r="U684">
        <v>5</v>
      </c>
      <c r="V684">
        <v>4.7</v>
      </c>
      <c r="W684">
        <v>3.2</v>
      </c>
      <c r="X684" t="s">
        <v>45</v>
      </c>
      <c r="Y684">
        <v>0</v>
      </c>
      <c r="Z684">
        <v>0</v>
      </c>
      <c r="AB684">
        <v>0</v>
      </c>
      <c r="AC684" t="s">
        <v>46</v>
      </c>
      <c r="AE684">
        <v>1</v>
      </c>
      <c r="AF684">
        <v>0</v>
      </c>
      <c r="AG684" t="s">
        <v>75</v>
      </c>
      <c r="AH684" t="s">
        <v>76</v>
      </c>
      <c r="AI684" t="s">
        <v>64</v>
      </c>
      <c r="AJ684">
        <v>4.3</v>
      </c>
      <c r="AK684" s="1" t="s">
        <v>84</v>
      </c>
      <c r="AL684">
        <v>0</v>
      </c>
    </row>
    <row r="685" spans="1:38" x14ac:dyDescent="0.35">
      <c r="A685" t="s">
        <v>886</v>
      </c>
      <c r="B685" t="s">
        <v>52</v>
      </c>
      <c r="C685" t="s">
        <v>153</v>
      </c>
      <c r="D685">
        <v>6.7</v>
      </c>
      <c r="E685" t="s">
        <v>110</v>
      </c>
      <c r="F685">
        <v>41</v>
      </c>
      <c r="G685" t="s">
        <v>68</v>
      </c>
      <c r="H685" t="s">
        <v>55</v>
      </c>
      <c r="I685">
        <v>2</v>
      </c>
      <c r="J685">
        <v>14.3</v>
      </c>
      <c r="K685">
        <v>7</v>
      </c>
      <c r="L685">
        <v>2</v>
      </c>
      <c r="M685">
        <v>12</v>
      </c>
      <c r="N685">
        <v>0</v>
      </c>
      <c r="O685" t="s">
        <v>44</v>
      </c>
      <c r="P685">
        <v>60000</v>
      </c>
      <c r="Q685">
        <v>8</v>
      </c>
      <c r="R685">
        <v>2.4</v>
      </c>
      <c r="S685">
        <v>1</v>
      </c>
      <c r="T685">
        <v>0</v>
      </c>
      <c r="U685">
        <v>2.7</v>
      </c>
      <c r="V685">
        <v>4</v>
      </c>
      <c r="W685">
        <v>4.0999999999999996</v>
      </c>
      <c r="X685" t="s">
        <v>45</v>
      </c>
      <c r="Y685">
        <v>0</v>
      </c>
      <c r="Z685">
        <v>0</v>
      </c>
      <c r="AB685">
        <v>0</v>
      </c>
      <c r="AC685" t="s">
        <v>124</v>
      </c>
      <c r="AD685" s="2">
        <v>45726</v>
      </c>
      <c r="AE685">
        <v>1</v>
      </c>
      <c r="AF685">
        <v>0</v>
      </c>
      <c r="AG685" t="s">
        <v>75</v>
      </c>
      <c r="AH685" t="s">
        <v>83</v>
      </c>
      <c r="AI685" t="s">
        <v>49</v>
      </c>
      <c r="AJ685">
        <v>3.6</v>
      </c>
      <c r="AK685" s="1" t="s">
        <v>84</v>
      </c>
      <c r="AL685">
        <v>1</v>
      </c>
    </row>
    <row r="686" spans="1:38" x14ac:dyDescent="0.35">
      <c r="A686" t="s">
        <v>887</v>
      </c>
      <c r="B686" t="s">
        <v>39</v>
      </c>
      <c r="C686" t="s">
        <v>66</v>
      </c>
      <c r="D686">
        <v>7.8</v>
      </c>
      <c r="E686" t="s">
        <v>81</v>
      </c>
      <c r="F686">
        <v>33</v>
      </c>
      <c r="G686" t="s">
        <v>68</v>
      </c>
      <c r="H686" t="s">
        <v>94</v>
      </c>
      <c r="I686">
        <v>1</v>
      </c>
      <c r="J686">
        <v>9.4</v>
      </c>
      <c r="K686">
        <v>10</v>
      </c>
      <c r="L686">
        <v>3</v>
      </c>
      <c r="M686">
        <v>12</v>
      </c>
      <c r="N686">
        <v>0</v>
      </c>
      <c r="O686" t="s">
        <v>82</v>
      </c>
      <c r="P686">
        <v>26900</v>
      </c>
      <c r="Q686">
        <v>6.4</v>
      </c>
      <c r="R686">
        <v>2.8</v>
      </c>
      <c r="S686">
        <v>1.8</v>
      </c>
      <c r="T686">
        <v>0</v>
      </c>
      <c r="U686">
        <v>3.5</v>
      </c>
      <c r="V686">
        <v>3.3</v>
      </c>
      <c r="W686">
        <v>2.4</v>
      </c>
      <c r="X686" t="s">
        <v>45</v>
      </c>
      <c r="Y686">
        <v>1</v>
      </c>
      <c r="Z686">
        <v>1</v>
      </c>
      <c r="AA686">
        <v>5</v>
      </c>
      <c r="AB686">
        <v>0</v>
      </c>
      <c r="AC686" t="s">
        <v>46</v>
      </c>
      <c r="AE686">
        <v>0</v>
      </c>
      <c r="AF686">
        <v>0</v>
      </c>
      <c r="AG686" t="s">
        <v>47</v>
      </c>
      <c r="AH686" t="s">
        <v>83</v>
      </c>
      <c r="AI686" t="s">
        <v>64</v>
      </c>
      <c r="AJ686" s="1" t="s">
        <v>159</v>
      </c>
      <c r="AK686">
        <v>8.3333333333333301E-2</v>
      </c>
      <c r="AL686">
        <v>0</v>
      </c>
    </row>
    <row r="687" spans="1:38" x14ac:dyDescent="0.35">
      <c r="A687" t="s">
        <v>888</v>
      </c>
      <c r="B687" t="s">
        <v>98</v>
      </c>
      <c r="C687" t="s">
        <v>99</v>
      </c>
      <c r="D687">
        <v>4.5999999999999996</v>
      </c>
      <c r="E687" t="s">
        <v>67</v>
      </c>
      <c r="F687">
        <v>39</v>
      </c>
      <c r="G687" t="s">
        <v>42</v>
      </c>
      <c r="H687" t="s">
        <v>55</v>
      </c>
      <c r="I687">
        <v>6</v>
      </c>
      <c r="J687">
        <v>3.3</v>
      </c>
      <c r="K687">
        <v>8</v>
      </c>
      <c r="L687">
        <v>3</v>
      </c>
      <c r="M687">
        <v>12</v>
      </c>
      <c r="N687">
        <v>0</v>
      </c>
      <c r="O687" t="s">
        <v>70</v>
      </c>
      <c r="P687">
        <v>39100</v>
      </c>
      <c r="Q687">
        <v>4.0999999999999996</v>
      </c>
      <c r="R687">
        <v>2.4</v>
      </c>
      <c r="S687">
        <v>1.3</v>
      </c>
      <c r="T687">
        <v>0</v>
      </c>
      <c r="U687">
        <v>3.8</v>
      </c>
      <c r="V687">
        <v>2.8</v>
      </c>
      <c r="W687">
        <v>1.6</v>
      </c>
      <c r="X687" t="s">
        <v>89</v>
      </c>
      <c r="Y687">
        <v>0</v>
      </c>
      <c r="Z687">
        <v>0</v>
      </c>
      <c r="AB687">
        <v>1</v>
      </c>
      <c r="AC687" t="s">
        <v>46</v>
      </c>
      <c r="AE687">
        <v>1</v>
      </c>
      <c r="AF687">
        <v>0</v>
      </c>
      <c r="AG687" t="s">
        <v>75</v>
      </c>
      <c r="AH687" t="s">
        <v>76</v>
      </c>
      <c r="AI687" t="s">
        <v>64</v>
      </c>
      <c r="AJ687" s="1" t="s">
        <v>168</v>
      </c>
      <c r="AK687">
        <v>0.5</v>
      </c>
      <c r="AL687">
        <v>0</v>
      </c>
    </row>
    <row r="688" spans="1:38" x14ac:dyDescent="0.35">
      <c r="A688" t="s">
        <v>889</v>
      </c>
      <c r="B688" t="s">
        <v>52</v>
      </c>
      <c r="C688" t="s">
        <v>53</v>
      </c>
      <c r="D688">
        <v>4.0999999999999996</v>
      </c>
      <c r="E688" t="s">
        <v>110</v>
      </c>
      <c r="F688">
        <v>36</v>
      </c>
      <c r="G688" t="s">
        <v>68</v>
      </c>
      <c r="H688" t="s">
        <v>43</v>
      </c>
      <c r="I688">
        <v>3</v>
      </c>
      <c r="J688">
        <v>17.399999999999999</v>
      </c>
      <c r="K688">
        <v>14</v>
      </c>
      <c r="L688">
        <v>3</v>
      </c>
      <c r="M688">
        <v>12</v>
      </c>
      <c r="N688">
        <v>0</v>
      </c>
      <c r="O688" t="s">
        <v>44</v>
      </c>
      <c r="P688">
        <v>59000</v>
      </c>
      <c r="Q688">
        <v>5.9</v>
      </c>
      <c r="R688">
        <v>4.0999999999999996</v>
      </c>
      <c r="S688">
        <v>1.3</v>
      </c>
      <c r="T688">
        <v>0</v>
      </c>
      <c r="U688">
        <v>3</v>
      </c>
      <c r="V688">
        <v>2.4</v>
      </c>
      <c r="W688">
        <v>4.9000000000000004</v>
      </c>
      <c r="X688" t="s">
        <v>45</v>
      </c>
      <c r="Y688">
        <v>0</v>
      </c>
      <c r="Z688">
        <v>0</v>
      </c>
      <c r="AB688">
        <v>0</v>
      </c>
      <c r="AC688" t="s">
        <v>46</v>
      </c>
      <c r="AE688">
        <v>1</v>
      </c>
      <c r="AF688">
        <v>0</v>
      </c>
      <c r="AG688" t="s">
        <v>75</v>
      </c>
      <c r="AH688" t="s">
        <v>76</v>
      </c>
      <c r="AI688" t="s">
        <v>49</v>
      </c>
      <c r="AJ688" s="1" t="s">
        <v>174</v>
      </c>
      <c r="AK688">
        <v>0.25</v>
      </c>
      <c r="AL688">
        <v>0</v>
      </c>
    </row>
    <row r="689" spans="1:38" x14ac:dyDescent="0.35">
      <c r="A689" t="s">
        <v>890</v>
      </c>
      <c r="B689" t="s">
        <v>60</v>
      </c>
      <c r="C689" t="s">
        <v>61</v>
      </c>
      <c r="D689">
        <v>2.9</v>
      </c>
      <c r="E689" t="s">
        <v>81</v>
      </c>
      <c r="F689">
        <v>22</v>
      </c>
      <c r="G689" t="s">
        <v>42</v>
      </c>
      <c r="H689" t="s">
        <v>43</v>
      </c>
      <c r="I689">
        <v>0</v>
      </c>
      <c r="J689">
        <v>17.2</v>
      </c>
      <c r="K689">
        <v>5</v>
      </c>
      <c r="L689">
        <v>2</v>
      </c>
      <c r="M689">
        <v>12</v>
      </c>
      <c r="N689">
        <v>0</v>
      </c>
      <c r="O689" t="s">
        <v>82</v>
      </c>
      <c r="P689">
        <v>27200</v>
      </c>
      <c r="Q689">
        <v>10.9</v>
      </c>
      <c r="R689">
        <v>4.5999999999999996</v>
      </c>
      <c r="S689">
        <v>1.1000000000000001</v>
      </c>
      <c r="T689">
        <v>0</v>
      </c>
      <c r="U689">
        <v>4.5</v>
      </c>
      <c r="V689">
        <v>3.6</v>
      </c>
      <c r="W689">
        <v>3.1</v>
      </c>
      <c r="X689" t="s">
        <v>45</v>
      </c>
      <c r="Y689">
        <v>0</v>
      </c>
      <c r="Z689">
        <v>0</v>
      </c>
      <c r="AB689">
        <v>0</v>
      </c>
      <c r="AC689" t="s">
        <v>46</v>
      </c>
      <c r="AE689">
        <v>1</v>
      </c>
      <c r="AF689">
        <v>0</v>
      </c>
      <c r="AG689" t="s">
        <v>75</v>
      </c>
      <c r="AH689" t="s">
        <v>48</v>
      </c>
      <c r="AI689" t="s">
        <v>49</v>
      </c>
      <c r="AJ689" s="1" t="s">
        <v>114</v>
      </c>
      <c r="AK689">
        <v>0</v>
      </c>
      <c r="AL689">
        <v>0</v>
      </c>
    </row>
    <row r="690" spans="1:38" x14ac:dyDescent="0.35">
      <c r="A690" t="s">
        <v>891</v>
      </c>
      <c r="B690" t="s">
        <v>39</v>
      </c>
      <c r="C690" t="s">
        <v>66</v>
      </c>
      <c r="D690">
        <v>5</v>
      </c>
      <c r="E690" t="s">
        <v>41</v>
      </c>
      <c r="F690">
        <v>28</v>
      </c>
      <c r="G690" t="s">
        <v>68</v>
      </c>
      <c r="H690" t="s">
        <v>55</v>
      </c>
      <c r="I690">
        <v>5</v>
      </c>
      <c r="J690">
        <v>9.3000000000000007</v>
      </c>
      <c r="K690">
        <v>6</v>
      </c>
      <c r="L690">
        <v>0</v>
      </c>
      <c r="M690">
        <v>12</v>
      </c>
      <c r="N690">
        <v>0</v>
      </c>
      <c r="O690" t="s">
        <v>56</v>
      </c>
      <c r="P690">
        <v>80100</v>
      </c>
      <c r="Q690">
        <v>11.5</v>
      </c>
      <c r="R690">
        <v>4.9000000000000004</v>
      </c>
      <c r="S690">
        <v>2.2000000000000002</v>
      </c>
      <c r="T690">
        <v>0</v>
      </c>
      <c r="U690">
        <v>3.8</v>
      </c>
      <c r="V690">
        <v>4.3</v>
      </c>
      <c r="W690">
        <v>3.4</v>
      </c>
      <c r="X690" t="s">
        <v>45</v>
      </c>
      <c r="Y690">
        <v>1</v>
      </c>
      <c r="Z690">
        <v>1</v>
      </c>
      <c r="AA690">
        <v>2.5</v>
      </c>
      <c r="AB690">
        <v>0</v>
      </c>
      <c r="AC690" t="s">
        <v>46</v>
      </c>
      <c r="AE690">
        <v>0</v>
      </c>
      <c r="AF690">
        <v>0</v>
      </c>
      <c r="AG690" t="s">
        <v>47</v>
      </c>
      <c r="AH690" t="s">
        <v>76</v>
      </c>
      <c r="AI690" t="s">
        <v>64</v>
      </c>
      <c r="AJ690" s="1" t="s">
        <v>180</v>
      </c>
      <c r="AK690" s="1" t="s">
        <v>127</v>
      </c>
      <c r="AL690">
        <v>0</v>
      </c>
    </row>
    <row r="691" spans="1:38" x14ac:dyDescent="0.35">
      <c r="A691" t="s">
        <v>892</v>
      </c>
      <c r="B691" t="s">
        <v>117</v>
      </c>
      <c r="C691" t="s">
        <v>189</v>
      </c>
      <c r="D691">
        <v>2.2000000000000002</v>
      </c>
      <c r="E691" t="s">
        <v>81</v>
      </c>
      <c r="F691">
        <v>26</v>
      </c>
      <c r="G691" t="s">
        <v>68</v>
      </c>
      <c r="H691" t="s">
        <v>43</v>
      </c>
      <c r="I691">
        <v>3</v>
      </c>
      <c r="J691">
        <v>27.8</v>
      </c>
      <c r="K691">
        <v>4</v>
      </c>
      <c r="L691">
        <v>1</v>
      </c>
      <c r="M691">
        <v>12</v>
      </c>
      <c r="N691">
        <v>0</v>
      </c>
      <c r="O691" t="s">
        <v>82</v>
      </c>
      <c r="P691">
        <v>28400</v>
      </c>
      <c r="Q691">
        <v>10.7</v>
      </c>
      <c r="R691">
        <v>2.4</v>
      </c>
      <c r="S691">
        <v>0</v>
      </c>
      <c r="T691">
        <v>0</v>
      </c>
      <c r="U691">
        <v>3.1</v>
      </c>
      <c r="V691">
        <v>4.8</v>
      </c>
      <c r="W691">
        <v>2.4</v>
      </c>
      <c r="X691" t="s">
        <v>45</v>
      </c>
      <c r="Y691">
        <v>0</v>
      </c>
      <c r="Z691">
        <v>0</v>
      </c>
      <c r="AB691">
        <v>0</v>
      </c>
      <c r="AC691" t="s">
        <v>46</v>
      </c>
      <c r="AE691">
        <v>1</v>
      </c>
      <c r="AF691">
        <v>0</v>
      </c>
      <c r="AG691" t="s">
        <v>75</v>
      </c>
      <c r="AH691" t="s">
        <v>48</v>
      </c>
      <c r="AI691" t="s">
        <v>57</v>
      </c>
      <c r="AJ691" s="1" t="s">
        <v>174</v>
      </c>
      <c r="AK691">
        <v>0.25</v>
      </c>
      <c r="AL691">
        <v>0</v>
      </c>
    </row>
    <row r="692" spans="1:38" x14ac:dyDescent="0.35">
      <c r="A692" t="s">
        <v>893</v>
      </c>
      <c r="B692" t="s">
        <v>98</v>
      </c>
      <c r="C692" t="s">
        <v>151</v>
      </c>
      <c r="D692">
        <v>1.3</v>
      </c>
      <c r="E692" t="s">
        <v>41</v>
      </c>
      <c r="F692">
        <v>27</v>
      </c>
      <c r="G692" t="s">
        <v>42</v>
      </c>
      <c r="H692" t="s">
        <v>69</v>
      </c>
      <c r="I692">
        <v>5</v>
      </c>
      <c r="J692">
        <v>1.7</v>
      </c>
      <c r="K692">
        <v>9</v>
      </c>
      <c r="L692">
        <v>0</v>
      </c>
      <c r="M692">
        <v>12</v>
      </c>
      <c r="N692">
        <v>0</v>
      </c>
      <c r="O692" t="s">
        <v>44</v>
      </c>
      <c r="P692">
        <v>73400</v>
      </c>
      <c r="Q692">
        <v>5.3</v>
      </c>
      <c r="R692">
        <v>2.6</v>
      </c>
      <c r="S692">
        <v>2.2000000000000002</v>
      </c>
      <c r="T692">
        <v>0</v>
      </c>
      <c r="U692">
        <v>4.5</v>
      </c>
      <c r="V692">
        <v>1</v>
      </c>
      <c r="W692">
        <v>2.4</v>
      </c>
      <c r="X692" t="s">
        <v>45</v>
      </c>
      <c r="Y692">
        <v>0</v>
      </c>
      <c r="Z692">
        <v>0</v>
      </c>
      <c r="AB692">
        <v>0</v>
      </c>
      <c r="AC692" t="s">
        <v>46</v>
      </c>
      <c r="AE692">
        <v>1</v>
      </c>
      <c r="AF692">
        <v>0</v>
      </c>
      <c r="AG692" t="s">
        <v>75</v>
      </c>
      <c r="AH692" t="s">
        <v>48</v>
      </c>
      <c r="AI692" t="s">
        <v>64</v>
      </c>
      <c r="AJ692" s="1" t="s">
        <v>259</v>
      </c>
      <c r="AK692" s="1" t="s">
        <v>127</v>
      </c>
      <c r="AL692">
        <v>0</v>
      </c>
    </row>
    <row r="693" spans="1:38" x14ac:dyDescent="0.35">
      <c r="A693" t="s">
        <v>894</v>
      </c>
      <c r="B693" t="s">
        <v>60</v>
      </c>
      <c r="C693" t="s">
        <v>61</v>
      </c>
      <c r="D693">
        <v>4</v>
      </c>
      <c r="E693" t="s">
        <v>81</v>
      </c>
      <c r="F693">
        <v>30</v>
      </c>
      <c r="G693" t="s">
        <v>68</v>
      </c>
      <c r="H693" t="s">
        <v>55</v>
      </c>
      <c r="I693">
        <v>3</v>
      </c>
      <c r="J693">
        <v>7.1</v>
      </c>
      <c r="K693">
        <v>10</v>
      </c>
      <c r="L693">
        <v>2</v>
      </c>
      <c r="M693">
        <v>12</v>
      </c>
      <c r="N693">
        <v>0</v>
      </c>
      <c r="O693" t="s">
        <v>82</v>
      </c>
      <c r="P693">
        <v>32800</v>
      </c>
      <c r="Q693">
        <v>5.4</v>
      </c>
      <c r="R693">
        <v>2.5</v>
      </c>
      <c r="S693">
        <v>1.7</v>
      </c>
      <c r="T693">
        <v>0</v>
      </c>
      <c r="U693">
        <v>2.4</v>
      </c>
      <c r="V693">
        <v>5</v>
      </c>
      <c r="W693">
        <v>2.8</v>
      </c>
      <c r="X693" t="s">
        <v>45</v>
      </c>
      <c r="Y693">
        <v>0</v>
      </c>
      <c r="Z693">
        <v>0</v>
      </c>
      <c r="AB693">
        <v>0</v>
      </c>
      <c r="AC693" t="s">
        <v>46</v>
      </c>
      <c r="AE693">
        <v>1</v>
      </c>
      <c r="AF693">
        <v>0</v>
      </c>
      <c r="AG693" t="s">
        <v>75</v>
      </c>
      <c r="AH693" t="s">
        <v>76</v>
      </c>
      <c r="AI693" t="s">
        <v>64</v>
      </c>
      <c r="AJ693">
        <v>3.4</v>
      </c>
      <c r="AK693">
        <v>0.25</v>
      </c>
      <c r="AL693">
        <v>0</v>
      </c>
    </row>
    <row r="694" spans="1:38" x14ac:dyDescent="0.35">
      <c r="A694" t="s">
        <v>895</v>
      </c>
      <c r="B694" t="s">
        <v>73</v>
      </c>
      <c r="C694" t="s">
        <v>74</v>
      </c>
      <c r="D694">
        <v>6.4</v>
      </c>
      <c r="E694" t="s">
        <v>62</v>
      </c>
      <c r="F694">
        <v>44</v>
      </c>
      <c r="G694" t="s">
        <v>42</v>
      </c>
      <c r="H694" t="s">
        <v>55</v>
      </c>
      <c r="I694">
        <v>3</v>
      </c>
      <c r="J694">
        <v>15.4</v>
      </c>
      <c r="K694">
        <v>11</v>
      </c>
      <c r="L694">
        <v>2</v>
      </c>
      <c r="M694">
        <v>12</v>
      </c>
      <c r="N694">
        <v>0</v>
      </c>
      <c r="O694" t="s">
        <v>56</v>
      </c>
      <c r="P694">
        <v>98500</v>
      </c>
      <c r="Q694">
        <v>15.8</v>
      </c>
      <c r="R694">
        <v>2.2999999999999998</v>
      </c>
      <c r="S694">
        <v>1.6</v>
      </c>
      <c r="T694">
        <v>0</v>
      </c>
      <c r="U694">
        <v>2.8</v>
      </c>
      <c r="V694">
        <v>3.6</v>
      </c>
      <c r="W694">
        <v>3.9</v>
      </c>
      <c r="X694" t="s">
        <v>45</v>
      </c>
      <c r="Y694">
        <v>0</v>
      </c>
      <c r="Z694">
        <v>0</v>
      </c>
      <c r="AB694">
        <v>0</v>
      </c>
      <c r="AC694" t="s">
        <v>124</v>
      </c>
      <c r="AD694" s="2">
        <v>45386</v>
      </c>
      <c r="AE694">
        <v>1</v>
      </c>
      <c r="AF694">
        <v>0</v>
      </c>
      <c r="AG694" t="s">
        <v>75</v>
      </c>
      <c r="AH694" t="s">
        <v>83</v>
      </c>
      <c r="AI694" t="s">
        <v>49</v>
      </c>
      <c r="AJ694" s="1" t="s">
        <v>174</v>
      </c>
      <c r="AK694">
        <v>0.25</v>
      </c>
      <c r="AL694">
        <v>1</v>
      </c>
    </row>
    <row r="695" spans="1:38" x14ac:dyDescent="0.35">
      <c r="A695" t="s">
        <v>896</v>
      </c>
      <c r="B695" t="s">
        <v>98</v>
      </c>
      <c r="C695" t="s">
        <v>99</v>
      </c>
      <c r="D695">
        <v>1.1000000000000001</v>
      </c>
      <c r="E695" t="s">
        <v>110</v>
      </c>
      <c r="F695">
        <v>23</v>
      </c>
      <c r="G695" t="s">
        <v>42</v>
      </c>
      <c r="H695" t="s">
        <v>94</v>
      </c>
      <c r="I695">
        <v>1</v>
      </c>
      <c r="J695">
        <v>3.7</v>
      </c>
      <c r="K695">
        <v>10</v>
      </c>
      <c r="L695">
        <v>6</v>
      </c>
      <c r="M695">
        <v>12</v>
      </c>
      <c r="N695">
        <v>0</v>
      </c>
      <c r="O695" t="s">
        <v>70</v>
      </c>
      <c r="P695">
        <v>42900</v>
      </c>
      <c r="Q695">
        <v>4.7</v>
      </c>
      <c r="R695">
        <v>2.2999999999999998</v>
      </c>
      <c r="S695">
        <v>0.1</v>
      </c>
      <c r="T695">
        <v>0</v>
      </c>
      <c r="U695">
        <v>3.8</v>
      </c>
      <c r="V695">
        <v>4</v>
      </c>
      <c r="W695">
        <v>3</v>
      </c>
      <c r="X695" t="s">
        <v>45</v>
      </c>
      <c r="Y695">
        <v>0</v>
      </c>
      <c r="Z695">
        <v>1</v>
      </c>
      <c r="AA695">
        <v>0.6</v>
      </c>
      <c r="AB695">
        <v>2</v>
      </c>
      <c r="AC695" t="s">
        <v>46</v>
      </c>
      <c r="AE695">
        <v>0</v>
      </c>
      <c r="AF695">
        <v>0</v>
      </c>
      <c r="AG695" t="s">
        <v>47</v>
      </c>
      <c r="AH695" t="s">
        <v>48</v>
      </c>
      <c r="AI695" t="s">
        <v>64</v>
      </c>
      <c r="AJ695">
        <v>3.6</v>
      </c>
      <c r="AK695">
        <v>8.3333333333333301E-2</v>
      </c>
      <c r="AL695">
        <v>0</v>
      </c>
    </row>
    <row r="696" spans="1:38" x14ac:dyDescent="0.35">
      <c r="A696" t="s">
        <v>897</v>
      </c>
      <c r="B696" t="s">
        <v>60</v>
      </c>
      <c r="C696" t="s">
        <v>107</v>
      </c>
      <c r="D696">
        <v>2.4</v>
      </c>
      <c r="E696" t="s">
        <v>81</v>
      </c>
      <c r="F696">
        <v>29</v>
      </c>
      <c r="G696" t="s">
        <v>68</v>
      </c>
      <c r="H696" t="s">
        <v>63</v>
      </c>
      <c r="I696">
        <v>3</v>
      </c>
      <c r="J696">
        <v>18.7</v>
      </c>
      <c r="K696">
        <v>8</v>
      </c>
      <c r="L696">
        <v>1</v>
      </c>
      <c r="M696">
        <v>12</v>
      </c>
      <c r="N696">
        <v>0</v>
      </c>
      <c r="O696" t="s">
        <v>82</v>
      </c>
      <c r="P696">
        <v>27300</v>
      </c>
      <c r="Q696">
        <v>13.7</v>
      </c>
      <c r="R696">
        <v>2.7</v>
      </c>
      <c r="S696">
        <v>3.2</v>
      </c>
      <c r="T696">
        <v>0</v>
      </c>
      <c r="U696">
        <v>4</v>
      </c>
      <c r="V696">
        <v>1.6</v>
      </c>
      <c r="W696">
        <v>3.1</v>
      </c>
      <c r="X696" t="s">
        <v>89</v>
      </c>
      <c r="Y696">
        <v>0</v>
      </c>
      <c r="Z696">
        <v>0</v>
      </c>
      <c r="AB696">
        <v>0</v>
      </c>
      <c r="AC696" t="s">
        <v>46</v>
      </c>
      <c r="AE696">
        <v>1</v>
      </c>
      <c r="AF696">
        <v>0</v>
      </c>
      <c r="AG696" t="s">
        <v>75</v>
      </c>
      <c r="AH696" t="s">
        <v>48</v>
      </c>
      <c r="AI696" t="s">
        <v>49</v>
      </c>
      <c r="AJ696">
        <v>2.9</v>
      </c>
      <c r="AK696">
        <v>0.25</v>
      </c>
      <c r="AL696">
        <v>0</v>
      </c>
    </row>
    <row r="697" spans="1:38" x14ac:dyDescent="0.35">
      <c r="A697" t="s">
        <v>898</v>
      </c>
      <c r="B697" t="s">
        <v>117</v>
      </c>
      <c r="C697" t="s">
        <v>681</v>
      </c>
      <c r="D697">
        <v>3.8</v>
      </c>
      <c r="E697" t="s">
        <v>81</v>
      </c>
      <c r="F697">
        <v>32</v>
      </c>
      <c r="G697" t="s">
        <v>42</v>
      </c>
      <c r="H697" t="s">
        <v>43</v>
      </c>
      <c r="I697">
        <v>2</v>
      </c>
      <c r="J697">
        <v>22.7</v>
      </c>
      <c r="K697">
        <v>9</v>
      </c>
      <c r="L697">
        <v>2</v>
      </c>
      <c r="M697">
        <v>12</v>
      </c>
      <c r="N697">
        <v>0</v>
      </c>
      <c r="O697" t="s">
        <v>82</v>
      </c>
      <c r="P697">
        <v>25900</v>
      </c>
      <c r="Q697">
        <v>9.6</v>
      </c>
      <c r="R697">
        <v>4</v>
      </c>
      <c r="S697">
        <v>1</v>
      </c>
      <c r="T697">
        <v>0</v>
      </c>
      <c r="U697">
        <v>3.6</v>
      </c>
      <c r="V697">
        <v>3</v>
      </c>
      <c r="W697">
        <v>2.8</v>
      </c>
      <c r="X697" t="s">
        <v>45</v>
      </c>
      <c r="Y697">
        <v>0</v>
      </c>
      <c r="Z697">
        <v>0</v>
      </c>
      <c r="AB697">
        <v>0</v>
      </c>
      <c r="AC697" t="s">
        <v>46</v>
      </c>
      <c r="AE697">
        <v>1</v>
      </c>
      <c r="AF697">
        <v>0</v>
      </c>
      <c r="AG697" t="s">
        <v>75</v>
      </c>
      <c r="AH697" t="s">
        <v>76</v>
      </c>
      <c r="AI697" t="s">
        <v>57</v>
      </c>
      <c r="AJ697" s="1" t="s">
        <v>487</v>
      </c>
      <c r="AK697" s="1" t="s">
        <v>84</v>
      </c>
      <c r="AL697">
        <v>0</v>
      </c>
    </row>
    <row r="698" spans="1:38" x14ac:dyDescent="0.35">
      <c r="A698" t="s">
        <v>899</v>
      </c>
      <c r="B698" t="s">
        <v>39</v>
      </c>
      <c r="C698" t="s">
        <v>88</v>
      </c>
      <c r="D698">
        <v>3.8</v>
      </c>
      <c r="E698" t="s">
        <v>81</v>
      </c>
      <c r="F698">
        <v>30</v>
      </c>
      <c r="G698" t="s">
        <v>42</v>
      </c>
      <c r="H698" t="s">
        <v>55</v>
      </c>
      <c r="I698">
        <v>1</v>
      </c>
      <c r="J698">
        <v>0.4</v>
      </c>
      <c r="K698">
        <v>12</v>
      </c>
      <c r="L698">
        <v>1</v>
      </c>
      <c r="M698">
        <v>12</v>
      </c>
      <c r="N698">
        <v>0</v>
      </c>
      <c r="O698" t="s">
        <v>82</v>
      </c>
      <c r="P698">
        <v>21400</v>
      </c>
      <c r="Q698">
        <v>5.0999999999999996</v>
      </c>
      <c r="R698">
        <v>2.6</v>
      </c>
      <c r="S698">
        <v>1</v>
      </c>
      <c r="T698">
        <v>0</v>
      </c>
      <c r="U698">
        <v>3.2</v>
      </c>
      <c r="V698">
        <v>3.9</v>
      </c>
      <c r="W698">
        <v>4.3</v>
      </c>
      <c r="X698" t="s">
        <v>45</v>
      </c>
      <c r="Y698">
        <v>0</v>
      </c>
      <c r="Z698">
        <v>0</v>
      </c>
      <c r="AB698">
        <v>0</v>
      </c>
      <c r="AC698" t="s">
        <v>46</v>
      </c>
      <c r="AE698">
        <v>1</v>
      </c>
      <c r="AF698">
        <v>0</v>
      </c>
      <c r="AG698" t="s">
        <v>75</v>
      </c>
      <c r="AH698" t="s">
        <v>76</v>
      </c>
      <c r="AI698" t="s">
        <v>64</v>
      </c>
      <c r="AJ698" s="1" t="s">
        <v>397</v>
      </c>
      <c r="AK698">
        <v>8.3333333333333301E-2</v>
      </c>
      <c r="AL698">
        <v>0</v>
      </c>
    </row>
    <row r="699" spans="1:38" x14ac:dyDescent="0.35">
      <c r="A699" t="s">
        <v>900</v>
      </c>
      <c r="B699" t="s">
        <v>117</v>
      </c>
      <c r="C699" t="s">
        <v>118</v>
      </c>
      <c r="D699">
        <v>5.4</v>
      </c>
      <c r="E699" t="s">
        <v>110</v>
      </c>
      <c r="F699">
        <v>32</v>
      </c>
      <c r="G699" t="s">
        <v>42</v>
      </c>
      <c r="H699" t="s">
        <v>55</v>
      </c>
      <c r="I699">
        <v>0</v>
      </c>
      <c r="J699">
        <v>28.5</v>
      </c>
      <c r="K699">
        <v>4</v>
      </c>
      <c r="L699">
        <v>2</v>
      </c>
      <c r="M699">
        <v>12</v>
      </c>
      <c r="N699">
        <v>0</v>
      </c>
      <c r="O699" t="s">
        <v>44</v>
      </c>
      <c r="P699">
        <v>54000</v>
      </c>
      <c r="Q699">
        <v>3.3</v>
      </c>
      <c r="R699">
        <v>4.0999999999999996</v>
      </c>
      <c r="S699">
        <v>0.5</v>
      </c>
      <c r="T699">
        <v>0</v>
      </c>
      <c r="U699">
        <v>3.1</v>
      </c>
      <c r="V699">
        <v>2.1</v>
      </c>
      <c r="W699">
        <v>3.4</v>
      </c>
      <c r="X699" t="s">
        <v>45</v>
      </c>
      <c r="Y699">
        <v>1</v>
      </c>
      <c r="Z699">
        <v>2</v>
      </c>
      <c r="AA699">
        <v>4.9000000000000004</v>
      </c>
      <c r="AB699">
        <v>1</v>
      </c>
      <c r="AC699" t="s">
        <v>46</v>
      </c>
      <c r="AE699">
        <v>0</v>
      </c>
      <c r="AF699">
        <v>0</v>
      </c>
      <c r="AG699" t="s">
        <v>47</v>
      </c>
      <c r="AH699" t="s">
        <v>83</v>
      </c>
      <c r="AI699" t="s">
        <v>57</v>
      </c>
      <c r="AJ699" s="1" t="s">
        <v>182</v>
      </c>
      <c r="AK699">
        <v>0</v>
      </c>
      <c r="AL699">
        <v>0</v>
      </c>
    </row>
    <row r="700" spans="1:38" x14ac:dyDescent="0.35">
      <c r="A700" t="s">
        <v>901</v>
      </c>
      <c r="B700" t="s">
        <v>39</v>
      </c>
      <c r="C700" t="s">
        <v>88</v>
      </c>
      <c r="D700">
        <v>11.6</v>
      </c>
      <c r="E700" t="s">
        <v>41</v>
      </c>
      <c r="F700">
        <v>33</v>
      </c>
      <c r="G700" t="s">
        <v>42</v>
      </c>
      <c r="H700" t="s">
        <v>55</v>
      </c>
      <c r="I700">
        <v>7</v>
      </c>
      <c r="J700">
        <v>14.7</v>
      </c>
      <c r="K700">
        <v>13</v>
      </c>
      <c r="L700">
        <v>0</v>
      </c>
      <c r="M700">
        <v>12</v>
      </c>
      <c r="N700">
        <v>0</v>
      </c>
      <c r="O700" t="s">
        <v>56</v>
      </c>
      <c r="P700">
        <v>82000</v>
      </c>
      <c r="Q700">
        <v>5.2</v>
      </c>
      <c r="R700">
        <v>4.4000000000000004</v>
      </c>
      <c r="S700">
        <v>0.6</v>
      </c>
      <c r="T700">
        <v>0</v>
      </c>
      <c r="U700">
        <v>4.3</v>
      </c>
      <c r="V700">
        <v>1</v>
      </c>
      <c r="W700">
        <v>3</v>
      </c>
      <c r="X700" t="s">
        <v>45</v>
      </c>
      <c r="Y700">
        <v>0</v>
      </c>
      <c r="Z700">
        <v>1</v>
      </c>
      <c r="AA700">
        <v>10.7</v>
      </c>
      <c r="AB700">
        <v>0</v>
      </c>
      <c r="AC700" t="s">
        <v>46</v>
      </c>
      <c r="AE700">
        <v>0</v>
      </c>
      <c r="AF700">
        <v>0</v>
      </c>
      <c r="AG700" t="s">
        <v>47</v>
      </c>
      <c r="AH700" t="s">
        <v>83</v>
      </c>
      <c r="AI700" t="s">
        <v>49</v>
      </c>
      <c r="AJ700" s="1" t="s">
        <v>170</v>
      </c>
      <c r="AK700" s="1" t="s">
        <v>105</v>
      </c>
      <c r="AL700">
        <v>0</v>
      </c>
    </row>
    <row r="701" spans="1:38" x14ac:dyDescent="0.35">
      <c r="A701" t="s">
        <v>902</v>
      </c>
      <c r="B701" t="s">
        <v>98</v>
      </c>
      <c r="C701" t="s">
        <v>148</v>
      </c>
      <c r="D701">
        <v>0.4</v>
      </c>
      <c r="E701" t="s">
        <v>67</v>
      </c>
      <c r="F701">
        <v>27</v>
      </c>
      <c r="G701" t="s">
        <v>68</v>
      </c>
      <c r="H701" t="s">
        <v>43</v>
      </c>
      <c r="I701">
        <v>2</v>
      </c>
      <c r="J701">
        <v>6.4</v>
      </c>
      <c r="K701">
        <v>16</v>
      </c>
      <c r="L701">
        <v>0</v>
      </c>
      <c r="M701">
        <v>12</v>
      </c>
      <c r="N701">
        <v>0</v>
      </c>
      <c r="O701" t="s">
        <v>70</v>
      </c>
      <c r="P701">
        <v>42700</v>
      </c>
      <c r="Q701">
        <v>9.6999999999999993</v>
      </c>
      <c r="R701">
        <v>3.5</v>
      </c>
      <c r="S701">
        <v>0.1</v>
      </c>
      <c r="T701">
        <v>0</v>
      </c>
      <c r="U701">
        <v>3.5</v>
      </c>
      <c r="V701">
        <v>3.5</v>
      </c>
      <c r="W701">
        <v>3.4</v>
      </c>
      <c r="X701" t="s">
        <v>45</v>
      </c>
      <c r="Y701">
        <v>1</v>
      </c>
      <c r="Z701">
        <v>0</v>
      </c>
      <c r="AB701">
        <v>1</v>
      </c>
      <c r="AC701" t="s">
        <v>46</v>
      </c>
      <c r="AE701">
        <v>1</v>
      </c>
      <c r="AF701">
        <v>0</v>
      </c>
      <c r="AG701" t="s">
        <v>75</v>
      </c>
      <c r="AH701" t="s">
        <v>95</v>
      </c>
      <c r="AI701" t="s">
        <v>64</v>
      </c>
      <c r="AJ701" s="1" t="s">
        <v>77</v>
      </c>
      <c r="AK701" s="1" t="s">
        <v>84</v>
      </c>
      <c r="AL701">
        <v>0</v>
      </c>
    </row>
    <row r="702" spans="1:38" x14ac:dyDescent="0.35">
      <c r="A702" t="s">
        <v>903</v>
      </c>
      <c r="B702" t="s">
        <v>98</v>
      </c>
      <c r="C702" t="s">
        <v>151</v>
      </c>
      <c r="D702">
        <v>12</v>
      </c>
      <c r="E702" t="s">
        <v>67</v>
      </c>
      <c r="F702">
        <v>40</v>
      </c>
      <c r="G702" t="s">
        <v>54</v>
      </c>
      <c r="H702" t="s">
        <v>63</v>
      </c>
      <c r="I702">
        <v>3</v>
      </c>
      <c r="J702">
        <v>2.2999999999999998</v>
      </c>
      <c r="K702">
        <v>11</v>
      </c>
      <c r="L702">
        <v>4</v>
      </c>
      <c r="M702">
        <v>12</v>
      </c>
      <c r="N702">
        <v>0</v>
      </c>
      <c r="O702" t="s">
        <v>70</v>
      </c>
      <c r="P702">
        <v>37700</v>
      </c>
      <c r="Q702">
        <v>4.4000000000000004</v>
      </c>
      <c r="R702">
        <v>4.3</v>
      </c>
      <c r="S702">
        <v>1.5</v>
      </c>
      <c r="T702">
        <v>0</v>
      </c>
      <c r="U702">
        <v>2.5</v>
      </c>
      <c r="V702">
        <v>3.3</v>
      </c>
      <c r="W702">
        <v>3.2</v>
      </c>
      <c r="X702" t="s">
        <v>45</v>
      </c>
      <c r="Y702">
        <v>1</v>
      </c>
      <c r="Z702">
        <v>0</v>
      </c>
      <c r="AB702">
        <v>0</v>
      </c>
      <c r="AC702" t="s">
        <v>46</v>
      </c>
      <c r="AE702">
        <v>1</v>
      </c>
      <c r="AF702">
        <v>0</v>
      </c>
      <c r="AG702" t="s">
        <v>75</v>
      </c>
      <c r="AH702" t="s">
        <v>83</v>
      </c>
      <c r="AI702" t="s">
        <v>64</v>
      </c>
      <c r="AJ702">
        <v>3</v>
      </c>
      <c r="AK702">
        <v>0.25</v>
      </c>
      <c r="AL702">
        <v>0</v>
      </c>
    </row>
    <row r="703" spans="1:38" x14ac:dyDescent="0.35">
      <c r="A703" t="s">
        <v>904</v>
      </c>
      <c r="B703" t="s">
        <v>98</v>
      </c>
      <c r="C703" t="s">
        <v>151</v>
      </c>
      <c r="D703">
        <v>11.3</v>
      </c>
      <c r="E703" t="s">
        <v>110</v>
      </c>
      <c r="F703">
        <v>39</v>
      </c>
      <c r="G703" t="s">
        <v>42</v>
      </c>
      <c r="H703" t="s">
        <v>69</v>
      </c>
      <c r="I703">
        <v>1</v>
      </c>
      <c r="J703">
        <v>20.5</v>
      </c>
      <c r="K703">
        <v>6</v>
      </c>
      <c r="L703">
        <v>1</v>
      </c>
      <c r="M703">
        <v>12</v>
      </c>
      <c r="N703">
        <v>0</v>
      </c>
      <c r="O703" t="s">
        <v>44</v>
      </c>
      <c r="P703">
        <v>59900</v>
      </c>
      <c r="Q703">
        <v>14.2</v>
      </c>
      <c r="R703">
        <v>2</v>
      </c>
      <c r="S703">
        <v>0.8</v>
      </c>
      <c r="T703">
        <v>0</v>
      </c>
      <c r="U703">
        <v>2.5</v>
      </c>
      <c r="V703">
        <v>4.5</v>
      </c>
      <c r="W703">
        <v>3.1</v>
      </c>
      <c r="X703" t="s">
        <v>45</v>
      </c>
      <c r="Y703">
        <v>0</v>
      </c>
      <c r="Z703">
        <v>2</v>
      </c>
      <c r="AA703">
        <v>8</v>
      </c>
      <c r="AB703">
        <v>0</v>
      </c>
      <c r="AC703" t="s">
        <v>46</v>
      </c>
      <c r="AE703">
        <v>0</v>
      </c>
      <c r="AF703">
        <v>0</v>
      </c>
      <c r="AG703" t="s">
        <v>47</v>
      </c>
      <c r="AH703" t="s">
        <v>83</v>
      </c>
      <c r="AI703" t="s">
        <v>57</v>
      </c>
      <c r="AJ703" s="1" t="s">
        <v>86</v>
      </c>
      <c r="AK703">
        <v>8.3333333333333301E-2</v>
      </c>
      <c r="AL703">
        <v>0</v>
      </c>
    </row>
    <row r="704" spans="1:38" x14ac:dyDescent="0.35">
      <c r="A704" t="s">
        <v>905</v>
      </c>
      <c r="B704" t="s">
        <v>73</v>
      </c>
      <c r="C704" t="s">
        <v>177</v>
      </c>
      <c r="D704">
        <v>6.8</v>
      </c>
      <c r="E704" t="s">
        <v>110</v>
      </c>
      <c r="F704">
        <v>35</v>
      </c>
      <c r="G704" t="s">
        <v>42</v>
      </c>
      <c r="H704" t="s">
        <v>55</v>
      </c>
      <c r="I704">
        <v>5</v>
      </c>
      <c r="J704">
        <v>3.2</v>
      </c>
      <c r="K704">
        <v>15</v>
      </c>
      <c r="L704">
        <v>3</v>
      </c>
      <c r="M704">
        <v>12</v>
      </c>
      <c r="N704">
        <v>0</v>
      </c>
      <c r="O704" t="s">
        <v>44</v>
      </c>
      <c r="P704">
        <v>63300</v>
      </c>
      <c r="Q704">
        <v>7.2</v>
      </c>
      <c r="R704">
        <v>2.7</v>
      </c>
      <c r="S704">
        <v>2.8</v>
      </c>
      <c r="T704">
        <v>0</v>
      </c>
      <c r="U704">
        <v>4.7</v>
      </c>
      <c r="V704">
        <v>3.1</v>
      </c>
      <c r="W704">
        <v>3.4</v>
      </c>
      <c r="X704" t="s">
        <v>45</v>
      </c>
      <c r="Y704">
        <v>0</v>
      </c>
      <c r="Z704">
        <v>1</v>
      </c>
      <c r="AA704">
        <v>3.5</v>
      </c>
      <c r="AB704">
        <v>0</v>
      </c>
      <c r="AC704" t="s">
        <v>46</v>
      </c>
      <c r="AE704">
        <v>0</v>
      </c>
      <c r="AF704">
        <v>0</v>
      </c>
      <c r="AG704" t="s">
        <v>47</v>
      </c>
      <c r="AH704" t="s">
        <v>83</v>
      </c>
      <c r="AI704" t="s">
        <v>64</v>
      </c>
      <c r="AJ704" s="1" t="s">
        <v>906</v>
      </c>
      <c r="AK704" s="1" t="s">
        <v>127</v>
      </c>
      <c r="AL704">
        <v>0</v>
      </c>
    </row>
    <row r="705" spans="1:38" x14ac:dyDescent="0.35">
      <c r="A705" t="s">
        <v>907</v>
      </c>
      <c r="B705" t="s">
        <v>60</v>
      </c>
      <c r="C705" t="s">
        <v>107</v>
      </c>
      <c r="D705">
        <v>4.4000000000000004</v>
      </c>
      <c r="E705" t="s">
        <v>110</v>
      </c>
      <c r="F705">
        <v>36</v>
      </c>
      <c r="G705" t="s">
        <v>68</v>
      </c>
      <c r="H705" t="s">
        <v>63</v>
      </c>
      <c r="I705">
        <v>2</v>
      </c>
      <c r="J705">
        <v>14.7</v>
      </c>
      <c r="K705">
        <v>7</v>
      </c>
      <c r="L705">
        <v>2</v>
      </c>
      <c r="M705">
        <v>12</v>
      </c>
      <c r="N705">
        <v>0</v>
      </c>
      <c r="O705" t="s">
        <v>44</v>
      </c>
      <c r="P705">
        <v>50200</v>
      </c>
      <c r="Q705">
        <v>10.8</v>
      </c>
      <c r="R705">
        <v>3.4</v>
      </c>
      <c r="S705">
        <v>1.9</v>
      </c>
      <c r="T705">
        <v>0</v>
      </c>
      <c r="U705">
        <v>2.7</v>
      </c>
      <c r="V705">
        <v>3.1</v>
      </c>
      <c r="W705">
        <v>3.9</v>
      </c>
      <c r="X705" t="s">
        <v>45</v>
      </c>
      <c r="Y705">
        <v>0</v>
      </c>
      <c r="Z705">
        <v>0</v>
      </c>
      <c r="AB705">
        <v>0</v>
      </c>
      <c r="AC705" t="s">
        <v>46</v>
      </c>
      <c r="AE705">
        <v>1</v>
      </c>
      <c r="AF705">
        <v>0</v>
      </c>
      <c r="AG705" t="s">
        <v>75</v>
      </c>
      <c r="AH705" t="s">
        <v>76</v>
      </c>
      <c r="AI705" t="s">
        <v>49</v>
      </c>
      <c r="AJ705" s="1" t="s">
        <v>227</v>
      </c>
      <c r="AK705" s="1" t="s">
        <v>84</v>
      </c>
      <c r="AL705">
        <v>0</v>
      </c>
    </row>
    <row r="706" spans="1:38" x14ac:dyDescent="0.35">
      <c r="A706" t="s">
        <v>908</v>
      </c>
      <c r="B706" t="s">
        <v>98</v>
      </c>
      <c r="C706" t="s">
        <v>148</v>
      </c>
      <c r="D706">
        <v>2.2000000000000002</v>
      </c>
      <c r="E706" t="s">
        <v>67</v>
      </c>
      <c r="F706">
        <v>32</v>
      </c>
      <c r="G706" t="s">
        <v>42</v>
      </c>
      <c r="H706" t="s">
        <v>43</v>
      </c>
      <c r="I706">
        <v>2</v>
      </c>
      <c r="J706">
        <v>3.3</v>
      </c>
      <c r="K706">
        <v>11</v>
      </c>
      <c r="L706">
        <v>0</v>
      </c>
      <c r="M706">
        <v>12</v>
      </c>
      <c r="N706">
        <v>0</v>
      </c>
      <c r="O706" t="s">
        <v>70</v>
      </c>
      <c r="P706">
        <v>40600</v>
      </c>
      <c r="Q706">
        <v>10.5</v>
      </c>
      <c r="R706">
        <v>3.4</v>
      </c>
      <c r="S706">
        <v>1.6</v>
      </c>
      <c r="T706">
        <v>0</v>
      </c>
      <c r="U706">
        <v>3.5</v>
      </c>
      <c r="V706">
        <v>3.8</v>
      </c>
      <c r="W706">
        <v>2.7</v>
      </c>
      <c r="X706" t="s">
        <v>45</v>
      </c>
      <c r="Y706">
        <v>0</v>
      </c>
      <c r="Z706">
        <v>0</v>
      </c>
      <c r="AB706">
        <v>0</v>
      </c>
      <c r="AC706" t="s">
        <v>46</v>
      </c>
      <c r="AE706">
        <v>1</v>
      </c>
      <c r="AF706">
        <v>0</v>
      </c>
      <c r="AG706" t="s">
        <v>75</v>
      </c>
      <c r="AH706" t="s">
        <v>48</v>
      </c>
      <c r="AI706" t="s">
        <v>64</v>
      </c>
      <c r="AJ706" s="1" t="s">
        <v>90</v>
      </c>
      <c r="AK706" s="1" t="s">
        <v>84</v>
      </c>
      <c r="AL706">
        <v>0</v>
      </c>
    </row>
    <row r="707" spans="1:38" x14ac:dyDescent="0.35">
      <c r="A707" t="s">
        <v>909</v>
      </c>
      <c r="B707" t="s">
        <v>117</v>
      </c>
      <c r="C707" t="s">
        <v>197</v>
      </c>
      <c r="D707">
        <v>6.8</v>
      </c>
      <c r="E707" t="s">
        <v>110</v>
      </c>
      <c r="F707">
        <v>33</v>
      </c>
      <c r="G707" t="s">
        <v>42</v>
      </c>
      <c r="H707" t="s">
        <v>55</v>
      </c>
      <c r="I707">
        <v>2</v>
      </c>
      <c r="J707">
        <v>10.1</v>
      </c>
      <c r="K707">
        <v>8</v>
      </c>
      <c r="L707">
        <v>1</v>
      </c>
      <c r="M707">
        <v>12</v>
      </c>
      <c r="N707">
        <v>0</v>
      </c>
      <c r="O707" t="s">
        <v>44</v>
      </c>
      <c r="P707">
        <v>66400</v>
      </c>
      <c r="Q707">
        <v>14.5</v>
      </c>
      <c r="R707">
        <v>4.5</v>
      </c>
      <c r="S707">
        <v>0.9</v>
      </c>
      <c r="T707">
        <v>0</v>
      </c>
      <c r="U707">
        <v>4.5</v>
      </c>
      <c r="V707">
        <v>4.0999999999999996</v>
      </c>
      <c r="W707">
        <v>3.8</v>
      </c>
      <c r="X707" t="s">
        <v>45</v>
      </c>
      <c r="Y707">
        <v>0</v>
      </c>
      <c r="Z707">
        <v>0</v>
      </c>
      <c r="AB707">
        <v>0</v>
      </c>
      <c r="AC707" t="s">
        <v>46</v>
      </c>
      <c r="AE707">
        <v>1</v>
      </c>
      <c r="AF707">
        <v>0</v>
      </c>
      <c r="AG707" t="s">
        <v>75</v>
      </c>
      <c r="AH707" t="s">
        <v>83</v>
      </c>
      <c r="AI707" t="s">
        <v>49</v>
      </c>
      <c r="AJ707" s="1" t="s">
        <v>910</v>
      </c>
      <c r="AK707" s="1" t="s">
        <v>84</v>
      </c>
      <c r="AL707">
        <v>0</v>
      </c>
    </row>
    <row r="708" spans="1:38" x14ac:dyDescent="0.35">
      <c r="A708" t="s">
        <v>911</v>
      </c>
      <c r="B708" t="s">
        <v>39</v>
      </c>
      <c r="C708" t="s">
        <v>40</v>
      </c>
      <c r="D708">
        <v>4.5</v>
      </c>
      <c r="E708" t="s">
        <v>62</v>
      </c>
      <c r="F708">
        <v>26</v>
      </c>
      <c r="G708" t="s">
        <v>42</v>
      </c>
      <c r="H708" t="s">
        <v>43</v>
      </c>
      <c r="I708">
        <v>4</v>
      </c>
      <c r="J708">
        <v>19.899999999999999</v>
      </c>
      <c r="K708">
        <v>15</v>
      </c>
      <c r="L708">
        <v>1</v>
      </c>
      <c r="M708">
        <v>12</v>
      </c>
      <c r="N708">
        <v>0</v>
      </c>
      <c r="O708" t="s">
        <v>56</v>
      </c>
      <c r="P708">
        <v>76500</v>
      </c>
      <c r="Q708">
        <v>6.2</v>
      </c>
      <c r="R708">
        <v>2.2999999999999998</v>
      </c>
      <c r="S708">
        <v>1.1000000000000001</v>
      </c>
      <c r="T708">
        <v>0</v>
      </c>
      <c r="U708">
        <v>3.8</v>
      </c>
      <c r="V708">
        <v>2.6</v>
      </c>
      <c r="W708">
        <v>5</v>
      </c>
      <c r="X708" t="s">
        <v>45</v>
      </c>
      <c r="Y708">
        <v>0</v>
      </c>
      <c r="Z708">
        <v>0</v>
      </c>
      <c r="AB708">
        <v>0</v>
      </c>
      <c r="AC708" t="s">
        <v>46</v>
      </c>
      <c r="AE708">
        <v>1</v>
      </c>
      <c r="AF708">
        <v>0</v>
      </c>
      <c r="AG708" t="s">
        <v>75</v>
      </c>
      <c r="AH708" t="s">
        <v>76</v>
      </c>
      <c r="AI708" t="s">
        <v>49</v>
      </c>
      <c r="AJ708" s="1" t="s">
        <v>347</v>
      </c>
      <c r="AK708" s="1" t="s">
        <v>115</v>
      </c>
      <c r="AL708">
        <v>0</v>
      </c>
    </row>
    <row r="709" spans="1:38" x14ac:dyDescent="0.35">
      <c r="A709" t="s">
        <v>912</v>
      </c>
      <c r="B709" t="s">
        <v>39</v>
      </c>
      <c r="C709" t="s">
        <v>88</v>
      </c>
      <c r="D709">
        <v>2.9</v>
      </c>
      <c r="E709" t="s">
        <v>67</v>
      </c>
      <c r="F709">
        <v>26</v>
      </c>
      <c r="G709" t="s">
        <v>42</v>
      </c>
      <c r="H709" t="s">
        <v>55</v>
      </c>
      <c r="I709">
        <v>2</v>
      </c>
      <c r="J709">
        <v>6.5</v>
      </c>
      <c r="K709">
        <v>11</v>
      </c>
      <c r="L709">
        <v>5</v>
      </c>
      <c r="M709">
        <v>12</v>
      </c>
      <c r="N709">
        <v>0</v>
      </c>
      <c r="O709" t="s">
        <v>70</v>
      </c>
      <c r="P709">
        <v>39800</v>
      </c>
      <c r="Q709">
        <v>8.4</v>
      </c>
      <c r="R709">
        <v>2.7</v>
      </c>
      <c r="S709">
        <v>4.5</v>
      </c>
      <c r="T709">
        <v>0</v>
      </c>
      <c r="U709">
        <v>2.6</v>
      </c>
      <c r="V709">
        <v>4.0999999999999996</v>
      </c>
      <c r="W709">
        <v>3.5</v>
      </c>
      <c r="X709" t="s">
        <v>45</v>
      </c>
      <c r="Y709">
        <v>0</v>
      </c>
      <c r="Z709">
        <v>1</v>
      </c>
      <c r="AA709">
        <v>1.9</v>
      </c>
      <c r="AB709">
        <v>0</v>
      </c>
      <c r="AC709" t="s">
        <v>46</v>
      </c>
      <c r="AE709">
        <v>0</v>
      </c>
      <c r="AF709">
        <v>0</v>
      </c>
      <c r="AG709" t="s">
        <v>47</v>
      </c>
      <c r="AH709" t="s">
        <v>48</v>
      </c>
      <c r="AI709" t="s">
        <v>64</v>
      </c>
      <c r="AJ709">
        <v>3.4</v>
      </c>
      <c r="AK709" s="1" t="s">
        <v>84</v>
      </c>
      <c r="AL709">
        <v>0</v>
      </c>
    </row>
    <row r="710" spans="1:38" x14ac:dyDescent="0.35">
      <c r="A710" t="s">
        <v>913</v>
      </c>
      <c r="B710" t="s">
        <v>52</v>
      </c>
      <c r="C710" t="s">
        <v>153</v>
      </c>
      <c r="D710">
        <v>6.6</v>
      </c>
      <c r="E710" t="s">
        <v>81</v>
      </c>
      <c r="F710">
        <v>32</v>
      </c>
      <c r="G710" t="s">
        <v>68</v>
      </c>
      <c r="H710" t="s">
        <v>94</v>
      </c>
      <c r="I710">
        <v>4</v>
      </c>
      <c r="J710">
        <v>120</v>
      </c>
      <c r="K710">
        <v>11</v>
      </c>
      <c r="L710">
        <v>3</v>
      </c>
      <c r="M710">
        <v>12</v>
      </c>
      <c r="N710">
        <v>1</v>
      </c>
      <c r="O710" t="s">
        <v>82</v>
      </c>
      <c r="P710">
        <v>34100</v>
      </c>
      <c r="Q710">
        <v>2.4</v>
      </c>
      <c r="R710">
        <v>3.1</v>
      </c>
      <c r="S710">
        <v>0.9</v>
      </c>
      <c r="T710">
        <v>0</v>
      </c>
      <c r="U710">
        <v>2.4</v>
      </c>
      <c r="V710">
        <v>2.7</v>
      </c>
      <c r="W710">
        <v>3.4</v>
      </c>
      <c r="X710" t="s">
        <v>89</v>
      </c>
      <c r="Y710">
        <v>0</v>
      </c>
      <c r="Z710">
        <v>0</v>
      </c>
      <c r="AB710">
        <v>0</v>
      </c>
      <c r="AC710" t="s">
        <v>46</v>
      </c>
      <c r="AE710">
        <v>1</v>
      </c>
      <c r="AF710">
        <v>0</v>
      </c>
      <c r="AG710" t="s">
        <v>75</v>
      </c>
      <c r="AH710" t="s">
        <v>83</v>
      </c>
      <c r="AI710" t="s">
        <v>207</v>
      </c>
      <c r="AJ710" s="1" t="s">
        <v>212</v>
      </c>
      <c r="AK710" s="1" t="s">
        <v>115</v>
      </c>
      <c r="AL710">
        <v>0</v>
      </c>
    </row>
    <row r="711" spans="1:38" x14ac:dyDescent="0.35">
      <c r="A711" t="s">
        <v>914</v>
      </c>
      <c r="B711" t="s">
        <v>52</v>
      </c>
      <c r="C711" t="s">
        <v>153</v>
      </c>
      <c r="D711">
        <v>7.4</v>
      </c>
      <c r="E711" t="s">
        <v>81</v>
      </c>
      <c r="F711">
        <v>34</v>
      </c>
      <c r="G711" t="s">
        <v>42</v>
      </c>
      <c r="H711" t="s">
        <v>43</v>
      </c>
      <c r="I711">
        <v>2</v>
      </c>
      <c r="J711">
        <v>15.7</v>
      </c>
      <c r="K711">
        <v>12</v>
      </c>
      <c r="L711">
        <v>0</v>
      </c>
      <c r="M711">
        <v>12</v>
      </c>
      <c r="N711">
        <v>0</v>
      </c>
      <c r="O711" t="s">
        <v>82</v>
      </c>
      <c r="P711">
        <v>29000</v>
      </c>
      <c r="Q711">
        <v>8.4</v>
      </c>
      <c r="R711">
        <v>2.7</v>
      </c>
      <c r="S711">
        <v>1.1000000000000001</v>
      </c>
      <c r="T711">
        <v>0</v>
      </c>
      <c r="U711">
        <v>5</v>
      </c>
      <c r="V711">
        <v>3.2</v>
      </c>
      <c r="W711">
        <v>3.3</v>
      </c>
      <c r="X711" t="s">
        <v>45</v>
      </c>
      <c r="Y711">
        <v>0</v>
      </c>
      <c r="Z711">
        <v>0</v>
      </c>
      <c r="AB711">
        <v>1</v>
      </c>
      <c r="AC711" t="s">
        <v>46</v>
      </c>
      <c r="AE711">
        <v>1</v>
      </c>
      <c r="AF711">
        <v>0</v>
      </c>
      <c r="AG711" t="s">
        <v>75</v>
      </c>
      <c r="AH711" t="s">
        <v>83</v>
      </c>
      <c r="AI711" t="s">
        <v>49</v>
      </c>
      <c r="AJ711" s="1" t="s">
        <v>180</v>
      </c>
      <c r="AK711" s="1" t="s">
        <v>84</v>
      </c>
      <c r="AL711">
        <v>0</v>
      </c>
    </row>
    <row r="712" spans="1:38" x14ac:dyDescent="0.35">
      <c r="A712" t="s">
        <v>915</v>
      </c>
      <c r="B712" t="s">
        <v>60</v>
      </c>
      <c r="C712" t="s">
        <v>80</v>
      </c>
      <c r="D712">
        <v>9.1</v>
      </c>
      <c r="E712" t="s">
        <v>110</v>
      </c>
      <c r="F712">
        <v>33</v>
      </c>
      <c r="G712" t="s">
        <v>42</v>
      </c>
      <c r="H712" t="s">
        <v>69</v>
      </c>
      <c r="I712">
        <v>3</v>
      </c>
      <c r="J712">
        <v>3.8</v>
      </c>
      <c r="K712">
        <v>10</v>
      </c>
      <c r="L712">
        <v>1</v>
      </c>
      <c r="M712">
        <v>12</v>
      </c>
      <c r="N712">
        <v>0</v>
      </c>
      <c r="O712" t="s">
        <v>44</v>
      </c>
      <c r="P712">
        <v>67100</v>
      </c>
      <c r="Q712">
        <v>12.6</v>
      </c>
      <c r="R712">
        <v>2.2999999999999998</v>
      </c>
      <c r="S712">
        <v>0.5</v>
      </c>
      <c r="T712">
        <v>0</v>
      </c>
      <c r="U712">
        <v>2.4</v>
      </c>
      <c r="V712">
        <v>3.8</v>
      </c>
      <c r="W712">
        <v>3.8</v>
      </c>
      <c r="X712" t="s">
        <v>45</v>
      </c>
      <c r="Y712">
        <v>0</v>
      </c>
      <c r="Z712">
        <v>0</v>
      </c>
      <c r="AB712">
        <v>1</v>
      </c>
      <c r="AC712" t="s">
        <v>46</v>
      </c>
      <c r="AE712">
        <v>1</v>
      </c>
      <c r="AF712">
        <v>0</v>
      </c>
      <c r="AG712" t="s">
        <v>75</v>
      </c>
      <c r="AH712" t="s">
        <v>83</v>
      </c>
      <c r="AI712" t="s">
        <v>64</v>
      </c>
      <c r="AJ712" s="1" t="s">
        <v>90</v>
      </c>
      <c r="AK712">
        <v>0.25</v>
      </c>
      <c r="AL712">
        <v>0</v>
      </c>
    </row>
    <row r="713" spans="1:38" x14ac:dyDescent="0.35">
      <c r="A713" t="s">
        <v>916</v>
      </c>
      <c r="B713" t="s">
        <v>39</v>
      </c>
      <c r="C713" t="s">
        <v>88</v>
      </c>
      <c r="D713">
        <v>2</v>
      </c>
      <c r="E713" t="s">
        <v>67</v>
      </c>
      <c r="F713">
        <v>24</v>
      </c>
      <c r="G713" t="s">
        <v>68</v>
      </c>
      <c r="H713" t="s">
        <v>43</v>
      </c>
      <c r="I713">
        <v>1</v>
      </c>
      <c r="J713">
        <v>2.5</v>
      </c>
      <c r="K713">
        <v>9</v>
      </c>
      <c r="L713">
        <v>2</v>
      </c>
      <c r="M713">
        <v>12</v>
      </c>
      <c r="N713">
        <v>0</v>
      </c>
      <c r="O713" t="s">
        <v>70</v>
      </c>
      <c r="P713">
        <v>40900</v>
      </c>
      <c r="Q713">
        <v>8.9</v>
      </c>
      <c r="R713">
        <v>2.8</v>
      </c>
      <c r="S713">
        <v>1</v>
      </c>
      <c r="T713">
        <v>0</v>
      </c>
      <c r="U713">
        <v>2.8</v>
      </c>
      <c r="V713">
        <v>4</v>
      </c>
      <c r="W713">
        <v>2.1</v>
      </c>
      <c r="X713" t="s">
        <v>45</v>
      </c>
      <c r="Y713">
        <v>0</v>
      </c>
      <c r="Z713">
        <v>0</v>
      </c>
      <c r="AB713">
        <v>1</v>
      </c>
      <c r="AC713" t="s">
        <v>46</v>
      </c>
      <c r="AE713">
        <v>1</v>
      </c>
      <c r="AF713">
        <v>0</v>
      </c>
      <c r="AG713" t="s">
        <v>75</v>
      </c>
      <c r="AH713" t="s">
        <v>48</v>
      </c>
      <c r="AI713" t="s">
        <v>64</v>
      </c>
      <c r="AJ713" s="1" t="s">
        <v>268</v>
      </c>
      <c r="AK713">
        <v>8.3333333333333301E-2</v>
      </c>
      <c r="AL713">
        <v>0</v>
      </c>
    </row>
    <row r="714" spans="1:38" x14ac:dyDescent="0.35">
      <c r="A714" t="s">
        <v>917</v>
      </c>
      <c r="B714" t="s">
        <v>39</v>
      </c>
      <c r="C714" t="s">
        <v>40</v>
      </c>
      <c r="D714">
        <v>8.4</v>
      </c>
      <c r="E714" t="s">
        <v>62</v>
      </c>
      <c r="F714">
        <v>30</v>
      </c>
      <c r="G714" t="s">
        <v>42</v>
      </c>
      <c r="H714" t="s">
        <v>63</v>
      </c>
      <c r="I714">
        <v>2</v>
      </c>
      <c r="J714">
        <v>4.9000000000000004</v>
      </c>
      <c r="K714">
        <v>13</v>
      </c>
      <c r="L714">
        <v>2</v>
      </c>
      <c r="M714">
        <v>12</v>
      </c>
      <c r="N714">
        <v>0</v>
      </c>
      <c r="O714" t="s">
        <v>293</v>
      </c>
      <c r="P714">
        <v>126200</v>
      </c>
      <c r="Q714">
        <v>17.3</v>
      </c>
      <c r="R714">
        <v>3</v>
      </c>
      <c r="S714">
        <v>1.4</v>
      </c>
      <c r="T714">
        <v>0</v>
      </c>
      <c r="U714">
        <v>3.6</v>
      </c>
      <c r="V714">
        <v>3.5</v>
      </c>
      <c r="W714">
        <v>4.8</v>
      </c>
      <c r="X714" t="s">
        <v>45</v>
      </c>
      <c r="Y714">
        <v>0</v>
      </c>
      <c r="Z714">
        <v>0</v>
      </c>
      <c r="AB714">
        <v>0</v>
      </c>
      <c r="AC714" t="s">
        <v>46</v>
      </c>
      <c r="AE714">
        <v>1</v>
      </c>
      <c r="AF714">
        <v>0</v>
      </c>
      <c r="AG714" t="s">
        <v>75</v>
      </c>
      <c r="AH714" t="s">
        <v>83</v>
      </c>
      <c r="AI714" t="s">
        <v>64</v>
      </c>
      <c r="AJ714" s="1" t="s">
        <v>402</v>
      </c>
      <c r="AK714" s="1" t="s">
        <v>84</v>
      </c>
      <c r="AL714">
        <v>0</v>
      </c>
    </row>
    <row r="715" spans="1:38" x14ac:dyDescent="0.35">
      <c r="A715" t="s">
        <v>918</v>
      </c>
      <c r="B715" t="s">
        <v>60</v>
      </c>
      <c r="C715" t="s">
        <v>61</v>
      </c>
      <c r="D715">
        <v>3</v>
      </c>
      <c r="E715" t="s">
        <v>110</v>
      </c>
      <c r="F715">
        <v>22</v>
      </c>
      <c r="G715" t="s">
        <v>42</v>
      </c>
      <c r="H715" t="s">
        <v>69</v>
      </c>
      <c r="I715">
        <v>3</v>
      </c>
      <c r="J715">
        <v>9.6999999999999993</v>
      </c>
      <c r="K715">
        <v>5</v>
      </c>
      <c r="L715">
        <v>1</v>
      </c>
      <c r="M715">
        <v>12</v>
      </c>
      <c r="N715">
        <v>0</v>
      </c>
      <c r="O715" t="s">
        <v>44</v>
      </c>
      <c r="P715">
        <v>56500</v>
      </c>
      <c r="Q715">
        <v>10.1</v>
      </c>
      <c r="R715">
        <v>4.5</v>
      </c>
      <c r="S715">
        <v>0.5</v>
      </c>
      <c r="T715">
        <v>0</v>
      </c>
      <c r="U715">
        <v>3.1</v>
      </c>
      <c r="V715">
        <v>2.2000000000000002</v>
      </c>
      <c r="W715">
        <v>4.2</v>
      </c>
      <c r="X715" t="s">
        <v>45</v>
      </c>
      <c r="Y715">
        <v>0</v>
      </c>
      <c r="Z715">
        <v>0</v>
      </c>
      <c r="AB715">
        <v>0</v>
      </c>
      <c r="AC715" t="s">
        <v>46</v>
      </c>
      <c r="AE715">
        <v>1</v>
      </c>
      <c r="AF715">
        <v>0</v>
      </c>
      <c r="AG715" t="s">
        <v>75</v>
      </c>
      <c r="AH715" t="s">
        <v>48</v>
      </c>
      <c r="AI715" t="s">
        <v>64</v>
      </c>
      <c r="AJ715" s="1" t="s">
        <v>100</v>
      </c>
      <c r="AK715">
        <v>0.25</v>
      </c>
      <c r="AL715">
        <v>0</v>
      </c>
    </row>
    <row r="716" spans="1:38" x14ac:dyDescent="0.35">
      <c r="A716" t="s">
        <v>919</v>
      </c>
      <c r="B716" t="s">
        <v>39</v>
      </c>
      <c r="C716" t="s">
        <v>66</v>
      </c>
      <c r="D716">
        <v>4.4000000000000004</v>
      </c>
      <c r="E716" t="s">
        <v>110</v>
      </c>
      <c r="F716">
        <v>29</v>
      </c>
      <c r="G716" t="s">
        <v>42</v>
      </c>
      <c r="H716" t="s">
        <v>43</v>
      </c>
      <c r="I716">
        <v>5</v>
      </c>
      <c r="J716">
        <v>30.2</v>
      </c>
      <c r="K716">
        <v>4</v>
      </c>
      <c r="L716">
        <v>2</v>
      </c>
      <c r="M716">
        <v>12</v>
      </c>
      <c r="N716">
        <v>0</v>
      </c>
      <c r="O716" t="s">
        <v>44</v>
      </c>
      <c r="P716">
        <v>65800</v>
      </c>
      <c r="Q716">
        <v>5.8</v>
      </c>
      <c r="R716">
        <v>2.2999999999999998</v>
      </c>
      <c r="S716">
        <v>0.1</v>
      </c>
      <c r="T716">
        <v>0</v>
      </c>
      <c r="U716">
        <v>3.8</v>
      </c>
      <c r="V716">
        <v>1.5</v>
      </c>
      <c r="W716">
        <v>2.9</v>
      </c>
      <c r="X716" t="s">
        <v>45</v>
      </c>
      <c r="Y716">
        <v>0</v>
      </c>
      <c r="Z716">
        <v>0</v>
      </c>
      <c r="AB716">
        <v>0</v>
      </c>
      <c r="AC716" t="s">
        <v>124</v>
      </c>
      <c r="AD716" s="2">
        <v>46058</v>
      </c>
      <c r="AE716">
        <v>1</v>
      </c>
      <c r="AF716">
        <v>0</v>
      </c>
      <c r="AG716" t="s">
        <v>75</v>
      </c>
      <c r="AH716" t="s">
        <v>76</v>
      </c>
      <c r="AI716" t="s">
        <v>57</v>
      </c>
      <c r="AJ716" s="1" t="s">
        <v>168</v>
      </c>
      <c r="AK716" s="1" t="s">
        <v>127</v>
      </c>
      <c r="AL716">
        <v>1</v>
      </c>
    </row>
    <row r="717" spans="1:38" x14ac:dyDescent="0.35">
      <c r="A717" t="s">
        <v>920</v>
      </c>
      <c r="B717" t="s">
        <v>73</v>
      </c>
      <c r="C717" t="s">
        <v>113</v>
      </c>
      <c r="D717">
        <v>5</v>
      </c>
      <c r="E717" t="s">
        <v>41</v>
      </c>
      <c r="F717">
        <v>25</v>
      </c>
      <c r="G717" t="s">
        <v>42</v>
      </c>
      <c r="H717" t="s">
        <v>55</v>
      </c>
      <c r="I717">
        <v>1</v>
      </c>
      <c r="J717">
        <v>34.200000000000003</v>
      </c>
      <c r="K717">
        <v>11</v>
      </c>
      <c r="L717">
        <v>0</v>
      </c>
      <c r="M717">
        <v>12</v>
      </c>
      <c r="N717">
        <v>0</v>
      </c>
      <c r="O717" t="s">
        <v>56</v>
      </c>
      <c r="P717">
        <v>75800</v>
      </c>
      <c r="Q717">
        <v>9.8000000000000007</v>
      </c>
      <c r="R717">
        <v>3.9</v>
      </c>
      <c r="S717">
        <v>1.1000000000000001</v>
      </c>
      <c r="T717">
        <v>0</v>
      </c>
      <c r="U717">
        <v>2</v>
      </c>
      <c r="V717">
        <v>3</v>
      </c>
      <c r="W717">
        <v>3.4</v>
      </c>
      <c r="X717" t="s">
        <v>45</v>
      </c>
      <c r="Y717">
        <v>0</v>
      </c>
      <c r="Z717">
        <v>0</v>
      </c>
      <c r="AB717">
        <v>0</v>
      </c>
      <c r="AC717" t="s">
        <v>46</v>
      </c>
      <c r="AE717">
        <v>1</v>
      </c>
      <c r="AF717">
        <v>0</v>
      </c>
      <c r="AG717" t="s">
        <v>75</v>
      </c>
      <c r="AH717" t="s">
        <v>76</v>
      </c>
      <c r="AI717" t="s">
        <v>57</v>
      </c>
      <c r="AJ717" s="1" t="s">
        <v>144</v>
      </c>
      <c r="AK717">
        <v>8.3333333333333301E-2</v>
      </c>
      <c r="AL717">
        <v>0</v>
      </c>
    </row>
    <row r="718" spans="1:38" x14ac:dyDescent="0.35">
      <c r="A718" t="s">
        <v>921</v>
      </c>
      <c r="B718" t="s">
        <v>117</v>
      </c>
      <c r="C718" t="s">
        <v>118</v>
      </c>
      <c r="D718">
        <v>7.9</v>
      </c>
      <c r="E718" t="s">
        <v>67</v>
      </c>
      <c r="F718">
        <v>30</v>
      </c>
      <c r="G718" t="s">
        <v>68</v>
      </c>
      <c r="H718" t="s">
        <v>63</v>
      </c>
      <c r="I718">
        <v>4</v>
      </c>
      <c r="J718">
        <v>6.3</v>
      </c>
      <c r="K718">
        <v>7</v>
      </c>
      <c r="L718">
        <v>1</v>
      </c>
      <c r="M718">
        <v>12</v>
      </c>
      <c r="N718">
        <v>0</v>
      </c>
      <c r="O718" t="s">
        <v>82</v>
      </c>
      <c r="P718">
        <v>34600</v>
      </c>
      <c r="Q718">
        <v>2.1</v>
      </c>
      <c r="R718">
        <v>4.3</v>
      </c>
      <c r="S718">
        <v>4</v>
      </c>
      <c r="T718">
        <v>0</v>
      </c>
      <c r="U718">
        <v>3.1</v>
      </c>
      <c r="V718">
        <v>4.0999999999999996</v>
      </c>
      <c r="W718">
        <v>3</v>
      </c>
      <c r="X718" t="s">
        <v>45</v>
      </c>
      <c r="Y718">
        <v>0</v>
      </c>
      <c r="Z718">
        <v>2</v>
      </c>
      <c r="AA718">
        <v>4</v>
      </c>
      <c r="AB718">
        <v>0</v>
      </c>
      <c r="AC718" t="s">
        <v>46</v>
      </c>
      <c r="AE718">
        <v>0</v>
      </c>
      <c r="AF718">
        <v>0</v>
      </c>
      <c r="AG718" t="s">
        <v>47</v>
      </c>
      <c r="AH718" t="s">
        <v>83</v>
      </c>
      <c r="AI718" t="s">
        <v>64</v>
      </c>
      <c r="AJ718">
        <v>3.4</v>
      </c>
      <c r="AK718" s="1" t="s">
        <v>115</v>
      </c>
      <c r="AL718">
        <v>0</v>
      </c>
    </row>
    <row r="719" spans="1:38" x14ac:dyDescent="0.35">
      <c r="A719" t="s">
        <v>922</v>
      </c>
      <c r="B719" t="s">
        <v>73</v>
      </c>
      <c r="C719" t="s">
        <v>121</v>
      </c>
      <c r="D719">
        <v>6.2</v>
      </c>
      <c r="E719" t="s">
        <v>41</v>
      </c>
      <c r="F719">
        <v>31</v>
      </c>
      <c r="G719" t="s">
        <v>68</v>
      </c>
      <c r="H719" t="s">
        <v>43</v>
      </c>
      <c r="I719">
        <v>1</v>
      </c>
      <c r="J719">
        <v>6.1</v>
      </c>
      <c r="K719">
        <v>9</v>
      </c>
      <c r="L719">
        <v>3</v>
      </c>
      <c r="M719">
        <v>12</v>
      </c>
      <c r="N719">
        <v>0</v>
      </c>
      <c r="O719" t="s">
        <v>44</v>
      </c>
      <c r="P719">
        <v>68800</v>
      </c>
      <c r="Q719">
        <v>4.8</v>
      </c>
      <c r="R719">
        <v>2.7</v>
      </c>
      <c r="S719">
        <v>1.3</v>
      </c>
      <c r="T719">
        <v>0</v>
      </c>
      <c r="U719">
        <v>3.9</v>
      </c>
      <c r="V719">
        <v>3.6</v>
      </c>
      <c r="W719">
        <v>3.6</v>
      </c>
      <c r="X719" t="s">
        <v>45</v>
      </c>
      <c r="Y719">
        <v>0</v>
      </c>
      <c r="Z719">
        <v>1</v>
      </c>
      <c r="AA719">
        <v>5</v>
      </c>
      <c r="AB719">
        <v>0</v>
      </c>
      <c r="AC719" t="s">
        <v>46</v>
      </c>
      <c r="AE719">
        <v>0</v>
      </c>
      <c r="AF719">
        <v>0</v>
      </c>
      <c r="AG719" t="s">
        <v>47</v>
      </c>
      <c r="AH719" t="s">
        <v>83</v>
      </c>
      <c r="AI719" t="s">
        <v>64</v>
      </c>
      <c r="AJ719" s="1" t="s">
        <v>58</v>
      </c>
      <c r="AK719">
        <v>8.3333333333333301E-2</v>
      </c>
      <c r="AL719">
        <v>0</v>
      </c>
    </row>
    <row r="720" spans="1:38" x14ac:dyDescent="0.35">
      <c r="A720" t="s">
        <v>923</v>
      </c>
      <c r="B720" t="s">
        <v>39</v>
      </c>
      <c r="C720" t="s">
        <v>66</v>
      </c>
      <c r="D720">
        <v>2.9</v>
      </c>
      <c r="E720" t="s">
        <v>81</v>
      </c>
      <c r="F720">
        <v>24</v>
      </c>
      <c r="G720" t="s">
        <v>68</v>
      </c>
      <c r="H720" t="s">
        <v>55</v>
      </c>
      <c r="I720">
        <v>5</v>
      </c>
      <c r="J720">
        <v>17.7</v>
      </c>
      <c r="K720">
        <v>6</v>
      </c>
      <c r="L720">
        <v>0</v>
      </c>
      <c r="M720">
        <v>12</v>
      </c>
      <c r="N720">
        <v>0</v>
      </c>
      <c r="O720" t="s">
        <v>82</v>
      </c>
      <c r="P720">
        <v>31800</v>
      </c>
      <c r="Q720">
        <v>3.1</v>
      </c>
      <c r="R720">
        <v>3.4</v>
      </c>
      <c r="S720">
        <v>1.7</v>
      </c>
      <c r="T720">
        <v>0</v>
      </c>
      <c r="U720">
        <v>3.9</v>
      </c>
      <c r="V720">
        <v>3.4</v>
      </c>
      <c r="W720">
        <v>3.4</v>
      </c>
      <c r="X720" t="s">
        <v>45</v>
      </c>
      <c r="Y720">
        <v>0</v>
      </c>
      <c r="Z720">
        <v>1</v>
      </c>
      <c r="AA720">
        <v>1.5</v>
      </c>
      <c r="AB720">
        <v>0</v>
      </c>
      <c r="AC720" t="s">
        <v>46</v>
      </c>
      <c r="AE720">
        <v>0</v>
      </c>
      <c r="AF720">
        <v>0</v>
      </c>
      <c r="AG720" t="s">
        <v>47</v>
      </c>
      <c r="AH720" t="s">
        <v>48</v>
      </c>
      <c r="AI720" t="s">
        <v>49</v>
      </c>
      <c r="AJ720" s="1" t="s">
        <v>126</v>
      </c>
      <c r="AK720" s="1" t="s">
        <v>127</v>
      </c>
      <c r="AL720">
        <v>0</v>
      </c>
    </row>
    <row r="721" spans="1:38" x14ac:dyDescent="0.35">
      <c r="A721" t="s">
        <v>924</v>
      </c>
      <c r="B721" t="s">
        <v>60</v>
      </c>
      <c r="C721" t="s">
        <v>80</v>
      </c>
      <c r="D721">
        <v>0.4</v>
      </c>
      <c r="E721" t="s">
        <v>110</v>
      </c>
      <c r="F721">
        <v>28</v>
      </c>
      <c r="G721" t="s">
        <v>68</v>
      </c>
      <c r="H721" t="s">
        <v>94</v>
      </c>
      <c r="I721">
        <v>1</v>
      </c>
      <c r="J721">
        <v>17.600000000000001</v>
      </c>
      <c r="K721">
        <v>5</v>
      </c>
      <c r="L721">
        <v>6</v>
      </c>
      <c r="M721">
        <v>12</v>
      </c>
      <c r="N721">
        <v>0</v>
      </c>
      <c r="O721" t="s">
        <v>44</v>
      </c>
      <c r="P721">
        <v>58200</v>
      </c>
      <c r="Q721">
        <v>8.1</v>
      </c>
      <c r="R721">
        <v>3.7</v>
      </c>
      <c r="S721">
        <v>1</v>
      </c>
      <c r="T721">
        <v>0</v>
      </c>
      <c r="U721">
        <v>2.8</v>
      </c>
      <c r="V721">
        <v>3.2</v>
      </c>
      <c r="W721">
        <v>3.6</v>
      </c>
      <c r="X721" t="s">
        <v>45</v>
      </c>
      <c r="Y721">
        <v>0</v>
      </c>
      <c r="Z721">
        <v>1</v>
      </c>
      <c r="AA721">
        <v>0</v>
      </c>
      <c r="AB721">
        <v>0</v>
      </c>
      <c r="AC721" t="s">
        <v>46</v>
      </c>
      <c r="AE721">
        <v>0</v>
      </c>
      <c r="AF721">
        <v>0</v>
      </c>
      <c r="AG721" t="s">
        <v>47</v>
      </c>
      <c r="AH721" t="s">
        <v>95</v>
      </c>
      <c r="AI721" t="s">
        <v>49</v>
      </c>
      <c r="AJ721" s="1" t="s">
        <v>162</v>
      </c>
      <c r="AK721">
        <v>8.3333333333333301E-2</v>
      </c>
      <c r="AL721">
        <v>0</v>
      </c>
    </row>
    <row r="722" spans="1:38" x14ac:dyDescent="0.35">
      <c r="A722" t="s">
        <v>925</v>
      </c>
      <c r="B722" t="s">
        <v>117</v>
      </c>
      <c r="C722" t="s">
        <v>118</v>
      </c>
      <c r="D722">
        <v>5.4</v>
      </c>
      <c r="E722" t="s">
        <v>62</v>
      </c>
      <c r="F722">
        <v>34</v>
      </c>
      <c r="G722" t="s">
        <v>42</v>
      </c>
      <c r="H722" t="s">
        <v>55</v>
      </c>
      <c r="I722">
        <v>2</v>
      </c>
      <c r="J722">
        <v>25.2</v>
      </c>
      <c r="K722">
        <v>8</v>
      </c>
      <c r="L722">
        <v>6</v>
      </c>
      <c r="M722">
        <v>12</v>
      </c>
      <c r="N722">
        <v>0</v>
      </c>
      <c r="O722" t="s">
        <v>56</v>
      </c>
      <c r="P722">
        <v>96100</v>
      </c>
      <c r="Q722">
        <v>7.8</v>
      </c>
      <c r="R722">
        <v>3.6</v>
      </c>
      <c r="S722">
        <v>2</v>
      </c>
      <c r="T722">
        <v>0</v>
      </c>
      <c r="U722">
        <v>2.4</v>
      </c>
      <c r="V722">
        <v>3.5</v>
      </c>
      <c r="W722">
        <v>2.6</v>
      </c>
      <c r="X722" t="s">
        <v>45</v>
      </c>
      <c r="Y722">
        <v>0</v>
      </c>
      <c r="Z722">
        <v>0</v>
      </c>
      <c r="AB722">
        <v>0</v>
      </c>
      <c r="AC722" t="s">
        <v>46</v>
      </c>
      <c r="AE722">
        <v>1</v>
      </c>
      <c r="AF722">
        <v>0</v>
      </c>
      <c r="AG722" t="s">
        <v>75</v>
      </c>
      <c r="AH722" t="s">
        <v>83</v>
      </c>
      <c r="AI722" t="s">
        <v>57</v>
      </c>
      <c r="AJ722" s="1" t="s">
        <v>212</v>
      </c>
      <c r="AK722" s="1" t="s">
        <v>84</v>
      </c>
      <c r="AL722">
        <v>0</v>
      </c>
    </row>
    <row r="723" spans="1:38" x14ac:dyDescent="0.35">
      <c r="A723" t="s">
        <v>926</v>
      </c>
      <c r="B723" t="s">
        <v>52</v>
      </c>
      <c r="C723" t="s">
        <v>153</v>
      </c>
      <c r="D723">
        <v>4.3</v>
      </c>
      <c r="E723" t="s">
        <v>41</v>
      </c>
      <c r="F723">
        <v>28</v>
      </c>
      <c r="G723" t="s">
        <v>42</v>
      </c>
      <c r="H723" t="s">
        <v>55</v>
      </c>
      <c r="I723">
        <v>4</v>
      </c>
      <c r="J723">
        <v>25.7</v>
      </c>
      <c r="K723">
        <v>7</v>
      </c>
      <c r="L723">
        <v>2</v>
      </c>
      <c r="M723">
        <v>12</v>
      </c>
      <c r="N723">
        <v>0</v>
      </c>
      <c r="O723" t="s">
        <v>56</v>
      </c>
      <c r="P723">
        <v>88100</v>
      </c>
      <c r="Q723">
        <v>12.8</v>
      </c>
      <c r="R723">
        <v>3.3</v>
      </c>
      <c r="S723">
        <v>2.5</v>
      </c>
      <c r="T723">
        <v>0</v>
      </c>
      <c r="U723">
        <v>3.5</v>
      </c>
      <c r="V723">
        <v>2.2999999999999998</v>
      </c>
      <c r="W723">
        <v>3</v>
      </c>
      <c r="X723" t="s">
        <v>45</v>
      </c>
      <c r="Y723">
        <v>0</v>
      </c>
      <c r="Z723">
        <v>0</v>
      </c>
      <c r="AB723">
        <v>0</v>
      </c>
      <c r="AC723" t="s">
        <v>46</v>
      </c>
      <c r="AE723">
        <v>1</v>
      </c>
      <c r="AF723">
        <v>0</v>
      </c>
      <c r="AG723" t="s">
        <v>75</v>
      </c>
      <c r="AH723" t="s">
        <v>76</v>
      </c>
      <c r="AI723" t="s">
        <v>57</v>
      </c>
      <c r="AJ723" s="1" t="s">
        <v>141</v>
      </c>
      <c r="AK723" s="1" t="s">
        <v>115</v>
      </c>
      <c r="AL723">
        <v>0</v>
      </c>
    </row>
    <row r="724" spans="1:38" x14ac:dyDescent="0.35">
      <c r="A724" t="s">
        <v>927</v>
      </c>
      <c r="B724" t="s">
        <v>73</v>
      </c>
      <c r="C724" t="s">
        <v>177</v>
      </c>
      <c r="D724">
        <v>1.2</v>
      </c>
      <c r="E724" t="s">
        <v>41</v>
      </c>
      <c r="F724">
        <v>25</v>
      </c>
      <c r="G724" t="s">
        <v>42</v>
      </c>
      <c r="H724" t="s">
        <v>43</v>
      </c>
      <c r="I724">
        <v>4</v>
      </c>
      <c r="J724">
        <v>4.5999999999999996</v>
      </c>
      <c r="K724">
        <v>13</v>
      </c>
      <c r="L724">
        <v>3</v>
      </c>
      <c r="M724">
        <v>12</v>
      </c>
      <c r="N724">
        <v>0</v>
      </c>
      <c r="O724" t="s">
        <v>44</v>
      </c>
      <c r="P724">
        <v>67000</v>
      </c>
      <c r="Q724">
        <v>7.6</v>
      </c>
      <c r="R724">
        <v>2.6</v>
      </c>
      <c r="S724">
        <v>3.5</v>
      </c>
      <c r="T724">
        <v>0</v>
      </c>
      <c r="U724">
        <v>2.1</v>
      </c>
      <c r="V724">
        <v>3.9</v>
      </c>
      <c r="W724">
        <v>4.3</v>
      </c>
      <c r="X724" t="s">
        <v>45</v>
      </c>
      <c r="Y724">
        <v>0</v>
      </c>
      <c r="Z724">
        <v>2</v>
      </c>
      <c r="AA724">
        <v>0.7</v>
      </c>
      <c r="AB724">
        <v>0</v>
      </c>
      <c r="AC724" t="s">
        <v>46</v>
      </c>
      <c r="AE724">
        <v>0</v>
      </c>
      <c r="AF724">
        <v>0</v>
      </c>
      <c r="AG724" t="s">
        <v>47</v>
      </c>
      <c r="AH724" t="s">
        <v>48</v>
      </c>
      <c r="AI724" t="s">
        <v>64</v>
      </c>
      <c r="AJ724" s="1" t="s">
        <v>174</v>
      </c>
      <c r="AK724" s="1" t="s">
        <v>115</v>
      </c>
      <c r="AL724">
        <v>0</v>
      </c>
    </row>
    <row r="725" spans="1:38" x14ac:dyDescent="0.35">
      <c r="A725" t="s">
        <v>928</v>
      </c>
      <c r="B725" t="s">
        <v>60</v>
      </c>
      <c r="C725" t="s">
        <v>61</v>
      </c>
      <c r="D725">
        <v>4.5999999999999996</v>
      </c>
      <c r="E725" t="s">
        <v>67</v>
      </c>
      <c r="F725">
        <v>33</v>
      </c>
      <c r="G725" t="s">
        <v>68</v>
      </c>
      <c r="H725" t="s">
        <v>55</v>
      </c>
      <c r="I725">
        <v>4</v>
      </c>
      <c r="J725">
        <v>2</v>
      </c>
      <c r="K725">
        <v>11</v>
      </c>
      <c r="L725">
        <v>1</v>
      </c>
      <c r="M725">
        <v>12</v>
      </c>
      <c r="N725">
        <v>0</v>
      </c>
      <c r="O725" t="s">
        <v>70</v>
      </c>
      <c r="P725">
        <v>41700</v>
      </c>
      <c r="Q725">
        <v>4</v>
      </c>
      <c r="R725">
        <v>3.8</v>
      </c>
      <c r="S725">
        <v>4.3</v>
      </c>
      <c r="T725">
        <v>0</v>
      </c>
      <c r="U725">
        <v>4.5</v>
      </c>
      <c r="V725">
        <v>4</v>
      </c>
      <c r="W725">
        <v>3</v>
      </c>
      <c r="X725" t="s">
        <v>45</v>
      </c>
      <c r="Y725">
        <v>0</v>
      </c>
      <c r="Z725">
        <v>2</v>
      </c>
      <c r="AA725">
        <v>2.8</v>
      </c>
      <c r="AB725">
        <v>0</v>
      </c>
      <c r="AC725" t="s">
        <v>46</v>
      </c>
      <c r="AE725">
        <v>0</v>
      </c>
      <c r="AF725">
        <v>0</v>
      </c>
      <c r="AG725" t="s">
        <v>47</v>
      </c>
      <c r="AH725" t="s">
        <v>76</v>
      </c>
      <c r="AI725" t="s">
        <v>64</v>
      </c>
      <c r="AJ725" s="1" t="s">
        <v>180</v>
      </c>
      <c r="AK725" s="1" t="s">
        <v>115</v>
      </c>
      <c r="AL725">
        <v>0</v>
      </c>
    </row>
    <row r="726" spans="1:38" x14ac:dyDescent="0.35">
      <c r="A726" t="s">
        <v>929</v>
      </c>
      <c r="B726" t="s">
        <v>73</v>
      </c>
      <c r="C726" t="s">
        <v>74</v>
      </c>
      <c r="D726">
        <v>3.8</v>
      </c>
      <c r="E726" t="s">
        <v>41</v>
      </c>
      <c r="F726">
        <v>27</v>
      </c>
      <c r="G726" t="s">
        <v>68</v>
      </c>
      <c r="H726" t="s">
        <v>43</v>
      </c>
      <c r="I726">
        <v>4</v>
      </c>
      <c r="J726">
        <v>15.8</v>
      </c>
      <c r="K726">
        <v>9</v>
      </c>
      <c r="L726">
        <v>5</v>
      </c>
      <c r="M726">
        <v>12</v>
      </c>
      <c r="N726">
        <v>0</v>
      </c>
      <c r="O726" t="s">
        <v>56</v>
      </c>
      <c r="P726">
        <v>75600</v>
      </c>
      <c r="Q726">
        <v>14.2</v>
      </c>
      <c r="R726">
        <v>2.9</v>
      </c>
      <c r="S726">
        <v>1.8</v>
      </c>
      <c r="T726">
        <v>0</v>
      </c>
      <c r="U726">
        <v>3.4</v>
      </c>
      <c r="V726">
        <v>2.9</v>
      </c>
      <c r="W726">
        <v>1.3</v>
      </c>
      <c r="X726" t="s">
        <v>45</v>
      </c>
      <c r="Y726">
        <v>0</v>
      </c>
      <c r="Z726">
        <v>2</v>
      </c>
      <c r="AA726">
        <v>0.8</v>
      </c>
      <c r="AB726">
        <v>1</v>
      </c>
      <c r="AC726" t="s">
        <v>46</v>
      </c>
      <c r="AE726">
        <v>0</v>
      </c>
      <c r="AF726">
        <v>0</v>
      </c>
      <c r="AG726" t="s">
        <v>47</v>
      </c>
      <c r="AH726" t="s">
        <v>76</v>
      </c>
      <c r="AI726" t="s">
        <v>49</v>
      </c>
      <c r="AJ726" s="1" t="s">
        <v>111</v>
      </c>
      <c r="AK726" s="1" t="s">
        <v>115</v>
      </c>
      <c r="AL726">
        <v>0</v>
      </c>
    </row>
    <row r="727" spans="1:38" x14ac:dyDescent="0.35">
      <c r="A727" t="s">
        <v>930</v>
      </c>
      <c r="B727" t="s">
        <v>73</v>
      </c>
      <c r="C727" t="s">
        <v>121</v>
      </c>
      <c r="D727">
        <v>9.1</v>
      </c>
      <c r="E727" t="s">
        <v>110</v>
      </c>
      <c r="F727">
        <v>32</v>
      </c>
      <c r="G727" t="s">
        <v>42</v>
      </c>
      <c r="H727" t="s">
        <v>55</v>
      </c>
      <c r="I727">
        <v>4</v>
      </c>
      <c r="J727">
        <v>12</v>
      </c>
      <c r="K727">
        <v>12</v>
      </c>
      <c r="L727">
        <v>2</v>
      </c>
      <c r="M727">
        <v>12</v>
      </c>
      <c r="N727">
        <v>0</v>
      </c>
      <c r="O727" t="s">
        <v>70</v>
      </c>
      <c r="P727">
        <v>48400</v>
      </c>
      <c r="Q727">
        <v>0</v>
      </c>
      <c r="R727">
        <v>3.2</v>
      </c>
      <c r="S727">
        <v>3.5</v>
      </c>
      <c r="T727">
        <v>0</v>
      </c>
      <c r="U727">
        <v>2.7</v>
      </c>
      <c r="V727">
        <v>3.6</v>
      </c>
      <c r="W727">
        <v>3.3</v>
      </c>
      <c r="X727" t="s">
        <v>45</v>
      </c>
      <c r="Y727">
        <v>0</v>
      </c>
      <c r="Z727">
        <v>1</v>
      </c>
      <c r="AA727">
        <v>4.0999999999999996</v>
      </c>
      <c r="AB727">
        <v>0</v>
      </c>
      <c r="AC727" t="s">
        <v>46</v>
      </c>
      <c r="AE727">
        <v>0</v>
      </c>
      <c r="AF727">
        <v>0</v>
      </c>
      <c r="AG727" t="s">
        <v>47</v>
      </c>
      <c r="AH727" t="s">
        <v>83</v>
      </c>
      <c r="AI727" t="s">
        <v>49</v>
      </c>
      <c r="AJ727" s="1" t="s">
        <v>249</v>
      </c>
      <c r="AK727" s="1" t="s">
        <v>115</v>
      </c>
      <c r="AL727">
        <v>0</v>
      </c>
    </row>
    <row r="728" spans="1:38" x14ac:dyDescent="0.35">
      <c r="A728" t="s">
        <v>931</v>
      </c>
      <c r="B728" t="s">
        <v>98</v>
      </c>
      <c r="C728" t="s">
        <v>148</v>
      </c>
      <c r="D728">
        <v>12.5</v>
      </c>
      <c r="E728" t="s">
        <v>110</v>
      </c>
      <c r="F728">
        <v>43</v>
      </c>
      <c r="G728" t="s">
        <v>68</v>
      </c>
      <c r="H728" t="s">
        <v>55</v>
      </c>
      <c r="I728">
        <v>1</v>
      </c>
      <c r="J728">
        <v>1.9</v>
      </c>
      <c r="K728">
        <v>13</v>
      </c>
      <c r="L728">
        <v>1</v>
      </c>
      <c r="M728">
        <v>12</v>
      </c>
      <c r="N728">
        <v>0</v>
      </c>
      <c r="O728" t="s">
        <v>44</v>
      </c>
      <c r="P728">
        <v>59400</v>
      </c>
      <c r="Q728">
        <v>8.1999999999999993</v>
      </c>
      <c r="R728">
        <v>3.4</v>
      </c>
      <c r="S728">
        <v>2.8</v>
      </c>
      <c r="T728">
        <v>0</v>
      </c>
      <c r="U728">
        <v>2.4</v>
      </c>
      <c r="V728">
        <v>1.7</v>
      </c>
      <c r="W728">
        <v>5</v>
      </c>
      <c r="X728" t="s">
        <v>45</v>
      </c>
      <c r="Y728">
        <v>0</v>
      </c>
      <c r="Z728">
        <v>2</v>
      </c>
      <c r="AA728">
        <v>0.1</v>
      </c>
      <c r="AB728">
        <v>0</v>
      </c>
      <c r="AC728" t="s">
        <v>46</v>
      </c>
      <c r="AE728">
        <v>0</v>
      </c>
      <c r="AF728">
        <v>0</v>
      </c>
      <c r="AG728" t="s">
        <v>47</v>
      </c>
      <c r="AH728" t="s">
        <v>83</v>
      </c>
      <c r="AI728" t="s">
        <v>64</v>
      </c>
      <c r="AJ728" s="1" t="s">
        <v>627</v>
      </c>
      <c r="AK728">
        <v>8.3333333333333301E-2</v>
      </c>
      <c r="AL728">
        <v>0</v>
      </c>
    </row>
    <row r="729" spans="1:38" x14ac:dyDescent="0.35">
      <c r="A729" t="s">
        <v>932</v>
      </c>
      <c r="B729" t="s">
        <v>73</v>
      </c>
      <c r="C729" t="s">
        <v>177</v>
      </c>
      <c r="D729">
        <v>7.3</v>
      </c>
      <c r="E729" t="s">
        <v>81</v>
      </c>
      <c r="F729">
        <v>37</v>
      </c>
      <c r="G729" t="s">
        <v>68</v>
      </c>
      <c r="H729" t="s">
        <v>55</v>
      </c>
      <c r="I729">
        <v>6</v>
      </c>
      <c r="J729">
        <v>15.3</v>
      </c>
      <c r="K729">
        <v>14</v>
      </c>
      <c r="L729">
        <v>2</v>
      </c>
      <c r="M729">
        <v>12</v>
      </c>
      <c r="N729">
        <v>0</v>
      </c>
      <c r="O729" t="s">
        <v>70</v>
      </c>
      <c r="P729">
        <v>38900</v>
      </c>
      <c r="Q729">
        <v>8.9</v>
      </c>
      <c r="R729">
        <v>4</v>
      </c>
      <c r="S729">
        <v>2</v>
      </c>
      <c r="T729">
        <v>0</v>
      </c>
      <c r="U729">
        <v>2.7</v>
      </c>
      <c r="V729">
        <v>3.3</v>
      </c>
      <c r="W729">
        <v>4.0999999999999996</v>
      </c>
      <c r="X729" t="s">
        <v>45</v>
      </c>
      <c r="Y729">
        <v>1</v>
      </c>
      <c r="Z729">
        <v>0</v>
      </c>
      <c r="AB729">
        <v>0</v>
      </c>
      <c r="AC729" t="s">
        <v>46</v>
      </c>
      <c r="AE729">
        <v>1</v>
      </c>
      <c r="AF729">
        <v>0</v>
      </c>
      <c r="AG729" t="s">
        <v>75</v>
      </c>
      <c r="AH729" t="s">
        <v>83</v>
      </c>
      <c r="AI729" t="s">
        <v>49</v>
      </c>
      <c r="AJ729" s="1" t="s">
        <v>86</v>
      </c>
      <c r="AK729">
        <v>0.5</v>
      </c>
      <c r="AL729">
        <v>0</v>
      </c>
    </row>
    <row r="730" spans="1:38" x14ac:dyDescent="0.35">
      <c r="A730" t="s">
        <v>933</v>
      </c>
      <c r="B730" t="s">
        <v>52</v>
      </c>
      <c r="C730" t="s">
        <v>93</v>
      </c>
      <c r="D730">
        <v>3.6</v>
      </c>
      <c r="E730" t="s">
        <v>81</v>
      </c>
      <c r="F730">
        <v>32</v>
      </c>
      <c r="G730" t="s">
        <v>68</v>
      </c>
      <c r="H730" t="s">
        <v>55</v>
      </c>
      <c r="I730">
        <v>7</v>
      </c>
      <c r="J730">
        <v>84</v>
      </c>
      <c r="K730">
        <v>14</v>
      </c>
      <c r="L730">
        <v>1</v>
      </c>
      <c r="M730">
        <v>12</v>
      </c>
      <c r="N730">
        <v>1</v>
      </c>
      <c r="O730" t="s">
        <v>82</v>
      </c>
      <c r="P730">
        <v>25500</v>
      </c>
      <c r="Q730">
        <v>8</v>
      </c>
      <c r="R730">
        <v>4.9000000000000004</v>
      </c>
      <c r="S730">
        <v>1.3</v>
      </c>
      <c r="T730">
        <v>0</v>
      </c>
      <c r="U730">
        <v>1.9</v>
      </c>
      <c r="V730">
        <v>3.1</v>
      </c>
      <c r="W730">
        <v>2.9</v>
      </c>
      <c r="X730" t="s">
        <v>45</v>
      </c>
      <c r="Y730">
        <v>0</v>
      </c>
      <c r="Z730">
        <v>0</v>
      </c>
      <c r="AB730">
        <v>0</v>
      </c>
      <c r="AC730" t="s">
        <v>46</v>
      </c>
      <c r="AE730">
        <v>1</v>
      </c>
      <c r="AF730">
        <v>0</v>
      </c>
      <c r="AG730" t="s">
        <v>75</v>
      </c>
      <c r="AH730" t="s">
        <v>76</v>
      </c>
      <c r="AI730" t="s">
        <v>207</v>
      </c>
      <c r="AJ730" s="1" t="s">
        <v>259</v>
      </c>
      <c r="AK730" s="1" t="s">
        <v>105</v>
      </c>
      <c r="AL730">
        <v>0</v>
      </c>
    </row>
    <row r="731" spans="1:38" x14ac:dyDescent="0.35">
      <c r="A731" t="s">
        <v>934</v>
      </c>
      <c r="B731" t="s">
        <v>117</v>
      </c>
      <c r="C731" t="s">
        <v>118</v>
      </c>
      <c r="D731">
        <v>4.0999999999999996</v>
      </c>
      <c r="E731" t="s">
        <v>110</v>
      </c>
      <c r="F731">
        <v>34</v>
      </c>
      <c r="G731" t="s">
        <v>68</v>
      </c>
      <c r="H731" t="s">
        <v>63</v>
      </c>
      <c r="I731">
        <v>1</v>
      </c>
      <c r="J731">
        <v>15.5</v>
      </c>
      <c r="K731">
        <v>14</v>
      </c>
      <c r="L731">
        <v>2</v>
      </c>
      <c r="M731">
        <v>12</v>
      </c>
      <c r="N731">
        <v>0</v>
      </c>
      <c r="O731" t="s">
        <v>44</v>
      </c>
      <c r="P731">
        <v>57700</v>
      </c>
      <c r="Q731">
        <v>10</v>
      </c>
      <c r="R731">
        <v>2.5</v>
      </c>
      <c r="S731">
        <v>0.1</v>
      </c>
      <c r="T731">
        <v>0</v>
      </c>
      <c r="U731">
        <v>3.7</v>
      </c>
      <c r="V731">
        <v>4.3</v>
      </c>
      <c r="W731">
        <v>3.4</v>
      </c>
      <c r="X731" t="s">
        <v>45</v>
      </c>
      <c r="Y731">
        <v>0</v>
      </c>
      <c r="Z731">
        <v>0</v>
      </c>
      <c r="AB731">
        <v>1</v>
      </c>
      <c r="AC731" t="s">
        <v>46</v>
      </c>
      <c r="AE731">
        <v>1</v>
      </c>
      <c r="AF731">
        <v>0</v>
      </c>
      <c r="AG731" t="s">
        <v>75</v>
      </c>
      <c r="AH731" t="s">
        <v>76</v>
      </c>
      <c r="AI731" t="s">
        <v>49</v>
      </c>
      <c r="AJ731" s="1" t="s">
        <v>347</v>
      </c>
      <c r="AK731">
        <v>8.3333333333333301E-2</v>
      </c>
      <c r="AL731">
        <v>0</v>
      </c>
    </row>
    <row r="732" spans="1:38" x14ac:dyDescent="0.35">
      <c r="A732" t="s">
        <v>935</v>
      </c>
      <c r="B732" t="s">
        <v>98</v>
      </c>
      <c r="C732" t="s">
        <v>151</v>
      </c>
      <c r="D732">
        <v>2</v>
      </c>
      <c r="E732" t="s">
        <v>81</v>
      </c>
      <c r="F732">
        <v>21</v>
      </c>
      <c r="G732" t="s">
        <v>42</v>
      </c>
      <c r="H732" t="s">
        <v>69</v>
      </c>
      <c r="I732">
        <v>6</v>
      </c>
      <c r="J732">
        <v>3.5</v>
      </c>
      <c r="K732">
        <v>12</v>
      </c>
      <c r="L732">
        <v>4</v>
      </c>
      <c r="M732">
        <v>12</v>
      </c>
      <c r="N732">
        <v>0</v>
      </c>
      <c r="O732" t="s">
        <v>82</v>
      </c>
      <c r="P732">
        <v>24100</v>
      </c>
      <c r="Q732">
        <v>8.4</v>
      </c>
      <c r="R732">
        <v>3.2</v>
      </c>
      <c r="S732">
        <v>6.3</v>
      </c>
      <c r="T732">
        <v>0</v>
      </c>
      <c r="U732">
        <v>2.6</v>
      </c>
      <c r="V732">
        <v>3</v>
      </c>
      <c r="W732">
        <v>3.9</v>
      </c>
      <c r="X732" t="s">
        <v>45</v>
      </c>
      <c r="Y732">
        <v>0</v>
      </c>
      <c r="Z732">
        <v>0</v>
      </c>
      <c r="AB732">
        <v>0</v>
      </c>
      <c r="AC732" t="s">
        <v>46</v>
      </c>
      <c r="AE732">
        <v>1</v>
      </c>
      <c r="AF732">
        <v>0</v>
      </c>
      <c r="AG732" t="s">
        <v>75</v>
      </c>
      <c r="AH732" t="s">
        <v>48</v>
      </c>
      <c r="AI732" t="s">
        <v>64</v>
      </c>
      <c r="AJ732" s="1" t="s">
        <v>100</v>
      </c>
      <c r="AK732">
        <v>0.5</v>
      </c>
      <c r="AL732">
        <v>0</v>
      </c>
    </row>
    <row r="733" spans="1:38" x14ac:dyDescent="0.35">
      <c r="A733" t="s">
        <v>936</v>
      </c>
      <c r="B733" t="s">
        <v>73</v>
      </c>
      <c r="C733" t="s">
        <v>121</v>
      </c>
      <c r="D733">
        <v>2.2999999999999998</v>
      </c>
      <c r="E733" t="s">
        <v>110</v>
      </c>
      <c r="F733">
        <v>34</v>
      </c>
      <c r="G733" t="s">
        <v>42</v>
      </c>
      <c r="H733" t="s">
        <v>43</v>
      </c>
      <c r="I733">
        <v>2</v>
      </c>
      <c r="J733">
        <v>16.399999999999999</v>
      </c>
      <c r="K733">
        <v>8</v>
      </c>
      <c r="L733">
        <v>2</v>
      </c>
      <c r="M733">
        <v>12</v>
      </c>
      <c r="N733">
        <v>0</v>
      </c>
      <c r="O733" t="s">
        <v>70</v>
      </c>
      <c r="P733">
        <v>46400</v>
      </c>
      <c r="Q733">
        <v>10</v>
      </c>
      <c r="R733">
        <v>1.9</v>
      </c>
      <c r="S733">
        <v>1.5</v>
      </c>
      <c r="T733">
        <v>0</v>
      </c>
      <c r="U733">
        <v>3.7</v>
      </c>
      <c r="V733">
        <v>4</v>
      </c>
      <c r="W733">
        <v>2</v>
      </c>
      <c r="X733" t="s">
        <v>45</v>
      </c>
      <c r="Y733">
        <v>0</v>
      </c>
      <c r="Z733">
        <v>2</v>
      </c>
      <c r="AA733">
        <v>1.6</v>
      </c>
      <c r="AB733">
        <v>0</v>
      </c>
      <c r="AC733" t="s">
        <v>46</v>
      </c>
      <c r="AE733">
        <v>0</v>
      </c>
      <c r="AF733">
        <v>0</v>
      </c>
      <c r="AG733" t="s">
        <v>47</v>
      </c>
      <c r="AH733" t="s">
        <v>48</v>
      </c>
      <c r="AI733" t="s">
        <v>49</v>
      </c>
      <c r="AJ733" s="1" t="s">
        <v>198</v>
      </c>
      <c r="AK733" s="1" t="s">
        <v>84</v>
      </c>
      <c r="AL733">
        <v>0</v>
      </c>
    </row>
    <row r="734" spans="1:38" x14ac:dyDescent="0.35">
      <c r="A734" t="s">
        <v>937</v>
      </c>
      <c r="B734" t="s">
        <v>73</v>
      </c>
      <c r="C734" t="s">
        <v>74</v>
      </c>
      <c r="D734">
        <v>3.5</v>
      </c>
      <c r="E734" t="s">
        <v>41</v>
      </c>
      <c r="F734">
        <v>31</v>
      </c>
      <c r="G734" t="s">
        <v>42</v>
      </c>
      <c r="H734" t="s">
        <v>43</v>
      </c>
      <c r="I734">
        <v>5</v>
      </c>
      <c r="J734">
        <v>13.1</v>
      </c>
      <c r="K734">
        <v>8</v>
      </c>
      <c r="L734">
        <v>2</v>
      </c>
      <c r="M734">
        <v>12</v>
      </c>
      <c r="N734">
        <v>0</v>
      </c>
      <c r="O734" t="s">
        <v>44</v>
      </c>
      <c r="P734">
        <v>59400</v>
      </c>
      <c r="Q734">
        <v>5.6</v>
      </c>
      <c r="R734">
        <v>4.5</v>
      </c>
      <c r="S734">
        <v>0.9</v>
      </c>
      <c r="T734">
        <v>0</v>
      </c>
      <c r="U734">
        <v>3.8</v>
      </c>
      <c r="V734">
        <v>2.8</v>
      </c>
      <c r="W734">
        <v>2.7</v>
      </c>
      <c r="X734" t="s">
        <v>45</v>
      </c>
      <c r="Y734">
        <v>0</v>
      </c>
      <c r="Z734">
        <v>0</v>
      </c>
      <c r="AB734">
        <v>0</v>
      </c>
      <c r="AC734" t="s">
        <v>46</v>
      </c>
      <c r="AE734">
        <v>1</v>
      </c>
      <c r="AF734">
        <v>0</v>
      </c>
      <c r="AG734" t="s">
        <v>75</v>
      </c>
      <c r="AH734" t="s">
        <v>76</v>
      </c>
      <c r="AI734" t="s">
        <v>49</v>
      </c>
      <c r="AJ734">
        <v>3.1</v>
      </c>
      <c r="AK734" s="1" t="s">
        <v>127</v>
      </c>
      <c r="AL734">
        <v>0</v>
      </c>
    </row>
    <row r="735" spans="1:38" x14ac:dyDescent="0.35">
      <c r="A735" t="s">
        <v>938</v>
      </c>
      <c r="B735" t="s">
        <v>98</v>
      </c>
      <c r="C735" t="s">
        <v>939</v>
      </c>
      <c r="D735">
        <v>3.2</v>
      </c>
      <c r="E735" t="s">
        <v>62</v>
      </c>
      <c r="F735">
        <v>33</v>
      </c>
      <c r="G735" t="s">
        <v>42</v>
      </c>
      <c r="H735" t="s">
        <v>69</v>
      </c>
      <c r="I735">
        <v>6</v>
      </c>
      <c r="J735">
        <v>17.3</v>
      </c>
      <c r="K735">
        <v>7</v>
      </c>
      <c r="L735">
        <v>1</v>
      </c>
      <c r="M735">
        <v>12</v>
      </c>
      <c r="N735">
        <v>0</v>
      </c>
      <c r="O735" t="s">
        <v>56</v>
      </c>
      <c r="P735">
        <v>107600</v>
      </c>
      <c r="Q735">
        <v>2.2000000000000002</v>
      </c>
      <c r="R735">
        <v>3.2</v>
      </c>
      <c r="S735">
        <v>0.9</v>
      </c>
      <c r="T735">
        <v>0</v>
      </c>
      <c r="U735">
        <v>4.2</v>
      </c>
      <c r="V735">
        <v>1.1000000000000001</v>
      </c>
      <c r="W735">
        <v>3.7</v>
      </c>
      <c r="X735" t="s">
        <v>45</v>
      </c>
      <c r="Y735">
        <v>0</v>
      </c>
      <c r="Z735">
        <v>3</v>
      </c>
      <c r="AA735">
        <v>2.8</v>
      </c>
      <c r="AB735">
        <v>1</v>
      </c>
      <c r="AC735" t="s">
        <v>46</v>
      </c>
      <c r="AE735">
        <v>0</v>
      </c>
      <c r="AF735">
        <v>0</v>
      </c>
      <c r="AG735" t="s">
        <v>47</v>
      </c>
      <c r="AH735" t="s">
        <v>76</v>
      </c>
      <c r="AI735" t="s">
        <v>49</v>
      </c>
      <c r="AJ735">
        <v>3</v>
      </c>
      <c r="AK735">
        <v>0.5</v>
      </c>
      <c r="AL735">
        <v>0</v>
      </c>
    </row>
    <row r="736" spans="1:38" x14ac:dyDescent="0.35">
      <c r="A736" t="s">
        <v>940</v>
      </c>
      <c r="B736" t="s">
        <v>73</v>
      </c>
      <c r="C736" t="s">
        <v>113</v>
      </c>
      <c r="D736">
        <v>1.2</v>
      </c>
      <c r="E736" t="s">
        <v>81</v>
      </c>
      <c r="F736">
        <v>29</v>
      </c>
      <c r="G736" t="s">
        <v>68</v>
      </c>
      <c r="H736" t="s">
        <v>55</v>
      </c>
      <c r="I736">
        <v>4</v>
      </c>
      <c r="J736">
        <v>6.7</v>
      </c>
      <c r="K736">
        <v>9</v>
      </c>
      <c r="L736">
        <v>1</v>
      </c>
      <c r="M736">
        <v>12</v>
      </c>
      <c r="N736">
        <v>0</v>
      </c>
      <c r="O736" t="s">
        <v>82</v>
      </c>
      <c r="P736">
        <v>25100</v>
      </c>
      <c r="Q736">
        <v>7.8</v>
      </c>
      <c r="R736">
        <v>2.9</v>
      </c>
      <c r="S736">
        <v>2.5</v>
      </c>
      <c r="T736">
        <v>0</v>
      </c>
      <c r="U736">
        <v>3.5</v>
      </c>
      <c r="V736">
        <v>3</v>
      </c>
      <c r="W736">
        <v>4.7</v>
      </c>
      <c r="X736" t="s">
        <v>45</v>
      </c>
      <c r="Y736">
        <v>0</v>
      </c>
      <c r="Z736">
        <v>1</v>
      </c>
      <c r="AA736">
        <v>1.1000000000000001</v>
      </c>
      <c r="AB736">
        <v>1</v>
      </c>
      <c r="AC736" t="s">
        <v>124</v>
      </c>
      <c r="AD736" s="2">
        <v>46191</v>
      </c>
      <c r="AE736">
        <v>0</v>
      </c>
      <c r="AF736">
        <v>0</v>
      </c>
      <c r="AG736" t="s">
        <v>47</v>
      </c>
      <c r="AH736" t="s">
        <v>48</v>
      </c>
      <c r="AI736" t="s">
        <v>64</v>
      </c>
      <c r="AJ736" s="1" t="s">
        <v>114</v>
      </c>
      <c r="AK736" s="1" t="s">
        <v>115</v>
      </c>
      <c r="AL736">
        <v>1</v>
      </c>
    </row>
    <row r="737" spans="1:38" x14ac:dyDescent="0.35">
      <c r="A737" t="s">
        <v>941</v>
      </c>
      <c r="B737" t="s">
        <v>39</v>
      </c>
      <c r="C737" t="s">
        <v>88</v>
      </c>
      <c r="D737">
        <v>9.1</v>
      </c>
      <c r="E737" t="s">
        <v>62</v>
      </c>
      <c r="F737">
        <v>35</v>
      </c>
      <c r="G737" t="s">
        <v>42</v>
      </c>
      <c r="H737" t="s">
        <v>55</v>
      </c>
      <c r="I737">
        <v>1</v>
      </c>
      <c r="J737">
        <v>5.5</v>
      </c>
      <c r="K737">
        <v>14</v>
      </c>
      <c r="L737">
        <v>4</v>
      </c>
      <c r="M737">
        <v>12</v>
      </c>
      <c r="N737">
        <v>0</v>
      </c>
      <c r="O737" t="s">
        <v>293</v>
      </c>
      <c r="P737">
        <v>121100</v>
      </c>
      <c r="Q737">
        <v>3.9</v>
      </c>
      <c r="R737">
        <v>3.2</v>
      </c>
      <c r="S737">
        <v>0.3</v>
      </c>
      <c r="T737">
        <v>0</v>
      </c>
      <c r="U737">
        <v>4.3</v>
      </c>
      <c r="V737">
        <v>3.4</v>
      </c>
      <c r="W737">
        <v>3</v>
      </c>
      <c r="X737" t="s">
        <v>45</v>
      </c>
      <c r="Y737">
        <v>0</v>
      </c>
      <c r="Z737">
        <v>0</v>
      </c>
      <c r="AB737">
        <v>0</v>
      </c>
      <c r="AC737" t="s">
        <v>46</v>
      </c>
      <c r="AE737">
        <v>1</v>
      </c>
      <c r="AF737">
        <v>0</v>
      </c>
      <c r="AG737" t="s">
        <v>75</v>
      </c>
      <c r="AH737" t="s">
        <v>83</v>
      </c>
      <c r="AI737" t="s">
        <v>64</v>
      </c>
      <c r="AJ737" s="1" t="s">
        <v>126</v>
      </c>
      <c r="AK737">
        <v>8.3333333333333301E-2</v>
      </c>
      <c r="AL737">
        <v>0</v>
      </c>
    </row>
    <row r="738" spans="1:38" x14ac:dyDescent="0.35">
      <c r="A738" t="s">
        <v>942</v>
      </c>
      <c r="B738" t="s">
        <v>73</v>
      </c>
      <c r="C738" t="s">
        <v>121</v>
      </c>
      <c r="D738">
        <v>10</v>
      </c>
      <c r="E738" t="s">
        <v>81</v>
      </c>
      <c r="F738">
        <v>35</v>
      </c>
      <c r="G738" t="s">
        <v>42</v>
      </c>
      <c r="H738" t="s">
        <v>69</v>
      </c>
      <c r="I738">
        <v>1</v>
      </c>
      <c r="J738">
        <v>2.2999999999999998</v>
      </c>
      <c r="K738">
        <v>5</v>
      </c>
      <c r="L738">
        <v>3</v>
      </c>
      <c r="M738">
        <v>12</v>
      </c>
      <c r="N738">
        <v>0</v>
      </c>
      <c r="O738" t="s">
        <v>82</v>
      </c>
      <c r="P738">
        <v>29400</v>
      </c>
      <c r="Q738">
        <v>5.0999999999999996</v>
      </c>
      <c r="R738">
        <v>3.3</v>
      </c>
      <c r="S738">
        <v>4</v>
      </c>
      <c r="T738">
        <v>0</v>
      </c>
      <c r="U738">
        <v>4.5</v>
      </c>
      <c r="V738">
        <v>3.3</v>
      </c>
      <c r="W738">
        <v>4.7</v>
      </c>
      <c r="X738" t="s">
        <v>45</v>
      </c>
      <c r="Y738">
        <v>0</v>
      </c>
      <c r="Z738">
        <v>1</v>
      </c>
      <c r="AA738">
        <v>4.0999999999999996</v>
      </c>
      <c r="AB738">
        <v>0</v>
      </c>
      <c r="AC738" t="s">
        <v>46</v>
      </c>
      <c r="AE738">
        <v>0</v>
      </c>
      <c r="AF738">
        <v>0</v>
      </c>
      <c r="AG738" t="s">
        <v>47</v>
      </c>
      <c r="AH738" t="s">
        <v>83</v>
      </c>
      <c r="AI738" t="s">
        <v>64</v>
      </c>
      <c r="AJ738" s="1" t="s">
        <v>284</v>
      </c>
      <c r="AK738">
        <v>8.3333333333333301E-2</v>
      </c>
      <c r="AL738">
        <v>0</v>
      </c>
    </row>
    <row r="739" spans="1:38" x14ac:dyDescent="0.35">
      <c r="A739" t="s">
        <v>943</v>
      </c>
      <c r="B739" t="s">
        <v>98</v>
      </c>
      <c r="C739" t="s">
        <v>148</v>
      </c>
      <c r="D739">
        <v>8.9</v>
      </c>
      <c r="E739" t="s">
        <v>67</v>
      </c>
      <c r="F739">
        <v>36</v>
      </c>
      <c r="G739" t="s">
        <v>42</v>
      </c>
      <c r="H739" t="s">
        <v>43</v>
      </c>
      <c r="I739">
        <v>5</v>
      </c>
      <c r="J739">
        <v>7.7</v>
      </c>
      <c r="K739">
        <v>9</v>
      </c>
      <c r="L739">
        <v>3</v>
      </c>
      <c r="M739">
        <v>12</v>
      </c>
      <c r="N739">
        <v>0</v>
      </c>
      <c r="O739" t="s">
        <v>70</v>
      </c>
      <c r="P739">
        <v>42600</v>
      </c>
      <c r="Q739">
        <v>12.6</v>
      </c>
      <c r="R739">
        <v>2.5</v>
      </c>
      <c r="S739">
        <v>1.8</v>
      </c>
      <c r="T739">
        <v>0</v>
      </c>
      <c r="U739">
        <v>3.5</v>
      </c>
      <c r="V739">
        <v>3.3</v>
      </c>
      <c r="W739">
        <v>2.8</v>
      </c>
      <c r="X739" t="s">
        <v>45</v>
      </c>
      <c r="Y739">
        <v>0</v>
      </c>
      <c r="Z739">
        <v>0</v>
      </c>
      <c r="AB739">
        <v>0</v>
      </c>
      <c r="AC739" t="s">
        <v>46</v>
      </c>
      <c r="AE739">
        <v>1</v>
      </c>
      <c r="AF739">
        <v>0</v>
      </c>
      <c r="AG739" t="s">
        <v>75</v>
      </c>
      <c r="AH739" t="s">
        <v>83</v>
      </c>
      <c r="AI739" t="s">
        <v>64</v>
      </c>
      <c r="AJ739" s="1" t="s">
        <v>162</v>
      </c>
      <c r="AK739" s="1" t="s">
        <v>127</v>
      </c>
      <c r="AL739">
        <v>0</v>
      </c>
    </row>
    <row r="740" spans="1:38" x14ac:dyDescent="0.35">
      <c r="A740" t="s">
        <v>944</v>
      </c>
      <c r="B740" t="s">
        <v>98</v>
      </c>
      <c r="C740" t="s">
        <v>99</v>
      </c>
      <c r="D740">
        <v>10.199999999999999</v>
      </c>
      <c r="E740" t="s">
        <v>41</v>
      </c>
      <c r="F740">
        <v>35</v>
      </c>
      <c r="G740" t="s">
        <v>42</v>
      </c>
      <c r="H740" t="s">
        <v>94</v>
      </c>
      <c r="I740">
        <v>3</v>
      </c>
      <c r="J740">
        <v>22</v>
      </c>
      <c r="K740">
        <v>5</v>
      </c>
      <c r="L740">
        <v>4</v>
      </c>
      <c r="M740">
        <v>12</v>
      </c>
      <c r="N740">
        <v>0</v>
      </c>
      <c r="O740" t="s">
        <v>56</v>
      </c>
      <c r="P740">
        <v>82500</v>
      </c>
      <c r="Q740">
        <v>14.2</v>
      </c>
      <c r="R740">
        <v>4.3</v>
      </c>
      <c r="S740">
        <v>0.7</v>
      </c>
      <c r="T740">
        <v>0</v>
      </c>
      <c r="U740">
        <v>3.6</v>
      </c>
      <c r="V740">
        <v>2.7</v>
      </c>
      <c r="W740">
        <v>1</v>
      </c>
      <c r="X740" t="s">
        <v>45</v>
      </c>
      <c r="Y740">
        <v>0</v>
      </c>
      <c r="Z740">
        <v>2</v>
      </c>
      <c r="AA740">
        <v>8.1</v>
      </c>
      <c r="AB740">
        <v>0</v>
      </c>
      <c r="AC740" t="s">
        <v>46</v>
      </c>
      <c r="AE740">
        <v>0</v>
      </c>
      <c r="AF740">
        <v>0</v>
      </c>
      <c r="AG740" t="s">
        <v>47</v>
      </c>
      <c r="AH740" t="s">
        <v>83</v>
      </c>
      <c r="AI740" t="s">
        <v>57</v>
      </c>
      <c r="AJ740" s="1" t="s">
        <v>298</v>
      </c>
      <c r="AK740">
        <v>0.25</v>
      </c>
      <c r="AL740">
        <v>0</v>
      </c>
    </row>
    <row r="741" spans="1:38" x14ac:dyDescent="0.35">
      <c r="A741" t="s">
        <v>945</v>
      </c>
      <c r="B741" t="s">
        <v>98</v>
      </c>
      <c r="C741" t="s">
        <v>99</v>
      </c>
      <c r="D741">
        <v>14.8</v>
      </c>
      <c r="E741" t="s">
        <v>81</v>
      </c>
      <c r="F741">
        <v>44</v>
      </c>
      <c r="G741" t="s">
        <v>42</v>
      </c>
      <c r="H741" t="s">
        <v>94</v>
      </c>
      <c r="I741">
        <v>2</v>
      </c>
      <c r="J741">
        <v>26.5</v>
      </c>
      <c r="K741">
        <v>11</v>
      </c>
      <c r="L741">
        <v>2</v>
      </c>
      <c r="M741">
        <v>12</v>
      </c>
      <c r="N741">
        <v>0</v>
      </c>
      <c r="O741" t="s">
        <v>82</v>
      </c>
      <c r="P741">
        <v>26900</v>
      </c>
      <c r="Q741">
        <v>12.6</v>
      </c>
      <c r="R741">
        <v>3.8</v>
      </c>
      <c r="S741">
        <v>2.2000000000000002</v>
      </c>
      <c r="T741">
        <v>0</v>
      </c>
      <c r="U741">
        <v>3.3</v>
      </c>
      <c r="V741">
        <v>2.9</v>
      </c>
      <c r="W741">
        <v>4</v>
      </c>
      <c r="X741" t="s">
        <v>45</v>
      </c>
      <c r="Y741">
        <v>1</v>
      </c>
      <c r="Z741">
        <v>0</v>
      </c>
      <c r="AB741">
        <v>0</v>
      </c>
      <c r="AC741" t="s">
        <v>46</v>
      </c>
      <c r="AE741">
        <v>1</v>
      </c>
      <c r="AF741">
        <v>0</v>
      </c>
      <c r="AG741" t="s">
        <v>75</v>
      </c>
      <c r="AH741" t="s">
        <v>83</v>
      </c>
      <c r="AI741" t="s">
        <v>57</v>
      </c>
      <c r="AJ741">
        <v>3.4</v>
      </c>
      <c r="AK741" s="1" t="s">
        <v>84</v>
      </c>
      <c r="AL741">
        <v>0</v>
      </c>
    </row>
    <row r="742" spans="1:38" x14ac:dyDescent="0.35">
      <c r="A742" t="s">
        <v>946</v>
      </c>
      <c r="B742" t="s">
        <v>73</v>
      </c>
      <c r="C742" t="s">
        <v>177</v>
      </c>
      <c r="D742">
        <v>2</v>
      </c>
      <c r="E742" t="s">
        <v>81</v>
      </c>
      <c r="F742">
        <v>22</v>
      </c>
      <c r="G742" t="s">
        <v>42</v>
      </c>
      <c r="H742" t="s">
        <v>94</v>
      </c>
      <c r="I742">
        <v>2</v>
      </c>
      <c r="J742">
        <v>3.2</v>
      </c>
      <c r="K742">
        <v>11</v>
      </c>
      <c r="L742">
        <v>0</v>
      </c>
      <c r="M742">
        <v>12</v>
      </c>
      <c r="N742">
        <v>0</v>
      </c>
      <c r="O742" t="s">
        <v>82</v>
      </c>
      <c r="P742">
        <v>28700</v>
      </c>
      <c r="Q742">
        <v>11.8</v>
      </c>
      <c r="R742">
        <v>3.9</v>
      </c>
      <c r="S742">
        <v>2.6</v>
      </c>
      <c r="T742">
        <v>0</v>
      </c>
      <c r="U742">
        <v>2.4</v>
      </c>
      <c r="V742">
        <v>2.2000000000000002</v>
      </c>
      <c r="W742">
        <v>3.8</v>
      </c>
      <c r="X742" t="s">
        <v>45</v>
      </c>
      <c r="Y742">
        <v>0</v>
      </c>
      <c r="Z742">
        <v>0</v>
      </c>
      <c r="AB742">
        <v>0</v>
      </c>
      <c r="AC742" t="s">
        <v>46</v>
      </c>
      <c r="AE742">
        <v>1</v>
      </c>
      <c r="AF742">
        <v>0</v>
      </c>
      <c r="AG742" t="s">
        <v>75</v>
      </c>
      <c r="AH742" t="s">
        <v>48</v>
      </c>
      <c r="AI742" t="s">
        <v>64</v>
      </c>
      <c r="AJ742" s="1" t="s">
        <v>102</v>
      </c>
      <c r="AK742" s="1" t="s">
        <v>84</v>
      </c>
      <c r="AL742">
        <v>0</v>
      </c>
    </row>
    <row r="743" spans="1:38" x14ac:dyDescent="0.35">
      <c r="A743" t="s">
        <v>947</v>
      </c>
      <c r="B743" t="s">
        <v>73</v>
      </c>
      <c r="C743" t="s">
        <v>177</v>
      </c>
      <c r="D743">
        <v>14.4</v>
      </c>
      <c r="E743" t="s">
        <v>81</v>
      </c>
      <c r="F743">
        <v>38</v>
      </c>
      <c r="G743" t="s">
        <v>68</v>
      </c>
      <c r="H743" t="s">
        <v>55</v>
      </c>
      <c r="I743">
        <v>3</v>
      </c>
      <c r="J743">
        <v>9.6999999999999993</v>
      </c>
      <c r="K743">
        <v>4</v>
      </c>
      <c r="L743">
        <v>2</v>
      </c>
      <c r="M743">
        <v>12</v>
      </c>
      <c r="N743">
        <v>0</v>
      </c>
      <c r="O743" t="s">
        <v>82</v>
      </c>
      <c r="P743">
        <v>34600</v>
      </c>
      <c r="Q743">
        <v>8.1999999999999993</v>
      </c>
      <c r="R743">
        <v>2.6</v>
      </c>
      <c r="S743">
        <v>0.6</v>
      </c>
      <c r="T743">
        <v>0</v>
      </c>
      <c r="U743">
        <v>4.5</v>
      </c>
      <c r="V743">
        <v>1.4</v>
      </c>
      <c r="W743">
        <v>4</v>
      </c>
      <c r="X743" t="s">
        <v>45</v>
      </c>
      <c r="Y743">
        <v>0</v>
      </c>
      <c r="Z743">
        <v>2</v>
      </c>
      <c r="AA743">
        <v>9.1999999999999993</v>
      </c>
      <c r="AB743">
        <v>0</v>
      </c>
      <c r="AC743" t="s">
        <v>46</v>
      </c>
      <c r="AE743">
        <v>0</v>
      </c>
      <c r="AF743">
        <v>0</v>
      </c>
      <c r="AG743" t="s">
        <v>47</v>
      </c>
      <c r="AH743" t="s">
        <v>83</v>
      </c>
      <c r="AI743" t="s">
        <v>64</v>
      </c>
      <c r="AJ743" s="1" t="s">
        <v>71</v>
      </c>
      <c r="AK743">
        <v>0.25</v>
      </c>
      <c r="AL743">
        <v>0</v>
      </c>
    </row>
    <row r="744" spans="1:38" x14ac:dyDescent="0.35">
      <c r="A744" t="s">
        <v>948</v>
      </c>
      <c r="B744" t="s">
        <v>60</v>
      </c>
      <c r="C744" t="s">
        <v>61</v>
      </c>
      <c r="D744">
        <v>2.9</v>
      </c>
      <c r="E744" t="s">
        <v>67</v>
      </c>
      <c r="F744">
        <v>37</v>
      </c>
      <c r="G744" t="s">
        <v>42</v>
      </c>
      <c r="H744" t="s">
        <v>55</v>
      </c>
      <c r="I744">
        <v>4</v>
      </c>
      <c r="J744">
        <v>30.5</v>
      </c>
      <c r="K744">
        <v>10</v>
      </c>
      <c r="L744">
        <v>0</v>
      </c>
      <c r="M744">
        <v>12</v>
      </c>
      <c r="N744">
        <v>0</v>
      </c>
      <c r="O744" t="s">
        <v>70</v>
      </c>
      <c r="P744">
        <v>43800</v>
      </c>
      <c r="Q744">
        <v>12.1</v>
      </c>
      <c r="R744">
        <v>2.5</v>
      </c>
      <c r="S744">
        <v>2.1</v>
      </c>
      <c r="T744">
        <v>0</v>
      </c>
      <c r="U744">
        <v>3.8</v>
      </c>
      <c r="V744">
        <v>3.1</v>
      </c>
      <c r="W744">
        <v>4</v>
      </c>
      <c r="X744" t="s">
        <v>45</v>
      </c>
      <c r="Y744">
        <v>0</v>
      </c>
      <c r="Z744">
        <v>0</v>
      </c>
      <c r="AB744">
        <v>0</v>
      </c>
      <c r="AC744" t="s">
        <v>46</v>
      </c>
      <c r="AE744">
        <v>1</v>
      </c>
      <c r="AF744">
        <v>0</v>
      </c>
      <c r="AG744" t="s">
        <v>75</v>
      </c>
      <c r="AH744" t="s">
        <v>48</v>
      </c>
      <c r="AI744" t="s">
        <v>57</v>
      </c>
      <c r="AJ744" s="1" t="s">
        <v>190</v>
      </c>
      <c r="AK744" s="1" t="s">
        <v>115</v>
      </c>
      <c r="AL744">
        <v>0</v>
      </c>
    </row>
    <row r="745" spans="1:38" x14ac:dyDescent="0.35">
      <c r="A745" t="s">
        <v>949</v>
      </c>
      <c r="B745" t="s">
        <v>73</v>
      </c>
      <c r="C745" t="s">
        <v>74</v>
      </c>
      <c r="D745">
        <v>5.9</v>
      </c>
      <c r="E745" t="s">
        <v>41</v>
      </c>
      <c r="F745">
        <v>29</v>
      </c>
      <c r="G745" t="s">
        <v>42</v>
      </c>
      <c r="H745" t="s">
        <v>55</v>
      </c>
      <c r="I745">
        <v>3</v>
      </c>
      <c r="J745">
        <v>33.4</v>
      </c>
      <c r="K745">
        <v>8</v>
      </c>
      <c r="L745">
        <v>0</v>
      </c>
      <c r="M745">
        <v>12</v>
      </c>
      <c r="N745">
        <v>0</v>
      </c>
      <c r="O745" t="s">
        <v>44</v>
      </c>
      <c r="P745">
        <v>65600</v>
      </c>
      <c r="Q745">
        <v>9.4</v>
      </c>
      <c r="R745">
        <v>3.1</v>
      </c>
      <c r="S745">
        <v>1</v>
      </c>
      <c r="T745">
        <v>0</v>
      </c>
      <c r="U745">
        <v>3.9</v>
      </c>
      <c r="V745">
        <v>2.5</v>
      </c>
      <c r="W745">
        <v>3.6</v>
      </c>
      <c r="X745" t="s">
        <v>45</v>
      </c>
      <c r="Y745">
        <v>0</v>
      </c>
      <c r="Z745">
        <v>0</v>
      </c>
      <c r="AB745">
        <v>0</v>
      </c>
      <c r="AC745" t="s">
        <v>46</v>
      </c>
      <c r="AE745">
        <v>1</v>
      </c>
      <c r="AF745">
        <v>0</v>
      </c>
      <c r="AG745" t="s">
        <v>75</v>
      </c>
      <c r="AH745" t="s">
        <v>83</v>
      </c>
      <c r="AI745" t="s">
        <v>57</v>
      </c>
      <c r="AJ745" s="1" t="s">
        <v>90</v>
      </c>
      <c r="AK745">
        <v>0.25</v>
      </c>
      <c r="AL745">
        <v>0</v>
      </c>
    </row>
    <row r="746" spans="1:38" x14ac:dyDescent="0.35">
      <c r="A746" t="s">
        <v>950</v>
      </c>
      <c r="B746" t="s">
        <v>117</v>
      </c>
      <c r="C746" t="s">
        <v>197</v>
      </c>
      <c r="D746">
        <v>0.9</v>
      </c>
      <c r="E746" t="s">
        <v>81</v>
      </c>
      <c r="F746">
        <v>26</v>
      </c>
      <c r="G746" t="s">
        <v>42</v>
      </c>
      <c r="H746" t="s">
        <v>94</v>
      </c>
      <c r="I746">
        <v>1</v>
      </c>
      <c r="J746">
        <v>7.5</v>
      </c>
      <c r="K746">
        <v>7</v>
      </c>
      <c r="L746">
        <v>0</v>
      </c>
      <c r="M746">
        <v>12</v>
      </c>
      <c r="N746">
        <v>0</v>
      </c>
      <c r="O746" t="s">
        <v>82</v>
      </c>
      <c r="P746">
        <v>25300</v>
      </c>
      <c r="Q746">
        <v>15.8</v>
      </c>
      <c r="R746">
        <v>3.9</v>
      </c>
      <c r="S746">
        <v>1</v>
      </c>
      <c r="T746">
        <v>0</v>
      </c>
      <c r="U746">
        <v>2.8</v>
      </c>
      <c r="V746">
        <v>4.2</v>
      </c>
      <c r="W746">
        <v>3.2</v>
      </c>
      <c r="X746" t="s">
        <v>45</v>
      </c>
      <c r="Y746">
        <v>0</v>
      </c>
      <c r="Z746">
        <v>0</v>
      </c>
      <c r="AB746">
        <v>0</v>
      </c>
      <c r="AC746" t="s">
        <v>46</v>
      </c>
      <c r="AE746">
        <v>1</v>
      </c>
      <c r="AF746">
        <v>0</v>
      </c>
      <c r="AG746" t="s">
        <v>75</v>
      </c>
      <c r="AH746" t="s">
        <v>95</v>
      </c>
      <c r="AI746" t="s">
        <v>64</v>
      </c>
      <c r="AJ746">
        <v>3.4</v>
      </c>
      <c r="AK746">
        <v>8.3333333333333301E-2</v>
      </c>
      <c r="AL746">
        <v>0</v>
      </c>
    </row>
    <row r="747" spans="1:38" x14ac:dyDescent="0.35">
      <c r="A747" t="s">
        <v>951</v>
      </c>
      <c r="B747" t="s">
        <v>52</v>
      </c>
      <c r="C747" t="s">
        <v>93</v>
      </c>
      <c r="D747">
        <v>2.6</v>
      </c>
      <c r="E747" t="s">
        <v>81</v>
      </c>
      <c r="F747">
        <v>25</v>
      </c>
      <c r="G747" t="s">
        <v>42</v>
      </c>
      <c r="H747" t="s">
        <v>63</v>
      </c>
      <c r="I747">
        <v>4</v>
      </c>
      <c r="J747">
        <v>23.5</v>
      </c>
      <c r="K747">
        <v>7</v>
      </c>
      <c r="L747">
        <v>3</v>
      </c>
      <c r="M747">
        <v>12</v>
      </c>
      <c r="N747">
        <v>0</v>
      </c>
      <c r="O747" t="s">
        <v>82</v>
      </c>
      <c r="P747">
        <v>30500</v>
      </c>
      <c r="Q747">
        <v>4.3</v>
      </c>
      <c r="R747">
        <v>3.7</v>
      </c>
      <c r="S747">
        <v>1.1000000000000001</v>
      </c>
      <c r="T747">
        <v>0</v>
      </c>
      <c r="U747">
        <v>4.8</v>
      </c>
      <c r="V747">
        <v>1.2</v>
      </c>
      <c r="W747">
        <v>3.2</v>
      </c>
      <c r="X747" t="s">
        <v>45</v>
      </c>
      <c r="Y747">
        <v>0</v>
      </c>
      <c r="Z747">
        <v>1</v>
      </c>
      <c r="AA747">
        <v>2.4</v>
      </c>
      <c r="AB747">
        <v>0</v>
      </c>
      <c r="AC747" t="s">
        <v>46</v>
      </c>
      <c r="AE747">
        <v>0</v>
      </c>
      <c r="AF747">
        <v>0</v>
      </c>
      <c r="AG747" t="s">
        <v>47</v>
      </c>
      <c r="AH747" t="s">
        <v>48</v>
      </c>
      <c r="AI747" t="s">
        <v>57</v>
      </c>
      <c r="AJ747" s="1" t="s">
        <v>159</v>
      </c>
      <c r="AK747" s="1" t="s">
        <v>115</v>
      </c>
      <c r="AL747">
        <v>0</v>
      </c>
    </row>
    <row r="748" spans="1:38" x14ac:dyDescent="0.35">
      <c r="A748" t="s">
        <v>952</v>
      </c>
      <c r="B748" t="s">
        <v>98</v>
      </c>
      <c r="C748" t="s">
        <v>148</v>
      </c>
      <c r="D748">
        <v>7.4</v>
      </c>
      <c r="E748" t="s">
        <v>110</v>
      </c>
      <c r="F748">
        <v>35</v>
      </c>
      <c r="G748" t="s">
        <v>68</v>
      </c>
      <c r="H748" t="s">
        <v>63</v>
      </c>
      <c r="I748">
        <v>2</v>
      </c>
      <c r="J748">
        <v>20.7</v>
      </c>
      <c r="K748">
        <v>13</v>
      </c>
      <c r="L748">
        <v>6</v>
      </c>
      <c r="M748">
        <v>12</v>
      </c>
      <c r="N748">
        <v>0</v>
      </c>
      <c r="O748" t="s">
        <v>44</v>
      </c>
      <c r="P748">
        <v>65700</v>
      </c>
      <c r="Q748">
        <v>10.7</v>
      </c>
      <c r="R748">
        <v>2.5</v>
      </c>
      <c r="S748">
        <v>0</v>
      </c>
      <c r="T748">
        <v>0</v>
      </c>
      <c r="U748">
        <v>3.1</v>
      </c>
      <c r="V748">
        <v>3.5</v>
      </c>
      <c r="W748">
        <v>3</v>
      </c>
      <c r="X748" t="s">
        <v>45</v>
      </c>
      <c r="Y748">
        <v>0</v>
      </c>
      <c r="Z748">
        <v>0</v>
      </c>
      <c r="AB748">
        <v>1</v>
      </c>
      <c r="AC748" t="s">
        <v>46</v>
      </c>
      <c r="AE748">
        <v>1</v>
      </c>
      <c r="AF748">
        <v>0</v>
      </c>
      <c r="AG748" t="s">
        <v>75</v>
      </c>
      <c r="AH748" t="s">
        <v>83</v>
      </c>
      <c r="AI748" t="s">
        <v>57</v>
      </c>
      <c r="AJ748" s="1" t="s">
        <v>162</v>
      </c>
      <c r="AK748" s="1" t="s">
        <v>84</v>
      </c>
      <c r="AL748">
        <v>0</v>
      </c>
    </row>
    <row r="749" spans="1:38" x14ac:dyDescent="0.35">
      <c r="A749" t="s">
        <v>953</v>
      </c>
      <c r="B749" t="s">
        <v>52</v>
      </c>
      <c r="C749" t="s">
        <v>153</v>
      </c>
      <c r="D749">
        <v>6.1</v>
      </c>
      <c r="E749" t="s">
        <v>67</v>
      </c>
      <c r="F749">
        <v>29</v>
      </c>
      <c r="G749" t="s">
        <v>68</v>
      </c>
      <c r="H749" t="s">
        <v>55</v>
      </c>
      <c r="I749">
        <v>2</v>
      </c>
      <c r="J749">
        <v>19.5</v>
      </c>
      <c r="K749">
        <v>5</v>
      </c>
      <c r="L749">
        <v>3</v>
      </c>
      <c r="M749">
        <v>12</v>
      </c>
      <c r="N749">
        <v>0</v>
      </c>
      <c r="O749" t="s">
        <v>70</v>
      </c>
      <c r="P749">
        <v>37500</v>
      </c>
      <c r="Q749">
        <v>2.9</v>
      </c>
      <c r="R749">
        <v>3.8</v>
      </c>
      <c r="S749">
        <v>3.2</v>
      </c>
      <c r="T749">
        <v>0</v>
      </c>
      <c r="U749">
        <v>2.6</v>
      </c>
      <c r="V749">
        <v>5</v>
      </c>
      <c r="W749">
        <v>3.4</v>
      </c>
      <c r="X749" t="s">
        <v>45</v>
      </c>
      <c r="Y749">
        <v>1</v>
      </c>
      <c r="Z749">
        <v>1</v>
      </c>
      <c r="AA749">
        <v>4.2</v>
      </c>
      <c r="AB749">
        <v>0</v>
      </c>
      <c r="AC749" t="s">
        <v>46</v>
      </c>
      <c r="AE749">
        <v>0</v>
      </c>
      <c r="AF749">
        <v>0</v>
      </c>
      <c r="AG749" t="s">
        <v>47</v>
      </c>
      <c r="AH749" t="s">
        <v>83</v>
      </c>
      <c r="AI749" t="s">
        <v>49</v>
      </c>
      <c r="AJ749" s="1" t="s">
        <v>266</v>
      </c>
      <c r="AK749" s="1" t="s">
        <v>84</v>
      </c>
      <c r="AL749">
        <v>0</v>
      </c>
    </row>
    <row r="750" spans="1:38" x14ac:dyDescent="0.35">
      <c r="A750" t="s">
        <v>954</v>
      </c>
      <c r="B750" t="s">
        <v>39</v>
      </c>
      <c r="C750" t="s">
        <v>66</v>
      </c>
      <c r="D750">
        <v>2.8</v>
      </c>
      <c r="E750" t="s">
        <v>110</v>
      </c>
      <c r="F750">
        <v>28</v>
      </c>
      <c r="G750" t="s">
        <v>54</v>
      </c>
      <c r="H750" t="s">
        <v>94</v>
      </c>
      <c r="I750">
        <v>3</v>
      </c>
      <c r="J750">
        <v>1.6</v>
      </c>
      <c r="K750">
        <v>6</v>
      </c>
      <c r="L750">
        <v>1</v>
      </c>
      <c r="M750">
        <v>12</v>
      </c>
      <c r="N750">
        <v>0</v>
      </c>
      <c r="O750" t="s">
        <v>70</v>
      </c>
      <c r="P750">
        <v>44800</v>
      </c>
      <c r="Q750">
        <v>10.7</v>
      </c>
      <c r="R750">
        <v>2.2999999999999998</v>
      </c>
      <c r="S750">
        <v>1</v>
      </c>
      <c r="T750">
        <v>0</v>
      </c>
      <c r="U750">
        <v>2.8</v>
      </c>
      <c r="V750">
        <v>3</v>
      </c>
      <c r="W750">
        <v>2</v>
      </c>
      <c r="X750" t="s">
        <v>45</v>
      </c>
      <c r="Y750">
        <v>0</v>
      </c>
      <c r="Z750">
        <v>0</v>
      </c>
      <c r="AB750">
        <v>0</v>
      </c>
      <c r="AC750" t="s">
        <v>124</v>
      </c>
      <c r="AD750" s="2">
        <v>45359</v>
      </c>
      <c r="AE750">
        <v>1</v>
      </c>
      <c r="AF750">
        <v>0</v>
      </c>
      <c r="AG750" t="s">
        <v>75</v>
      </c>
      <c r="AH750" t="s">
        <v>48</v>
      </c>
      <c r="AI750" t="s">
        <v>64</v>
      </c>
      <c r="AJ750">
        <v>2.6</v>
      </c>
      <c r="AK750">
        <v>0.25</v>
      </c>
      <c r="AL750">
        <v>1</v>
      </c>
    </row>
    <row r="751" spans="1:38" x14ac:dyDescent="0.35">
      <c r="A751" t="s">
        <v>955</v>
      </c>
      <c r="B751" t="s">
        <v>60</v>
      </c>
      <c r="C751" t="s">
        <v>107</v>
      </c>
      <c r="D751">
        <v>4.0999999999999996</v>
      </c>
      <c r="E751" t="s">
        <v>62</v>
      </c>
      <c r="F751">
        <v>33</v>
      </c>
      <c r="G751" t="s">
        <v>234</v>
      </c>
      <c r="H751" t="s">
        <v>43</v>
      </c>
      <c r="I751">
        <v>1</v>
      </c>
      <c r="J751">
        <v>5.9</v>
      </c>
      <c r="K751">
        <v>8</v>
      </c>
      <c r="L751">
        <v>2</v>
      </c>
      <c r="M751">
        <v>12</v>
      </c>
      <c r="N751">
        <v>0</v>
      </c>
      <c r="O751" t="s">
        <v>56</v>
      </c>
      <c r="P751">
        <v>94300</v>
      </c>
      <c r="Q751">
        <v>1.1000000000000001</v>
      </c>
      <c r="R751">
        <v>2.6</v>
      </c>
      <c r="S751">
        <v>1</v>
      </c>
      <c r="T751">
        <v>0</v>
      </c>
      <c r="U751">
        <v>4.7</v>
      </c>
      <c r="V751">
        <v>3.2</v>
      </c>
      <c r="W751">
        <v>2.4</v>
      </c>
      <c r="X751" t="s">
        <v>45</v>
      </c>
      <c r="Y751">
        <v>0</v>
      </c>
      <c r="Z751">
        <v>0</v>
      </c>
      <c r="AB751">
        <v>0</v>
      </c>
      <c r="AC751" t="s">
        <v>46</v>
      </c>
      <c r="AE751">
        <v>1</v>
      </c>
      <c r="AF751">
        <v>0</v>
      </c>
      <c r="AG751" t="s">
        <v>75</v>
      </c>
      <c r="AH751" t="s">
        <v>76</v>
      </c>
      <c r="AI751" t="s">
        <v>64</v>
      </c>
      <c r="AJ751" s="1" t="s">
        <v>174</v>
      </c>
      <c r="AK751">
        <v>8.3333333333333301E-2</v>
      </c>
      <c r="AL751">
        <v>0</v>
      </c>
    </row>
    <row r="752" spans="1:38" x14ac:dyDescent="0.35">
      <c r="A752" t="s">
        <v>956</v>
      </c>
      <c r="B752" t="s">
        <v>98</v>
      </c>
      <c r="C752" t="s">
        <v>148</v>
      </c>
      <c r="D752">
        <v>2.4</v>
      </c>
      <c r="E752" t="s">
        <v>110</v>
      </c>
      <c r="F752">
        <v>26</v>
      </c>
      <c r="G752" t="s">
        <v>68</v>
      </c>
      <c r="H752" t="s">
        <v>94</v>
      </c>
      <c r="I752">
        <v>3</v>
      </c>
      <c r="J752">
        <v>8.8000000000000007</v>
      </c>
      <c r="K752">
        <v>6</v>
      </c>
      <c r="L752">
        <v>2</v>
      </c>
      <c r="M752">
        <v>12</v>
      </c>
      <c r="N752">
        <v>0</v>
      </c>
      <c r="O752" t="s">
        <v>70</v>
      </c>
      <c r="P752">
        <v>46000</v>
      </c>
      <c r="Q752">
        <v>3.1</v>
      </c>
      <c r="R752">
        <v>3.3</v>
      </c>
      <c r="S752">
        <v>3.6</v>
      </c>
      <c r="T752">
        <v>0</v>
      </c>
      <c r="U752">
        <v>2.2999999999999998</v>
      </c>
      <c r="V752">
        <v>3.6</v>
      </c>
      <c r="W752">
        <v>3.3</v>
      </c>
      <c r="X752" t="s">
        <v>45</v>
      </c>
      <c r="Y752">
        <v>0</v>
      </c>
      <c r="Z752">
        <v>2</v>
      </c>
      <c r="AA752">
        <v>1.7</v>
      </c>
      <c r="AB752">
        <v>2</v>
      </c>
      <c r="AC752" t="s">
        <v>46</v>
      </c>
      <c r="AE752">
        <v>0</v>
      </c>
      <c r="AF752">
        <v>0</v>
      </c>
      <c r="AG752" t="s">
        <v>47</v>
      </c>
      <c r="AH752" t="s">
        <v>48</v>
      </c>
      <c r="AI752" t="s">
        <v>64</v>
      </c>
      <c r="AJ752" s="1" t="s">
        <v>159</v>
      </c>
      <c r="AK752">
        <v>0.25</v>
      </c>
      <c r="AL752">
        <v>0</v>
      </c>
    </row>
    <row r="753" spans="1:38" x14ac:dyDescent="0.35">
      <c r="A753" t="s">
        <v>957</v>
      </c>
      <c r="B753" t="s">
        <v>98</v>
      </c>
      <c r="C753" t="s">
        <v>148</v>
      </c>
      <c r="D753">
        <v>7.4</v>
      </c>
      <c r="E753" t="s">
        <v>41</v>
      </c>
      <c r="F753">
        <v>37</v>
      </c>
      <c r="G753" t="s">
        <v>42</v>
      </c>
      <c r="H753" t="s">
        <v>43</v>
      </c>
      <c r="I753">
        <v>4</v>
      </c>
      <c r="J753">
        <v>8.6</v>
      </c>
      <c r="K753">
        <v>8</v>
      </c>
      <c r="L753">
        <v>3</v>
      </c>
      <c r="M753">
        <v>12</v>
      </c>
      <c r="N753">
        <v>0</v>
      </c>
      <c r="O753" t="s">
        <v>56</v>
      </c>
      <c r="P753">
        <v>79300</v>
      </c>
      <c r="Q753">
        <v>2.9</v>
      </c>
      <c r="R753">
        <v>2.1</v>
      </c>
      <c r="S753">
        <v>1.9</v>
      </c>
      <c r="T753">
        <v>0</v>
      </c>
      <c r="U753">
        <v>2.6</v>
      </c>
      <c r="V753">
        <v>3.7</v>
      </c>
      <c r="W753">
        <v>1.6</v>
      </c>
      <c r="X753" t="s">
        <v>45</v>
      </c>
      <c r="Y753">
        <v>0</v>
      </c>
      <c r="Z753">
        <v>0</v>
      </c>
      <c r="AB753">
        <v>0</v>
      </c>
      <c r="AC753" t="s">
        <v>46</v>
      </c>
      <c r="AE753">
        <v>1</v>
      </c>
      <c r="AF753">
        <v>0</v>
      </c>
      <c r="AG753" t="s">
        <v>75</v>
      </c>
      <c r="AH753" t="s">
        <v>83</v>
      </c>
      <c r="AI753" t="s">
        <v>64</v>
      </c>
      <c r="AJ753" s="1" t="s">
        <v>259</v>
      </c>
      <c r="AK753" s="1" t="s">
        <v>115</v>
      </c>
      <c r="AL753">
        <v>0</v>
      </c>
    </row>
    <row r="754" spans="1:38" x14ac:dyDescent="0.35">
      <c r="A754" t="s">
        <v>958</v>
      </c>
      <c r="B754" t="s">
        <v>98</v>
      </c>
      <c r="C754" t="s">
        <v>99</v>
      </c>
      <c r="D754">
        <v>9.5</v>
      </c>
      <c r="E754" t="s">
        <v>67</v>
      </c>
      <c r="F754">
        <v>39</v>
      </c>
      <c r="G754" t="s">
        <v>42</v>
      </c>
      <c r="H754" t="s">
        <v>55</v>
      </c>
      <c r="I754">
        <v>6</v>
      </c>
      <c r="J754">
        <v>9.6</v>
      </c>
      <c r="K754">
        <v>10</v>
      </c>
      <c r="L754">
        <v>2</v>
      </c>
      <c r="M754">
        <v>12</v>
      </c>
      <c r="N754">
        <v>0</v>
      </c>
      <c r="O754" t="s">
        <v>70</v>
      </c>
      <c r="P754">
        <v>36800</v>
      </c>
      <c r="Q754">
        <v>9</v>
      </c>
      <c r="R754">
        <v>2.2999999999999998</v>
      </c>
      <c r="S754">
        <v>0.6</v>
      </c>
      <c r="T754">
        <v>0</v>
      </c>
      <c r="U754">
        <v>5</v>
      </c>
      <c r="V754">
        <v>2.8</v>
      </c>
      <c r="W754">
        <v>1.8</v>
      </c>
      <c r="X754" t="s">
        <v>89</v>
      </c>
      <c r="Y754">
        <v>0</v>
      </c>
      <c r="Z754">
        <v>1</v>
      </c>
      <c r="AA754">
        <v>3.6</v>
      </c>
      <c r="AB754">
        <v>0</v>
      </c>
      <c r="AC754" t="s">
        <v>46</v>
      </c>
      <c r="AE754">
        <v>0</v>
      </c>
      <c r="AF754">
        <v>0</v>
      </c>
      <c r="AG754" t="s">
        <v>47</v>
      </c>
      <c r="AH754" t="s">
        <v>83</v>
      </c>
      <c r="AI754" t="s">
        <v>64</v>
      </c>
      <c r="AJ754" s="1" t="s">
        <v>162</v>
      </c>
      <c r="AK754">
        <v>0.5</v>
      </c>
      <c r="AL754">
        <v>0</v>
      </c>
    </row>
    <row r="755" spans="1:38" x14ac:dyDescent="0.35">
      <c r="A755" t="s">
        <v>959</v>
      </c>
      <c r="B755" t="s">
        <v>52</v>
      </c>
      <c r="C755" t="s">
        <v>93</v>
      </c>
      <c r="D755">
        <v>2</v>
      </c>
      <c r="E755" t="s">
        <v>41</v>
      </c>
      <c r="F755">
        <v>32</v>
      </c>
      <c r="G755" t="s">
        <v>42</v>
      </c>
      <c r="H755" t="s">
        <v>55</v>
      </c>
      <c r="I755">
        <v>5</v>
      </c>
      <c r="J755">
        <v>36</v>
      </c>
      <c r="K755">
        <v>8</v>
      </c>
      <c r="L755">
        <v>4</v>
      </c>
      <c r="M755">
        <v>12</v>
      </c>
      <c r="N755">
        <v>0</v>
      </c>
      <c r="O755" t="s">
        <v>56</v>
      </c>
      <c r="P755">
        <v>78200</v>
      </c>
      <c r="Q755">
        <v>9.4</v>
      </c>
      <c r="R755">
        <v>4.5999999999999996</v>
      </c>
      <c r="S755">
        <v>1.7</v>
      </c>
      <c r="T755">
        <v>0</v>
      </c>
      <c r="U755">
        <v>4.0999999999999996</v>
      </c>
      <c r="V755">
        <v>2.2999999999999998</v>
      </c>
      <c r="W755">
        <v>3.1</v>
      </c>
      <c r="X755" t="s">
        <v>45</v>
      </c>
      <c r="Y755">
        <v>0</v>
      </c>
      <c r="Z755">
        <v>2</v>
      </c>
      <c r="AA755">
        <v>0.2</v>
      </c>
      <c r="AB755">
        <v>1</v>
      </c>
      <c r="AC755" t="s">
        <v>46</v>
      </c>
      <c r="AE755">
        <v>0</v>
      </c>
      <c r="AF755">
        <v>0</v>
      </c>
      <c r="AG755" t="s">
        <v>47</v>
      </c>
      <c r="AH755" t="s">
        <v>48</v>
      </c>
      <c r="AI755" t="s">
        <v>57</v>
      </c>
      <c r="AJ755" s="1" t="s">
        <v>100</v>
      </c>
      <c r="AK755" s="1" t="s">
        <v>127</v>
      </c>
      <c r="AL755">
        <v>0</v>
      </c>
    </row>
    <row r="756" spans="1:38" x14ac:dyDescent="0.35">
      <c r="A756" t="s">
        <v>960</v>
      </c>
      <c r="B756" t="s">
        <v>39</v>
      </c>
      <c r="C756" t="s">
        <v>40</v>
      </c>
      <c r="D756">
        <v>3.8</v>
      </c>
      <c r="E756" t="s">
        <v>81</v>
      </c>
      <c r="F756">
        <v>30</v>
      </c>
      <c r="G756" t="s">
        <v>68</v>
      </c>
      <c r="H756" t="s">
        <v>63</v>
      </c>
      <c r="I756">
        <v>2</v>
      </c>
      <c r="J756">
        <v>7.7</v>
      </c>
      <c r="K756">
        <v>8</v>
      </c>
      <c r="L756">
        <v>1</v>
      </c>
      <c r="M756">
        <v>12</v>
      </c>
      <c r="N756">
        <v>0</v>
      </c>
      <c r="O756" t="s">
        <v>82</v>
      </c>
      <c r="P756">
        <v>29500</v>
      </c>
      <c r="Q756">
        <v>17.8</v>
      </c>
      <c r="R756">
        <v>4.4000000000000004</v>
      </c>
      <c r="S756">
        <v>2</v>
      </c>
      <c r="T756">
        <v>0</v>
      </c>
      <c r="U756">
        <v>2.6</v>
      </c>
      <c r="V756">
        <v>3.8</v>
      </c>
      <c r="W756">
        <v>3.3</v>
      </c>
      <c r="X756" t="s">
        <v>45</v>
      </c>
      <c r="Y756">
        <v>0</v>
      </c>
      <c r="Z756">
        <v>2</v>
      </c>
      <c r="AA756">
        <v>3.1</v>
      </c>
      <c r="AB756">
        <v>0</v>
      </c>
      <c r="AC756" t="s">
        <v>46</v>
      </c>
      <c r="AE756">
        <v>0</v>
      </c>
      <c r="AF756">
        <v>0</v>
      </c>
      <c r="AG756" t="s">
        <v>47</v>
      </c>
      <c r="AH756" t="s">
        <v>76</v>
      </c>
      <c r="AI756" t="s">
        <v>64</v>
      </c>
      <c r="AJ756" s="1" t="s">
        <v>198</v>
      </c>
      <c r="AK756" s="1" t="s">
        <v>84</v>
      </c>
      <c r="AL756">
        <v>0</v>
      </c>
    </row>
    <row r="757" spans="1:38" x14ac:dyDescent="0.35">
      <c r="A757" t="s">
        <v>961</v>
      </c>
      <c r="B757" t="s">
        <v>73</v>
      </c>
      <c r="C757" t="s">
        <v>74</v>
      </c>
      <c r="D757">
        <v>1.1000000000000001</v>
      </c>
      <c r="E757" t="s">
        <v>81</v>
      </c>
      <c r="F757">
        <v>40</v>
      </c>
      <c r="G757" t="s">
        <v>42</v>
      </c>
      <c r="H757" t="s">
        <v>43</v>
      </c>
      <c r="I757">
        <v>4</v>
      </c>
      <c r="J757">
        <v>13.6</v>
      </c>
      <c r="K757">
        <v>10</v>
      </c>
      <c r="L757">
        <v>1</v>
      </c>
      <c r="M757">
        <v>12</v>
      </c>
      <c r="N757">
        <v>0</v>
      </c>
      <c r="O757" t="s">
        <v>82</v>
      </c>
      <c r="P757">
        <v>31400</v>
      </c>
      <c r="Q757">
        <v>7.6</v>
      </c>
      <c r="R757">
        <v>5</v>
      </c>
      <c r="S757">
        <v>1.1000000000000001</v>
      </c>
      <c r="T757">
        <v>0</v>
      </c>
      <c r="U757">
        <v>2.2999999999999998</v>
      </c>
      <c r="V757">
        <v>1.5</v>
      </c>
      <c r="W757">
        <v>3.1</v>
      </c>
      <c r="X757" t="s">
        <v>45</v>
      </c>
      <c r="Y757">
        <v>0</v>
      </c>
      <c r="Z757">
        <v>0</v>
      </c>
      <c r="AB757">
        <v>0</v>
      </c>
      <c r="AC757" t="s">
        <v>46</v>
      </c>
      <c r="AE757">
        <v>1</v>
      </c>
      <c r="AF757">
        <v>0</v>
      </c>
      <c r="AG757" t="s">
        <v>75</v>
      </c>
      <c r="AH757" t="s">
        <v>48</v>
      </c>
      <c r="AI757" t="s">
        <v>49</v>
      </c>
      <c r="AJ757" s="1" t="s">
        <v>319</v>
      </c>
      <c r="AK757" s="1" t="s">
        <v>115</v>
      </c>
      <c r="AL757">
        <v>0</v>
      </c>
    </row>
    <row r="758" spans="1:38" x14ac:dyDescent="0.35">
      <c r="A758" t="s">
        <v>962</v>
      </c>
      <c r="B758" t="s">
        <v>98</v>
      </c>
      <c r="C758" t="s">
        <v>151</v>
      </c>
      <c r="D758">
        <v>4.5</v>
      </c>
      <c r="E758" t="s">
        <v>110</v>
      </c>
      <c r="F758">
        <v>35</v>
      </c>
      <c r="G758" t="s">
        <v>42</v>
      </c>
      <c r="H758" t="s">
        <v>55</v>
      </c>
      <c r="I758">
        <v>3</v>
      </c>
      <c r="J758">
        <v>13.3</v>
      </c>
      <c r="K758">
        <v>12</v>
      </c>
      <c r="L758">
        <v>2</v>
      </c>
      <c r="M758">
        <v>12</v>
      </c>
      <c r="N758">
        <v>0</v>
      </c>
      <c r="O758" t="s">
        <v>70</v>
      </c>
      <c r="P758">
        <v>38300</v>
      </c>
      <c r="Q758">
        <v>11.1</v>
      </c>
      <c r="R758">
        <v>3.6</v>
      </c>
      <c r="S758">
        <v>5.0999999999999996</v>
      </c>
      <c r="T758">
        <v>0</v>
      </c>
      <c r="U758">
        <v>1.8</v>
      </c>
      <c r="V758">
        <v>3.9</v>
      </c>
      <c r="W758">
        <v>1.5</v>
      </c>
      <c r="X758" t="s">
        <v>45</v>
      </c>
      <c r="Y758">
        <v>0</v>
      </c>
      <c r="Z758">
        <v>2</v>
      </c>
      <c r="AA758">
        <v>0.6</v>
      </c>
      <c r="AB758">
        <v>0</v>
      </c>
      <c r="AC758" t="s">
        <v>46</v>
      </c>
      <c r="AE758">
        <v>0</v>
      </c>
      <c r="AF758">
        <v>0</v>
      </c>
      <c r="AG758" t="s">
        <v>47</v>
      </c>
      <c r="AH758" t="s">
        <v>76</v>
      </c>
      <c r="AI758" t="s">
        <v>49</v>
      </c>
      <c r="AJ758">
        <v>2.4</v>
      </c>
      <c r="AK758">
        <v>0.25</v>
      </c>
      <c r="AL758">
        <v>0</v>
      </c>
    </row>
    <row r="759" spans="1:38" x14ac:dyDescent="0.35">
      <c r="A759" t="s">
        <v>963</v>
      </c>
      <c r="B759" t="s">
        <v>60</v>
      </c>
      <c r="C759" t="s">
        <v>61</v>
      </c>
      <c r="D759">
        <v>5.5</v>
      </c>
      <c r="E759" t="s">
        <v>81</v>
      </c>
      <c r="F759">
        <v>33</v>
      </c>
      <c r="G759" t="s">
        <v>68</v>
      </c>
      <c r="H759" t="s">
        <v>55</v>
      </c>
      <c r="I759">
        <v>2</v>
      </c>
      <c r="J759">
        <v>9.6999999999999993</v>
      </c>
      <c r="K759">
        <v>4</v>
      </c>
      <c r="L759">
        <v>2</v>
      </c>
      <c r="M759">
        <v>12</v>
      </c>
      <c r="N759">
        <v>0</v>
      </c>
      <c r="O759" t="s">
        <v>82</v>
      </c>
      <c r="P759">
        <v>23300</v>
      </c>
      <c r="Q759">
        <v>8.6</v>
      </c>
      <c r="R759">
        <v>3.8</v>
      </c>
      <c r="S759">
        <v>1.1000000000000001</v>
      </c>
      <c r="T759">
        <v>0</v>
      </c>
      <c r="U759">
        <v>3.4</v>
      </c>
      <c r="V759">
        <v>2.8</v>
      </c>
      <c r="W759">
        <v>4.5999999999999996</v>
      </c>
      <c r="X759" t="s">
        <v>45</v>
      </c>
      <c r="Y759">
        <v>0</v>
      </c>
      <c r="Z759">
        <v>0</v>
      </c>
      <c r="AB759">
        <v>1</v>
      </c>
      <c r="AC759" t="s">
        <v>46</v>
      </c>
      <c r="AE759">
        <v>1</v>
      </c>
      <c r="AF759">
        <v>0</v>
      </c>
      <c r="AG759" t="s">
        <v>75</v>
      </c>
      <c r="AH759" t="s">
        <v>83</v>
      </c>
      <c r="AI759" t="s">
        <v>64</v>
      </c>
      <c r="AJ759" s="1" t="s">
        <v>237</v>
      </c>
      <c r="AK759" s="1" t="s">
        <v>84</v>
      </c>
      <c r="AL759">
        <v>0</v>
      </c>
    </row>
    <row r="760" spans="1:38" x14ac:dyDescent="0.35">
      <c r="A760" t="s">
        <v>964</v>
      </c>
      <c r="B760" t="s">
        <v>73</v>
      </c>
      <c r="C760" t="s">
        <v>113</v>
      </c>
      <c r="D760">
        <v>4.8</v>
      </c>
      <c r="E760" t="s">
        <v>41</v>
      </c>
      <c r="F760">
        <v>27</v>
      </c>
      <c r="G760" t="s">
        <v>68</v>
      </c>
      <c r="H760" t="s">
        <v>43</v>
      </c>
      <c r="I760">
        <v>0</v>
      </c>
      <c r="J760">
        <v>3.4</v>
      </c>
      <c r="K760">
        <v>8</v>
      </c>
      <c r="L760">
        <v>5</v>
      </c>
      <c r="M760">
        <v>12</v>
      </c>
      <c r="N760">
        <v>0</v>
      </c>
      <c r="O760" t="s">
        <v>56</v>
      </c>
      <c r="P760">
        <v>84300</v>
      </c>
      <c r="Q760">
        <v>10.8</v>
      </c>
      <c r="R760">
        <v>3.1</v>
      </c>
      <c r="S760">
        <v>1.3</v>
      </c>
      <c r="T760">
        <v>0</v>
      </c>
      <c r="U760">
        <v>4</v>
      </c>
      <c r="V760">
        <v>3.2</v>
      </c>
      <c r="W760">
        <v>2.2999999999999998</v>
      </c>
      <c r="X760" t="s">
        <v>45</v>
      </c>
      <c r="Y760">
        <v>0</v>
      </c>
      <c r="Z760">
        <v>1</v>
      </c>
      <c r="AA760">
        <v>4.3</v>
      </c>
      <c r="AB760">
        <v>1</v>
      </c>
      <c r="AC760" t="s">
        <v>46</v>
      </c>
      <c r="AE760">
        <v>0</v>
      </c>
      <c r="AF760">
        <v>0</v>
      </c>
      <c r="AG760" t="s">
        <v>47</v>
      </c>
      <c r="AH760" t="s">
        <v>76</v>
      </c>
      <c r="AI760" t="s">
        <v>64</v>
      </c>
      <c r="AJ760" s="1" t="s">
        <v>100</v>
      </c>
      <c r="AK760">
        <v>0</v>
      </c>
      <c r="AL760">
        <v>0</v>
      </c>
    </row>
    <row r="761" spans="1:38" x14ac:dyDescent="0.35">
      <c r="A761" t="s">
        <v>965</v>
      </c>
      <c r="B761" t="s">
        <v>52</v>
      </c>
      <c r="C761" t="s">
        <v>93</v>
      </c>
      <c r="D761">
        <v>5.2</v>
      </c>
      <c r="E761" t="s">
        <v>110</v>
      </c>
      <c r="F761">
        <v>31</v>
      </c>
      <c r="G761" t="s">
        <v>42</v>
      </c>
      <c r="H761" t="s">
        <v>63</v>
      </c>
      <c r="I761">
        <v>2</v>
      </c>
      <c r="J761">
        <v>10.8</v>
      </c>
      <c r="K761">
        <v>14</v>
      </c>
      <c r="L761">
        <v>3</v>
      </c>
      <c r="M761">
        <v>12</v>
      </c>
      <c r="N761">
        <v>0</v>
      </c>
      <c r="O761" t="s">
        <v>70</v>
      </c>
      <c r="P761">
        <v>49800</v>
      </c>
      <c r="Q761">
        <v>8.6</v>
      </c>
      <c r="R761">
        <v>2.9</v>
      </c>
      <c r="S761">
        <v>1.4</v>
      </c>
      <c r="T761">
        <v>0</v>
      </c>
      <c r="U761">
        <v>4.7</v>
      </c>
      <c r="V761">
        <v>2.7</v>
      </c>
      <c r="W761">
        <v>2.7</v>
      </c>
      <c r="X761" t="s">
        <v>45</v>
      </c>
      <c r="Y761">
        <v>0</v>
      </c>
      <c r="Z761">
        <v>0</v>
      </c>
      <c r="AB761">
        <v>0</v>
      </c>
      <c r="AC761" t="s">
        <v>46</v>
      </c>
      <c r="AE761">
        <v>1</v>
      </c>
      <c r="AF761">
        <v>0</v>
      </c>
      <c r="AG761" t="s">
        <v>75</v>
      </c>
      <c r="AH761" t="s">
        <v>83</v>
      </c>
      <c r="AI761" t="s">
        <v>49</v>
      </c>
      <c r="AJ761" s="1" t="s">
        <v>510</v>
      </c>
      <c r="AK761" s="1" t="s">
        <v>84</v>
      </c>
      <c r="AL761">
        <v>0</v>
      </c>
    </row>
    <row r="762" spans="1:38" x14ac:dyDescent="0.35">
      <c r="A762" t="s">
        <v>966</v>
      </c>
      <c r="B762" t="s">
        <v>39</v>
      </c>
      <c r="C762" t="s">
        <v>88</v>
      </c>
      <c r="D762">
        <v>3.5</v>
      </c>
      <c r="E762" t="s">
        <v>62</v>
      </c>
      <c r="F762">
        <v>35</v>
      </c>
      <c r="G762" t="s">
        <v>68</v>
      </c>
      <c r="H762" t="s">
        <v>55</v>
      </c>
      <c r="I762">
        <v>5</v>
      </c>
      <c r="J762">
        <v>0.9</v>
      </c>
      <c r="K762">
        <v>10</v>
      </c>
      <c r="L762">
        <v>4</v>
      </c>
      <c r="M762">
        <v>12</v>
      </c>
      <c r="N762">
        <v>0</v>
      </c>
      <c r="O762" t="s">
        <v>56</v>
      </c>
      <c r="P762">
        <v>80000</v>
      </c>
      <c r="Q762">
        <v>12.4</v>
      </c>
      <c r="R762">
        <v>4</v>
      </c>
      <c r="S762">
        <v>2.5</v>
      </c>
      <c r="T762">
        <v>0</v>
      </c>
      <c r="U762">
        <v>1.6</v>
      </c>
      <c r="V762">
        <v>4.5</v>
      </c>
      <c r="W762">
        <v>2.4</v>
      </c>
      <c r="X762" t="s">
        <v>45</v>
      </c>
      <c r="Y762">
        <v>0</v>
      </c>
      <c r="Z762">
        <v>0</v>
      </c>
      <c r="AB762">
        <v>1</v>
      </c>
      <c r="AC762" t="s">
        <v>46</v>
      </c>
      <c r="AE762">
        <v>1</v>
      </c>
      <c r="AF762">
        <v>0</v>
      </c>
      <c r="AG762" t="s">
        <v>75</v>
      </c>
      <c r="AH762" t="s">
        <v>76</v>
      </c>
      <c r="AI762" t="s">
        <v>64</v>
      </c>
      <c r="AJ762" s="1" t="s">
        <v>212</v>
      </c>
      <c r="AK762" s="1" t="s">
        <v>127</v>
      </c>
      <c r="AL762">
        <v>0</v>
      </c>
    </row>
    <row r="763" spans="1:38" x14ac:dyDescent="0.35">
      <c r="A763" t="s">
        <v>967</v>
      </c>
      <c r="B763" t="s">
        <v>73</v>
      </c>
      <c r="C763" t="s">
        <v>113</v>
      </c>
      <c r="D763">
        <v>3.5</v>
      </c>
      <c r="E763" t="s">
        <v>67</v>
      </c>
      <c r="F763">
        <v>36</v>
      </c>
      <c r="G763" t="s">
        <v>42</v>
      </c>
      <c r="H763" t="s">
        <v>55</v>
      </c>
      <c r="I763">
        <v>5</v>
      </c>
      <c r="J763">
        <v>14.7</v>
      </c>
      <c r="K763">
        <v>17</v>
      </c>
      <c r="L763">
        <v>2</v>
      </c>
      <c r="M763">
        <v>12</v>
      </c>
      <c r="N763">
        <v>0</v>
      </c>
      <c r="O763" t="s">
        <v>70</v>
      </c>
      <c r="P763">
        <v>37900</v>
      </c>
      <c r="Q763">
        <v>3.8</v>
      </c>
      <c r="R763">
        <v>4.4000000000000004</v>
      </c>
      <c r="S763">
        <v>0.5</v>
      </c>
      <c r="T763">
        <v>0</v>
      </c>
      <c r="U763">
        <v>2.1</v>
      </c>
      <c r="V763">
        <v>3.4</v>
      </c>
      <c r="W763">
        <v>4.4000000000000004</v>
      </c>
      <c r="X763" t="s">
        <v>45</v>
      </c>
      <c r="Y763">
        <v>0</v>
      </c>
      <c r="Z763">
        <v>1</v>
      </c>
      <c r="AA763">
        <v>0</v>
      </c>
      <c r="AB763">
        <v>1</v>
      </c>
      <c r="AC763" t="s">
        <v>46</v>
      </c>
      <c r="AE763">
        <v>0</v>
      </c>
      <c r="AF763">
        <v>0</v>
      </c>
      <c r="AG763" t="s">
        <v>47</v>
      </c>
      <c r="AH763" t="s">
        <v>76</v>
      </c>
      <c r="AI763" t="s">
        <v>49</v>
      </c>
      <c r="AJ763" s="1" t="s">
        <v>71</v>
      </c>
      <c r="AK763" s="1" t="s">
        <v>127</v>
      </c>
      <c r="AL763">
        <v>0</v>
      </c>
    </row>
    <row r="764" spans="1:38" x14ac:dyDescent="0.35">
      <c r="A764" t="s">
        <v>968</v>
      </c>
      <c r="B764" t="s">
        <v>73</v>
      </c>
      <c r="C764" t="s">
        <v>113</v>
      </c>
      <c r="D764">
        <v>3.4</v>
      </c>
      <c r="E764" t="s">
        <v>67</v>
      </c>
      <c r="F764">
        <v>35</v>
      </c>
      <c r="G764" t="s">
        <v>68</v>
      </c>
      <c r="H764" t="s">
        <v>94</v>
      </c>
      <c r="I764">
        <v>3</v>
      </c>
      <c r="J764">
        <v>0.7</v>
      </c>
      <c r="K764">
        <v>5</v>
      </c>
      <c r="L764">
        <v>1</v>
      </c>
      <c r="M764">
        <v>12</v>
      </c>
      <c r="N764">
        <v>0</v>
      </c>
      <c r="O764" t="s">
        <v>70</v>
      </c>
      <c r="P764">
        <v>39900</v>
      </c>
      <c r="Q764">
        <v>0</v>
      </c>
      <c r="R764">
        <v>3.9</v>
      </c>
      <c r="S764">
        <v>2.8</v>
      </c>
      <c r="T764">
        <v>0</v>
      </c>
      <c r="U764">
        <v>3.2</v>
      </c>
      <c r="V764">
        <v>2.9</v>
      </c>
      <c r="W764">
        <v>3.7</v>
      </c>
      <c r="X764" t="s">
        <v>45</v>
      </c>
      <c r="Y764">
        <v>0</v>
      </c>
      <c r="Z764">
        <v>0</v>
      </c>
      <c r="AB764">
        <v>0</v>
      </c>
      <c r="AC764" t="s">
        <v>46</v>
      </c>
      <c r="AE764">
        <v>1</v>
      </c>
      <c r="AF764">
        <v>0</v>
      </c>
      <c r="AG764" t="s">
        <v>75</v>
      </c>
      <c r="AH764" t="s">
        <v>76</v>
      </c>
      <c r="AI764" t="s">
        <v>64</v>
      </c>
      <c r="AJ764" s="1" t="s">
        <v>235</v>
      </c>
      <c r="AK764">
        <v>0.25</v>
      </c>
      <c r="AL764">
        <v>0</v>
      </c>
    </row>
    <row r="765" spans="1:38" x14ac:dyDescent="0.35">
      <c r="A765" t="s">
        <v>969</v>
      </c>
      <c r="B765" t="s">
        <v>73</v>
      </c>
      <c r="C765" t="s">
        <v>177</v>
      </c>
      <c r="D765">
        <v>2.5</v>
      </c>
      <c r="E765" t="s">
        <v>110</v>
      </c>
      <c r="F765">
        <v>32</v>
      </c>
      <c r="G765" t="s">
        <v>42</v>
      </c>
      <c r="H765" t="s">
        <v>43</v>
      </c>
      <c r="I765">
        <v>3</v>
      </c>
      <c r="J765">
        <v>13.7</v>
      </c>
      <c r="K765">
        <v>10</v>
      </c>
      <c r="L765">
        <v>2</v>
      </c>
      <c r="M765">
        <v>12</v>
      </c>
      <c r="N765">
        <v>0</v>
      </c>
      <c r="O765" t="s">
        <v>44</v>
      </c>
      <c r="P765">
        <v>51400</v>
      </c>
      <c r="Q765">
        <v>9.6999999999999993</v>
      </c>
      <c r="R765">
        <v>2.4</v>
      </c>
      <c r="S765">
        <v>6.8</v>
      </c>
      <c r="T765">
        <v>0</v>
      </c>
      <c r="U765">
        <v>5</v>
      </c>
      <c r="V765">
        <v>2.9</v>
      </c>
      <c r="W765">
        <v>3</v>
      </c>
      <c r="X765" t="s">
        <v>89</v>
      </c>
      <c r="Y765">
        <v>0</v>
      </c>
      <c r="Z765">
        <v>0</v>
      </c>
      <c r="AB765">
        <v>0</v>
      </c>
      <c r="AC765" t="s">
        <v>46</v>
      </c>
      <c r="AE765">
        <v>1</v>
      </c>
      <c r="AF765">
        <v>0</v>
      </c>
      <c r="AG765" t="s">
        <v>75</v>
      </c>
      <c r="AH765" t="s">
        <v>48</v>
      </c>
      <c r="AI765" t="s">
        <v>49</v>
      </c>
      <c r="AJ765" s="1" t="s">
        <v>190</v>
      </c>
      <c r="AK765">
        <v>0.25</v>
      </c>
      <c r="AL765">
        <v>0</v>
      </c>
    </row>
    <row r="766" spans="1:38" x14ac:dyDescent="0.35">
      <c r="A766" t="s">
        <v>970</v>
      </c>
      <c r="B766" t="s">
        <v>60</v>
      </c>
      <c r="C766" t="s">
        <v>971</v>
      </c>
      <c r="D766">
        <v>2.8</v>
      </c>
      <c r="E766" t="s">
        <v>67</v>
      </c>
      <c r="F766">
        <v>24</v>
      </c>
      <c r="G766" t="s">
        <v>42</v>
      </c>
      <c r="H766" t="s">
        <v>55</v>
      </c>
      <c r="I766">
        <v>3</v>
      </c>
      <c r="J766">
        <v>5.7</v>
      </c>
      <c r="K766">
        <v>11</v>
      </c>
      <c r="L766">
        <v>4</v>
      </c>
      <c r="M766">
        <v>12</v>
      </c>
      <c r="N766">
        <v>0</v>
      </c>
      <c r="O766" t="s">
        <v>70</v>
      </c>
      <c r="P766">
        <v>40600</v>
      </c>
      <c r="Q766">
        <v>0.8</v>
      </c>
      <c r="R766">
        <v>3.6</v>
      </c>
      <c r="S766">
        <v>0.2</v>
      </c>
      <c r="T766">
        <v>0</v>
      </c>
      <c r="U766">
        <v>4.0999999999999996</v>
      </c>
      <c r="V766">
        <v>3.1</v>
      </c>
      <c r="W766">
        <v>3</v>
      </c>
      <c r="X766" t="s">
        <v>45</v>
      </c>
      <c r="Y766">
        <v>0</v>
      </c>
      <c r="Z766">
        <v>1</v>
      </c>
      <c r="AA766">
        <v>2.7</v>
      </c>
      <c r="AB766">
        <v>1</v>
      </c>
      <c r="AC766" t="s">
        <v>46</v>
      </c>
      <c r="AE766">
        <v>0</v>
      </c>
      <c r="AF766">
        <v>0</v>
      </c>
      <c r="AG766" t="s">
        <v>47</v>
      </c>
      <c r="AH766" t="s">
        <v>48</v>
      </c>
      <c r="AI766" t="s">
        <v>64</v>
      </c>
      <c r="AJ766">
        <v>3.4</v>
      </c>
      <c r="AK766">
        <v>0.25</v>
      </c>
      <c r="AL766">
        <v>0</v>
      </c>
    </row>
    <row r="767" spans="1:38" x14ac:dyDescent="0.35">
      <c r="A767" t="s">
        <v>972</v>
      </c>
      <c r="B767" t="s">
        <v>73</v>
      </c>
      <c r="C767" t="s">
        <v>121</v>
      </c>
      <c r="D767">
        <v>5.4</v>
      </c>
      <c r="E767" t="s">
        <v>110</v>
      </c>
      <c r="F767">
        <v>33</v>
      </c>
      <c r="G767" t="s">
        <v>234</v>
      </c>
      <c r="H767" t="s">
        <v>55</v>
      </c>
      <c r="I767">
        <v>3</v>
      </c>
      <c r="J767">
        <v>3.9</v>
      </c>
      <c r="K767">
        <v>11</v>
      </c>
      <c r="L767">
        <v>3</v>
      </c>
      <c r="M767">
        <v>12</v>
      </c>
      <c r="N767">
        <v>0</v>
      </c>
      <c r="O767" t="s">
        <v>44</v>
      </c>
      <c r="P767">
        <v>56800</v>
      </c>
      <c r="Q767">
        <v>13.2</v>
      </c>
      <c r="R767">
        <v>2.5</v>
      </c>
      <c r="S767">
        <v>0.5</v>
      </c>
      <c r="T767">
        <v>0</v>
      </c>
      <c r="U767">
        <v>3.6</v>
      </c>
      <c r="V767">
        <v>5</v>
      </c>
      <c r="W767">
        <v>3.5</v>
      </c>
      <c r="X767" t="s">
        <v>45</v>
      </c>
      <c r="Y767">
        <v>0</v>
      </c>
      <c r="Z767">
        <v>0</v>
      </c>
      <c r="AB767">
        <v>0</v>
      </c>
      <c r="AC767" t="s">
        <v>46</v>
      </c>
      <c r="AE767">
        <v>1</v>
      </c>
      <c r="AF767">
        <v>0</v>
      </c>
      <c r="AG767" t="s">
        <v>75</v>
      </c>
      <c r="AH767" t="s">
        <v>83</v>
      </c>
      <c r="AI767" t="s">
        <v>64</v>
      </c>
      <c r="AJ767" s="1" t="s">
        <v>288</v>
      </c>
      <c r="AK767">
        <v>0.25</v>
      </c>
      <c r="AL767">
        <v>0</v>
      </c>
    </row>
    <row r="768" spans="1:38" x14ac:dyDescent="0.35">
      <c r="A768" t="s">
        <v>973</v>
      </c>
      <c r="B768" t="s">
        <v>73</v>
      </c>
      <c r="C768" t="s">
        <v>113</v>
      </c>
      <c r="D768">
        <v>9.1</v>
      </c>
      <c r="E768" t="s">
        <v>110</v>
      </c>
      <c r="F768">
        <v>30</v>
      </c>
      <c r="G768" t="s">
        <v>42</v>
      </c>
      <c r="H768" t="s">
        <v>55</v>
      </c>
      <c r="I768">
        <v>4</v>
      </c>
      <c r="J768">
        <v>17.899999999999999</v>
      </c>
      <c r="K768">
        <v>5</v>
      </c>
      <c r="L768">
        <v>1</v>
      </c>
      <c r="M768">
        <v>12</v>
      </c>
      <c r="N768">
        <v>0</v>
      </c>
      <c r="O768" t="s">
        <v>44</v>
      </c>
      <c r="P768">
        <v>59500</v>
      </c>
      <c r="Q768">
        <v>5.8</v>
      </c>
      <c r="R768">
        <v>2.9</v>
      </c>
      <c r="S768">
        <v>0.2</v>
      </c>
      <c r="T768">
        <v>0</v>
      </c>
      <c r="U768">
        <v>2.2000000000000002</v>
      </c>
      <c r="V768">
        <v>2</v>
      </c>
      <c r="W768">
        <v>2.4</v>
      </c>
      <c r="X768" t="s">
        <v>45</v>
      </c>
      <c r="Y768">
        <v>0</v>
      </c>
      <c r="Z768">
        <v>0</v>
      </c>
      <c r="AB768">
        <v>1</v>
      </c>
      <c r="AC768" t="s">
        <v>124</v>
      </c>
      <c r="AD768" s="2">
        <v>46237</v>
      </c>
      <c r="AE768">
        <v>1</v>
      </c>
      <c r="AF768">
        <v>0</v>
      </c>
      <c r="AG768" t="s">
        <v>75</v>
      </c>
      <c r="AH768" t="s">
        <v>83</v>
      </c>
      <c r="AI768" t="s">
        <v>49</v>
      </c>
      <c r="AJ768" s="1" t="s">
        <v>709</v>
      </c>
      <c r="AK768" s="1" t="s">
        <v>115</v>
      </c>
      <c r="AL768">
        <v>1</v>
      </c>
    </row>
    <row r="769" spans="1:38" x14ac:dyDescent="0.35">
      <c r="A769" t="s">
        <v>974</v>
      </c>
      <c r="B769" t="s">
        <v>73</v>
      </c>
      <c r="C769" t="s">
        <v>74</v>
      </c>
      <c r="D769">
        <v>1.7</v>
      </c>
      <c r="E769" t="s">
        <v>62</v>
      </c>
      <c r="F769">
        <v>22</v>
      </c>
      <c r="G769" t="s">
        <v>42</v>
      </c>
      <c r="H769" t="s">
        <v>55</v>
      </c>
      <c r="I769">
        <v>5</v>
      </c>
      <c r="J769">
        <v>6.9</v>
      </c>
      <c r="K769">
        <v>7</v>
      </c>
      <c r="L769">
        <v>2</v>
      </c>
      <c r="M769">
        <v>12</v>
      </c>
      <c r="N769">
        <v>0</v>
      </c>
      <c r="O769" t="s">
        <v>293</v>
      </c>
      <c r="P769">
        <v>110400</v>
      </c>
      <c r="Q769">
        <v>3.8</v>
      </c>
      <c r="R769">
        <v>4.7</v>
      </c>
      <c r="S769">
        <v>0.1</v>
      </c>
      <c r="T769">
        <v>0</v>
      </c>
      <c r="U769">
        <v>1.4</v>
      </c>
      <c r="V769">
        <v>4.2</v>
      </c>
      <c r="W769">
        <v>3.7</v>
      </c>
      <c r="X769" t="s">
        <v>45</v>
      </c>
      <c r="Y769">
        <v>0</v>
      </c>
      <c r="Z769">
        <v>1</v>
      </c>
      <c r="AA769">
        <v>1.4</v>
      </c>
      <c r="AB769">
        <v>1</v>
      </c>
      <c r="AC769" t="s">
        <v>46</v>
      </c>
      <c r="AE769">
        <v>0</v>
      </c>
      <c r="AF769">
        <v>0</v>
      </c>
      <c r="AG769" t="s">
        <v>47</v>
      </c>
      <c r="AH769" t="s">
        <v>48</v>
      </c>
      <c r="AI769" t="s">
        <v>64</v>
      </c>
      <c r="AJ769">
        <v>3.1</v>
      </c>
      <c r="AK769" s="1" t="s">
        <v>127</v>
      </c>
      <c r="AL769">
        <v>0</v>
      </c>
    </row>
    <row r="770" spans="1:38" x14ac:dyDescent="0.35">
      <c r="A770" t="s">
        <v>975</v>
      </c>
      <c r="B770" t="s">
        <v>73</v>
      </c>
      <c r="C770" t="s">
        <v>113</v>
      </c>
      <c r="D770">
        <v>3.5</v>
      </c>
      <c r="E770" t="s">
        <v>110</v>
      </c>
      <c r="F770">
        <v>30</v>
      </c>
      <c r="G770" t="s">
        <v>42</v>
      </c>
      <c r="H770" t="s">
        <v>55</v>
      </c>
      <c r="I770">
        <v>1</v>
      </c>
      <c r="J770">
        <v>10.3</v>
      </c>
      <c r="K770">
        <v>16</v>
      </c>
      <c r="L770">
        <v>2</v>
      </c>
      <c r="M770">
        <v>12</v>
      </c>
      <c r="N770">
        <v>0</v>
      </c>
      <c r="O770" t="s">
        <v>44</v>
      </c>
      <c r="P770">
        <v>53100</v>
      </c>
      <c r="Q770">
        <v>18.8</v>
      </c>
      <c r="R770">
        <v>2.1</v>
      </c>
      <c r="S770">
        <v>0.5</v>
      </c>
      <c r="T770">
        <v>0</v>
      </c>
      <c r="U770">
        <v>3.3</v>
      </c>
      <c r="V770">
        <v>3.7</v>
      </c>
      <c r="W770">
        <v>3</v>
      </c>
      <c r="X770" t="s">
        <v>45</v>
      </c>
      <c r="Y770">
        <v>0</v>
      </c>
      <c r="Z770">
        <v>0</v>
      </c>
      <c r="AB770">
        <v>1</v>
      </c>
      <c r="AC770" t="s">
        <v>46</v>
      </c>
      <c r="AE770">
        <v>1</v>
      </c>
      <c r="AF770">
        <v>0</v>
      </c>
      <c r="AG770" t="s">
        <v>75</v>
      </c>
      <c r="AH770" t="s">
        <v>76</v>
      </c>
      <c r="AI770" t="s">
        <v>49</v>
      </c>
      <c r="AJ770" s="1" t="s">
        <v>90</v>
      </c>
      <c r="AK770">
        <v>8.3333333333333301E-2</v>
      </c>
      <c r="AL770">
        <v>0</v>
      </c>
    </row>
    <row r="771" spans="1:38" x14ac:dyDescent="0.35">
      <c r="A771" t="s">
        <v>976</v>
      </c>
      <c r="B771" t="s">
        <v>39</v>
      </c>
      <c r="C771" t="s">
        <v>40</v>
      </c>
      <c r="D771">
        <v>1.4</v>
      </c>
      <c r="E771" t="s">
        <v>81</v>
      </c>
      <c r="F771">
        <v>29</v>
      </c>
      <c r="G771" t="s">
        <v>42</v>
      </c>
      <c r="H771" t="s">
        <v>55</v>
      </c>
      <c r="I771">
        <v>2</v>
      </c>
      <c r="J771">
        <v>1.7</v>
      </c>
      <c r="K771">
        <v>10</v>
      </c>
      <c r="L771">
        <v>5</v>
      </c>
      <c r="M771">
        <v>12</v>
      </c>
      <c r="N771">
        <v>0</v>
      </c>
      <c r="O771" t="s">
        <v>82</v>
      </c>
      <c r="P771">
        <v>27900</v>
      </c>
      <c r="Q771">
        <v>7.9</v>
      </c>
      <c r="R771">
        <v>5</v>
      </c>
      <c r="S771">
        <v>0.6</v>
      </c>
      <c r="T771">
        <v>0</v>
      </c>
      <c r="U771">
        <v>3.2</v>
      </c>
      <c r="V771">
        <v>4.5999999999999996</v>
      </c>
      <c r="W771">
        <v>3.8</v>
      </c>
      <c r="X771" t="s">
        <v>45</v>
      </c>
      <c r="Y771">
        <v>0</v>
      </c>
      <c r="Z771">
        <v>2</v>
      </c>
      <c r="AA771">
        <v>0.8</v>
      </c>
      <c r="AB771">
        <v>0</v>
      </c>
      <c r="AC771" t="s">
        <v>46</v>
      </c>
      <c r="AE771">
        <v>0</v>
      </c>
      <c r="AF771">
        <v>0</v>
      </c>
      <c r="AG771" t="s">
        <v>47</v>
      </c>
      <c r="AH771" t="s">
        <v>48</v>
      </c>
      <c r="AI771" t="s">
        <v>64</v>
      </c>
      <c r="AJ771" s="1" t="s">
        <v>131</v>
      </c>
      <c r="AK771" s="1" t="s">
        <v>84</v>
      </c>
      <c r="AL771">
        <v>0</v>
      </c>
    </row>
    <row r="772" spans="1:38" x14ac:dyDescent="0.35">
      <c r="A772" t="s">
        <v>977</v>
      </c>
      <c r="B772" t="s">
        <v>98</v>
      </c>
      <c r="C772" t="s">
        <v>99</v>
      </c>
      <c r="D772">
        <v>2.6</v>
      </c>
      <c r="E772" t="s">
        <v>67</v>
      </c>
      <c r="F772">
        <v>32</v>
      </c>
      <c r="G772" t="s">
        <v>42</v>
      </c>
      <c r="H772" t="s">
        <v>69</v>
      </c>
      <c r="I772">
        <v>3</v>
      </c>
      <c r="J772">
        <v>27.9</v>
      </c>
      <c r="K772">
        <v>7</v>
      </c>
      <c r="L772">
        <v>3</v>
      </c>
      <c r="M772">
        <v>12</v>
      </c>
      <c r="N772">
        <v>0</v>
      </c>
      <c r="O772" t="s">
        <v>70</v>
      </c>
      <c r="P772">
        <v>42000</v>
      </c>
      <c r="Q772">
        <v>7.2</v>
      </c>
      <c r="R772">
        <v>3.7</v>
      </c>
      <c r="S772">
        <v>2.7</v>
      </c>
      <c r="T772">
        <v>0</v>
      </c>
      <c r="U772">
        <v>3.1</v>
      </c>
      <c r="V772">
        <v>3.8</v>
      </c>
      <c r="W772">
        <v>3.8</v>
      </c>
      <c r="X772" t="s">
        <v>45</v>
      </c>
      <c r="Y772">
        <v>0</v>
      </c>
      <c r="Z772">
        <v>4</v>
      </c>
      <c r="AA772">
        <v>1.7</v>
      </c>
      <c r="AB772">
        <v>1</v>
      </c>
      <c r="AC772" t="s">
        <v>46</v>
      </c>
      <c r="AE772">
        <v>0</v>
      </c>
      <c r="AF772">
        <v>0</v>
      </c>
      <c r="AG772" t="s">
        <v>47</v>
      </c>
      <c r="AH772" t="s">
        <v>48</v>
      </c>
      <c r="AI772" t="s">
        <v>57</v>
      </c>
      <c r="AJ772" s="1" t="s">
        <v>126</v>
      </c>
      <c r="AK772">
        <v>0.25</v>
      </c>
      <c r="AL772">
        <v>0</v>
      </c>
    </row>
    <row r="773" spans="1:38" x14ac:dyDescent="0.35">
      <c r="A773" t="s">
        <v>978</v>
      </c>
      <c r="B773" t="s">
        <v>117</v>
      </c>
      <c r="C773" t="s">
        <v>197</v>
      </c>
      <c r="D773">
        <v>2.9</v>
      </c>
      <c r="E773" t="s">
        <v>110</v>
      </c>
      <c r="F773">
        <v>31</v>
      </c>
      <c r="G773" t="s">
        <v>42</v>
      </c>
      <c r="H773" t="s">
        <v>94</v>
      </c>
      <c r="I773">
        <v>1</v>
      </c>
      <c r="J773">
        <v>11.2</v>
      </c>
      <c r="K773">
        <v>9</v>
      </c>
      <c r="L773">
        <v>0</v>
      </c>
      <c r="M773">
        <v>12</v>
      </c>
      <c r="N773">
        <v>0</v>
      </c>
      <c r="O773" t="s">
        <v>44</v>
      </c>
      <c r="P773">
        <v>56200</v>
      </c>
      <c r="Q773">
        <v>11</v>
      </c>
      <c r="R773">
        <v>2.8</v>
      </c>
      <c r="S773">
        <v>3.5</v>
      </c>
      <c r="T773">
        <v>0</v>
      </c>
      <c r="U773">
        <v>3</v>
      </c>
      <c r="V773">
        <v>3.2</v>
      </c>
      <c r="W773">
        <v>2.9</v>
      </c>
      <c r="X773" t="s">
        <v>89</v>
      </c>
      <c r="Y773">
        <v>0</v>
      </c>
      <c r="Z773">
        <v>0</v>
      </c>
      <c r="AB773">
        <v>0</v>
      </c>
      <c r="AC773" t="s">
        <v>124</v>
      </c>
      <c r="AD773" s="2">
        <v>45707</v>
      </c>
      <c r="AE773">
        <v>1</v>
      </c>
      <c r="AF773">
        <v>0</v>
      </c>
      <c r="AG773" t="s">
        <v>75</v>
      </c>
      <c r="AH773" t="s">
        <v>48</v>
      </c>
      <c r="AI773" t="s">
        <v>49</v>
      </c>
      <c r="AJ773" s="1" t="s">
        <v>627</v>
      </c>
      <c r="AK773">
        <v>8.3333333333333301E-2</v>
      </c>
      <c r="AL773">
        <v>1</v>
      </c>
    </row>
    <row r="774" spans="1:38" x14ac:dyDescent="0.35">
      <c r="A774" t="s">
        <v>979</v>
      </c>
      <c r="B774" t="s">
        <v>117</v>
      </c>
      <c r="C774" t="s">
        <v>197</v>
      </c>
      <c r="D774">
        <v>4.3</v>
      </c>
      <c r="E774" t="s">
        <v>81</v>
      </c>
      <c r="F774">
        <v>32</v>
      </c>
      <c r="G774" t="s">
        <v>68</v>
      </c>
      <c r="H774" t="s">
        <v>94</v>
      </c>
      <c r="I774">
        <v>1</v>
      </c>
      <c r="J774">
        <v>11.1</v>
      </c>
      <c r="K774">
        <v>9</v>
      </c>
      <c r="L774">
        <v>2</v>
      </c>
      <c r="M774">
        <v>12</v>
      </c>
      <c r="N774">
        <v>0</v>
      </c>
      <c r="O774" t="s">
        <v>82</v>
      </c>
      <c r="P774">
        <v>25800</v>
      </c>
      <c r="Q774">
        <v>11.3</v>
      </c>
      <c r="R774">
        <v>3.3</v>
      </c>
      <c r="S774">
        <v>1.7</v>
      </c>
      <c r="T774">
        <v>0</v>
      </c>
      <c r="U774">
        <v>2.6</v>
      </c>
      <c r="V774">
        <v>4.0999999999999996</v>
      </c>
      <c r="W774">
        <v>1.8</v>
      </c>
      <c r="X774" t="s">
        <v>45</v>
      </c>
      <c r="Y774">
        <v>0</v>
      </c>
      <c r="Z774">
        <v>0</v>
      </c>
      <c r="AB774">
        <v>1</v>
      </c>
      <c r="AC774" t="s">
        <v>46</v>
      </c>
      <c r="AE774">
        <v>1</v>
      </c>
      <c r="AF774">
        <v>0</v>
      </c>
      <c r="AG774" t="s">
        <v>75</v>
      </c>
      <c r="AH774" t="s">
        <v>76</v>
      </c>
      <c r="AI774" t="s">
        <v>49</v>
      </c>
      <c r="AJ774" s="1" t="s">
        <v>212</v>
      </c>
      <c r="AK774">
        <v>8.3333333333333301E-2</v>
      </c>
      <c r="AL774">
        <v>0</v>
      </c>
    </row>
    <row r="775" spans="1:38" x14ac:dyDescent="0.35">
      <c r="A775" t="s">
        <v>980</v>
      </c>
      <c r="B775" t="s">
        <v>60</v>
      </c>
      <c r="C775" t="s">
        <v>107</v>
      </c>
      <c r="D775">
        <v>4.2</v>
      </c>
      <c r="E775" t="s">
        <v>67</v>
      </c>
      <c r="F775">
        <v>26</v>
      </c>
      <c r="G775" t="s">
        <v>68</v>
      </c>
      <c r="H775" t="s">
        <v>43</v>
      </c>
      <c r="I775">
        <v>2</v>
      </c>
      <c r="J775">
        <v>14.9</v>
      </c>
      <c r="K775">
        <v>10</v>
      </c>
      <c r="L775">
        <v>1</v>
      </c>
      <c r="M775">
        <v>12</v>
      </c>
      <c r="N775">
        <v>0</v>
      </c>
      <c r="O775" t="s">
        <v>70</v>
      </c>
      <c r="P775">
        <v>38800</v>
      </c>
      <c r="Q775">
        <v>12.6</v>
      </c>
      <c r="R775">
        <v>2.6</v>
      </c>
      <c r="S775">
        <v>3.2</v>
      </c>
      <c r="T775">
        <v>0</v>
      </c>
      <c r="U775">
        <v>2.4</v>
      </c>
      <c r="V775">
        <v>3.4</v>
      </c>
      <c r="W775">
        <v>3.2</v>
      </c>
      <c r="X775" t="s">
        <v>45</v>
      </c>
      <c r="Y775">
        <v>0</v>
      </c>
      <c r="Z775">
        <v>1</v>
      </c>
      <c r="AA775">
        <v>0.5</v>
      </c>
      <c r="AB775">
        <v>1</v>
      </c>
      <c r="AC775" t="s">
        <v>46</v>
      </c>
      <c r="AE775">
        <v>0</v>
      </c>
      <c r="AF775">
        <v>0</v>
      </c>
      <c r="AG775" t="s">
        <v>47</v>
      </c>
      <c r="AH775" t="s">
        <v>76</v>
      </c>
      <c r="AI775" t="s">
        <v>49</v>
      </c>
      <c r="AJ775">
        <v>3</v>
      </c>
      <c r="AK775" s="1" t="s">
        <v>84</v>
      </c>
      <c r="AL775">
        <v>0</v>
      </c>
    </row>
    <row r="776" spans="1:38" x14ac:dyDescent="0.35">
      <c r="A776" t="s">
        <v>981</v>
      </c>
      <c r="B776" t="s">
        <v>73</v>
      </c>
      <c r="C776" t="s">
        <v>121</v>
      </c>
      <c r="D776">
        <v>3.7</v>
      </c>
      <c r="E776" t="s">
        <v>67</v>
      </c>
      <c r="F776">
        <v>29</v>
      </c>
      <c r="G776" t="s">
        <v>42</v>
      </c>
      <c r="H776" t="s">
        <v>55</v>
      </c>
      <c r="I776">
        <v>4</v>
      </c>
      <c r="J776">
        <v>0.3</v>
      </c>
      <c r="K776">
        <v>8</v>
      </c>
      <c r="L776">
        <v>1</v>
      </c>
      <c r="M776">
        <v>12</v>
      </c>
      <c r="N776">
        <v>0</v>
      </c>
      <c r="O776" t="s">
        <v>70</v>
      </c>
      <c r="P776">
        <v>41000</v>
      </c>
      <c r="Q776">
        <v>2.7</v>
      </c>
      <c r="R776">
        <v>2.7</v>
      </c>
      <c r="S776">
        <v>2.5</v>
      </c>
      <c r="T776">
        <v>0</v>
      </c>
      <c r="U776">
        <v>4.5999999999999996</v>
      </c>
      <c r="V776">
        <v>3.9</v>
      </c>
      <c r="W776">
        <v>2.2000000000000002</v>
      </c>
      <c r="X776" t="s">
        <v>45</v>
      </c>
      <c r="Y776">
        <v>0</v>
      </c>
      <c r="Z776">
        <v>1</v>
      </c>
      <c r="AA776">
        <v>0.7</v>
      </c>
      <c r="AB776">
        <v>0</v>
      </c>
      <c r="AC776" t="s">
        <v>46</v>
      </c>
      <c r="AE776">
        <v>0</v>
      </c>
      <c r="AF776">
        <v>0</v>
      </c>
      <c r="AG776" t="s">
        <v>47</v>
      </c>
      <c r="AH776" t="s">
        <v>76</v>
      </c>
      <c r="AI776" t="s">
        <v>64</v>
      </c>
      <c r="AJ776" s="1" t="s">
        <v>126</v>
      </c>
      <c r="AK776" s="1" t="s">
        <v>115</v>
      </c>
      <c r="AL776">
        <v>0</v>
      </c>
    </row>
    <row r="777" spans="1:38" x14ac:dyDescent="0.35">
      <c r="A777" t="s">
        <v>982</v>
      </c>
      <c r="B777" t="s">
        <v>60</v>
      </c>
      <c r="C777" t="s">
        <v>80</v>
      </c>
      <c r="D777">
        <v>5.0999999999999996</v>
      </c>
      <c r="E777" t="s">
        <v>81</v>
      </c>
      <c r="F777">
        <v>25</v>
      </c>
      <c r="G777" t="s">
        <v>42</v>
      </c>
      <c r="H777" t="s">
        <v>63</v>
      </c>
      <c r="I777">
        <v>5</v>
      </c>
      <c r="J777">
        <v>29.9</v>
      </c>
      <c r="K777">
        <v>10</v>
      </c>
      <c r="L777">
        <v>1</v>
      </c>
      <c r="M777">
        <v>12</v>
      </c>
      <c r="N777">
        <v>0</v>
      </c>
      <c r="O777" t="s">
        <v>82</v>
      </c>
      <c r="P777">
        <v>27200</v>
      </c>
      <c r="Q777">
        <v>10.1</v>
      </c>
      <c r="R777">
        <v>3.3</v>
      </c>
      <c r="S777">
        <v>0.7</v>
      </c>
      <c r="T777">
        <v>0</v>
      </c>
      <c r="U777">
        <v>3.3</v>
      </c>
      <c r="V777">
        <v>4.5</v>
      </c>
      <c r="W777">
        <v>3.5</v>
      </c>
      <c r="X777" t="s">
        <v>45</v>
      </c>
      <c r="Y777">
        <v>1</v>
      </c>
      <c r="Z777">
        <v>2</v>
      </c>
      <c r="AA777">
        <v>0.9</v>
      </c>
      <c r="AB777">
        <v>0</v>
      </c>
      <c r="AC777" t="s">
        <v>46</v>
      </c>
      <c r="AE777">
        <v>0</v>
      </c>
      <c r="AF777">
        <v>0</v>
      </c>
      <c r="AG777" t="s">
        <v>47</v>
      </c>
      <c r="AH777" t="s">
        <v>83</v>
      </c>
      <c r="AI777" t="s">
        <v>57</v>
      </c>
      <c r="AJ777" s="1" t="s">
        <v>459</v>
      </c>
      <c r="AK777" s="1" t="s">
        <v>127</v>
      </c>
      <c r="AL777">
        <v>0</v>
      </c>
    </row>
    <row r="778" spans="1:38" x14ac:dyDescent="0.35">
      <c r="A778" t="s">
        <v>983</v>
      </c>
      <c r="B778" t="s">
        <v>39</v>
      </c>
      <c r="C778" t="s">
        <v>66</v>
      </c>
      <c r="D778">
        <v>1.9</v>
      </c>
      <c r="E778" t="s">
        <v>67</v>
      </c>
      <c r="F778">
        <v>21</v>
      </c>
      <c r="G778" t="s">
        <v>68</v>
      </c>
      <c r="H778" t="s">
        <v>94</v>
      </c>
      <c r="I778">
        <v>1</v>
      </c>
      <c r="J778">
        <v>7.4</v>
      </c>
      <c r="K778">
        <v>12</v>
      </c>
      <c r="L778">
        <v>0</v>
      </c>
      <c r="M778">
        <v>12</v>
      </c>
      <c r="N778">
        <v>0</v>
      </c>
      <c r="O778" t="s">
        <v>70</v>
      </c>
      <c r="P778">
        <v>35500</v>
      </c>
      <c r="Q778">
        <v>6.8</v>
      </c>
      <c r="R778">
        <v>2.9</v>
      </c>
      <c r="S778">
        <v>1.9</v>
      </c>
      <c r="T778">
        <v>0</v>
      </c>
      <c r="U778">
        <v>3.1</v>
      </c>
      <c r="V778">
        <v>3.3</v>
      </c>
      <c r="W778">
        <v>3.2</v>
      </c>
      <c r="X778" t="s">
        <v>45</v>
      </c>
      <c r="Y778">
        <v>0</v>
      </c>
      <c r="Z778">
        <v>2</v>
      </c>
      <c r="AA778">
        <v>1.6</v>
      </c>
      <c r="AB778">
        <v>0</v>
      </c>
      <c r="AC778" t="s">
        <v>46</v>
      </c>
      <c r="AE778">
        <v>0</v>
      </c>
      <c r="AF778">
        <v>0</v>
      </c>
      <c r="AG778" t="s">
        <v>47</v>
      </c>
      <c r="AH778" t="s">
        <v>48</v>
      </c>
      <c r="AI778" t="s">
        <v>64</v>
      </c>
      <c r="AJ778" s="1" t="s">
        <v>249</v>
      </c>
      <c r="AK778">
        <v>8.3333333333333301E-2</v>
      </c>
      <c r="AL778">
        <v>0</v>
      </c>
    </row>
    <row r="779" spans="1:38" x14ac:dyDescent="0.35">
      <c r="A779" t="s">
        <v>984</v>
      </c>
      <c r="B779" t="s">
        <v>73</v>
      </c>
      <c r="C779" t="s">
        <v>74</v>
      </c>
      <c r="D779">
        <v>4.3</v>
      </c>
      <c r="E779" t="s">
        <v>81</v>
      </c>
      <c r="F779">
        <v>33</v>
      </c>
      <c r="G779" t="s">
        <v>42</v>
      </c>
      <c r="H779" t="s">
        <v>43</v>
      </c>
      <c r="I779">
        <v>3</v>
      </c>
      <c r="J779">
        <v>28.7</v>
      </c>
      <c r="K779">
        <v>13</v>
      </c>
      <c r="L779">
        <v>1</v>
      </c>
      <c r="M779">
        <v>12</v>
      </c>
      <c r="N779">
        <v>0</v>
      </c>
      <c r="O779" t="s">
        <v>82</v>
      </c>
      <c r="P779">
        <v>24100</v>
      </c>
      <c r="Q779">
        <v>4.3</v>
      </c>
      <c r="R779">
        <v>2.4</v>
      </c>
      <c r="S779">
        <v>0.5</v>
      </c>
      <c r="T779">
        <v>0</v>
      </c>
      <c r="U779">
        <v>3.3</v>
      </c>
      <c r="V779">
        <v>2.8</v>
      </c>
      <c r="W779">
        <v>2.9</v>
      </c>
      <c r="X779" t="s">
        <v>45</v>
      </c>
      <c r="Y779">
        <v>0</v>
      </c>
      <c r="Z779">
        <v>1</v>
      </c>
      <c r="AA779">
        <v>1.7</v>
      </c>
      <c r="AB779">
        <v>1</v>
      </c>
      <c r="AC779" t="s">
        <v>124</v>
      </c>
      <c r="AD779" s="2">
        <v>45962</v>
      </c>
      <c r="AE779">
        <v>0</v>
      </c>
      <c r="AF779">
        <v>0</v>
      </c>
      <c r="AG779" t="s">
        <v>47</v>
      </c>
      <c r="AH779" t="s">
        <v>76</v>
      </c>
      <c r="AI779" t="s">
        <v>57</v>
      </c>
      <c r="AJ779">
        <v>3</v>
      </c>
      <c r="AK779">
        <v>0.25</v>
      </c>
      <c r="AL779">
        <v>1</v>
      </c>
    </row>
    <row r="780" spans="1:38" x14ac:dyDescent="0.35">
      <c r="A780" t="s">
        <v>985</v>
      </c>
      <c r="B780" t="s">
        <v>39</v>
      </c>
      <c r="C780" t="s">
        <v>66</v>
      </c>
      <c r="D780">
        <v>6.3</v>
      </c>
      <c r="E780" t="s">
        <v>110</v>
      </c>
      <c r="F780">
        <v>29</v>
      </c>
      <c r="G780" t="s">
        <v>42</v>
      </c>
      <c r="H780" t="s">
        <v>55</v>
      </c>
      <c r="I780">
        <v>4</v>
      </c>
      <c r="J780">
        <v>7.2</v>
      </c>
      <c r="K780">
        <v>17</v>
      </c>
      <c r="L780">
        <v>0</v>
      </c>
      <c r="M780">
        <v>12</v>
      </c>
      <c r="N780">
        <v>0</v>
      </c>
      <c r="O780" t="s">
        <v>70</v>
      </c>
      <c r="P780">
        <v>36200</v>
      </c>
      <c r="Q780">
        <v>8.1999999999999993</v>
      </c>
      <c r="R780">
        <v>3</v>
      </c>
      <c r="S780">
        <v>1.3</v>
      </c>
      <c r="T780">
        <v>0</v>
      </c>
      <c r="U780">
        <v>3.9</v>
      </c>
      <c r="V780">
        <v>2.6</v>
      </c>
      <c r="W780">
        <v>2.4</v>
      </c>
      <c r="X780" t="s">
        <v>45</v>
      </c>
      <c r="Y780">
        <v>0</v>
      </c>
      <c r="Z780">
        <v>0</v>
      </c>
      <c r="AB780">
        <v>0</v>
      </c>
      <c r="AC780" t="s">
        <v>46</v>
      </c>
      <c r="AE780">
        <v>1</v>
      </c>
      <c r="AF780">
        <v>0</v>
      </c>
      <c r="AG780" t="s">
        <v>75</v>
      </c>
      <c r="AH780" t="s">
        <v>83</v>
      </c>
      <c r="AI780" t="s">
        <v>64</v>
      </c>
      <c r="AJ780" s="1" t="s">
        <v>268</v>
      </c>
      <c r="AK780" s="1" t="s">
        <v>115</v>
      </c>
      <c r="AL780">
        <v>0</v>
      </c>
    </row>
    <row r="781" spans="1:38" x14ac:dyDescent="0.35">
      <c r="A781" t="s">
        <v>986</v>
      </c>
      <c r="B781" t="s">
        <v>60</v>
      </c>
      <c r="C781" t="s">
        <v>80</v>
      </c>
      <c r="D781">
        <v>1.8</v>
      </c>
      <c r="E781" t="s">
        <v>81</v>
      </c>
      <c r="F781">
        <v>31</v>
      </c>
      <c r="G781" t="s">
        <v>54</v>
      </c>
      <c r="H781" t="s">
        <v>55</v>
      </c>
      <c r="I781">
        <v>2</v>
      </c>
      <c r="J781">
        <v>5.8</v>
      </c>
      <c r="K781">
        <v>5</v>
      </c>
      <c r="L781">
        <v>0</v>
      </c>
      <c r="M781">
        <v>12</v>
      </c>
      <c r="N781">
        <v>0</v>
      </c>
      <c r="O781" t="s">
        <v>82</v>
      </c>
      <c r="P781">
        <v>26700</v>
      </c>
      <c r="Q781">
        <v>0.8</v>
      </c>
      <c r="R781">
        <v>2</v>
      </c>
      <c r="S781">
        <v>1.6</v>
      </c>
      <c r="T781">
        <v>0</v>
      </c>
      <c r="U781">
        <v>2.5</v>
      </c>
      <c r="V781">
        <v>3.6</v>
      </c>
      <c r="W781">
        <v>4.3</v>
      </c>
      <c r="X781" t="s">
        <v>45</v>
      </c>
      <c r="Y781">
        <v>0</v>
      </c>
      <c r="Z781">
        <v>0</v>
      </c>
      <c r="AB781">
        <v>1</v>
      </c>
      <c r="AC781" t="s">
        <v>46</v>
      </c>
      <c r="AE781">
        <v>1</v>
      </c>
      <c r="AF781">
        <v>0</v>
      </c>
      <c r="AG781" t="s">
        <v>75</v>
      </c>
      <c r="AH781" t="s">
        <v>48</v>
      </c>
      <c r="AI781" t="s">
        <v>64</v>
      </c>
      <c r="AJ781" s="1" t="s">
        <v>137</v>
      </c>
      <c r="AK781" s="1" t="s">
        <v>84</v>
      </c>
      <c r="AL781">
        <v>0</v>
      </c>
    </row>
    <row r="782" spans="1:38" x14ac:dyDescent="0.35">
      <c r="A782" t="s">
        <v>987</v>
      </c>
      <c r="B782" t="s">
        <v>98</v>
      </c>
      <c r="C782" t="s">
        <v>148</v>
      </c>
      <c r="D782">
        <v>0.7</v>
      </c>
      <c r="E782" t="s">
        <v>110</v>
      </c>
      <c r="F782">
        <v>31</v>
      </c>
      <c r="G782" t="s">
        <v>42</v>
      </c>
      <c r="H782" t="s">
        <v>43</v>
      </c>
      <c r="I782">
        <v>6</v>
      </c>
      <c r="J782">
        <v>14.2</v>
      </c>
      <c r="K782">
        <v>6</v>
      </c>
      <c r="L782">
        <v>1</v>
      </c>
      <c r="M782">
        <v>12</v>
      </c>
      <c r="N782">
        <v>0</v>
      </c>
      <c r="O782" t="s">
        <v>44</v>
      </c>
      <c r="P782">
        <v>52800</v>
      </c>
      <c r="Q782">
        <v>11.7</v>
      </c>
      <c r="R782">
        <v>2.1</v>
      </c>
      <c r="S782">
        <v>2.2000000000000002</v>
      </c>
      <c r="T782">
        <v>0</v>
      </c>
      <c r="U782">
        <v>3.3</v>
      </c>
      <c r="V782">
        <v>2.4</v>
      </c>
      <c r="W782">
        <v>3</v>
      </c>
      <c r="X782" t="s">
        <v>89</v>
      </c>
      <c r="Y782">
        <v>1</v>
      </c>
      <c r="Z782">
        <v>0</v>
      </c>
      <c r="AB782">
        <v>0</v>
      </c>
      <c r="AC782" t="s">
        <v>46</v>
      </c>
      <c r="AE782">
        <v>1</v>
      </c>
      <c r="AF782">
        <v>0</v>
      </c>
      <c r="AG782" t="s">
        <v>75</v>
      </c>
      <c r="AH782" t="s">
        <v>95</v>
      </c>
      <c r="AI782" t="s">
        <v>49</v>
      </c>
      <c r="AJ782">
        <v>2.9</v>
      </c>
      <c r="AK782">
        <v>0.5</v>
      </c>
      <c r="AL782">
        <v>0</v>
      </c>
    </row>
    <row r="783" spans="1:38" x14ac:dyDescent="0.35">
      <c r="A783" t="s">
        <v>988</v>
      </c>
      <c r="B783" t="s">
        <v>60</v>
      </c>
      <c r="C783" t="s">
        <v>107</v>
      </c>
      <c r="D783">
        <v>7.4</v>
      </c>
      <c r="E783" t="s">
        <v>81</v>
      </c>
      <c r="F783">
        <v>31</v>
      </c>
      <c r="G783" t="s">
        <v>42</v>
      </c>
      <c r="H783" t="s">
        <v>43</v>
      </c>
      <c r="I783">
        <v>2</v>
      </c>
      <c r="J783">
        <v>41</v>
      </c>
      <c r="K783">
        <v>7</v>
      </c>
      <c r="L783">
        <v>2</v>
      </c>
      <c r="M783">
        <v>12</v>
      </c>
      <c r="N783">
        <v>0</v>
      </c>
      <c r="O783" t="s">
        <v>82</v>
      </c>
      <c r="P783">
        <v>26300</v>
      </c>
      <c r="Q783">
        <v>6.8</v>
      </c>
      <c r="R783">
        <v>2</v>
      </c>
      <c r="S783">
        <v>4.7</v>
      </c>
      <c r="T783">
        <v>0</v>
      </c>
      <c r="U783">
        <v>2.8</v>
      </c>
      <c r="V783">
        <v>3.3</v>
      </c>
      <c r="W783">
        <v>5</v>
      </c>
      <c r="X783" t="s">
        <v>45</v>
      </c>
      <c r="Y783">
        <v>1</v>
      </c>
      <c r="Z783">
        <v>0</v>
      </c>
      <c r="AB783">
        <v>1</v>
      </c>
      <c r="AC783" t="s">
        <v>124</v>
      </c>
      <c r="AD783" s="2">
        <v>45559</v>
      </c>
      <c r="AE783">
        <v>1</v>
      </c>
      <c r="AF783">
        <v>0</v>
      </c>
      <c r="AG783" t="s">
        <v>75</v>
      </c>
      <c r="AH783" t="s">
        <v>83</v>
      </c>
      <c r="AI783" t="s">
        <v>57</v>
      </c>
      <c r="AJ783" s="1" t="s">
        <v>58</v>
      </c>
      <c r="AK783" s="1" t="s">
        <v>84</v>
      </c>
      <c r="AL783">
        <v>1</v>
      </c>
    </row>
    <row r="784" spans="1:38" x14ac:dyDescent="0.35">
      <c r="A784" t="s">
        <v>989</v>
      </c>
      <c r="B784" t="s">
        <v>52</v>
      </c>
      <c r="C784" t="s">
        <v>153</v>
      </c>
      <c r="D784">
        <v>1.4</v>
      </c>
      <c r="E784" t="s">
        <v>41</v>
      </c>
      <c r="F784">
        <v>30</v>
      </c>
      <c r="G784" t="s">
        <v>68</v>
      </c>
      <c r="H784" t="s">
        <v>55</v>
      </c>
      <c r="I784">
        <v>4</v>
      </c>
      <c r="J784">
        <v>23.4</v>
      </c>
      <c r="K784">
        <v>13</v>
      </c>
      <c r="L784">
        <v>2</v>
      </c>
      <c r="M784">
        <v>12</v>
      </c>
      <c r="N784">
        <v>0</v>
      </c>
      <c r="O784" t="s">
        <v>56</v>
      </c>
      <c r="P784">
        <v>81600</v>
      </c>
      <c r="Q784">
        <v>6.1</v>
      </c>
      <c r="R784">
        <v>4.7</v>
      </c>
      <c r="S784">
        <v>0.3</v>
      </c>
      <c r="T784">
        <v>0</v>
      </c>
      <c r="U784">
        <v>3.2</v>
      </c>
      <c r="V784">
        <v>2.2999999999999998</v>
      </c>
      <c r="W784">
        <v>3.4</v>
      </c>
      <c r="X784" t="s">
        <v>45</v>
      </c>
      <c r="Y784">
        <v>0</v>
      </c>
      <c r="Z784">
        <v>1</v>
      </c>
      <c r="AA784">
        <v>0.1</v>
      </c>
      <c r="AB784">
        <v>0</v>
      </c>
      <c r="AC784" t="s">
        <v>46</v>
      </c>
      <c r="AE784">
        <v>0</v>
      </c>
      <c r="AF784">
        <v>0</v>
      </c>
      <c r="AG784" t="s">
        <v>47</v>
      </c>
      <c r="AH784" t="s">
        <v>48</v>
      </c>
      <c r="AI784" t="s">
        <v>57</v>
      </c>
      <c r="AJ784" s="1" t="s">
        <v>268</v>
      </c>
      <c r="AK784" s="1" t="s">
        <v>115</v>
      </c>
      <c r="AL784">
        <v>0</v>
      </c>
    </row>
    <row r="785" spans="1:38" x14ac:dyDescent="0.35">
      <c r="A785" t="s">
        <v>990</v>
      </c>
      <c r="B785" t="s">
        <v>39</v>
      </c>
      <c r="C785" t="s">
        <v>40</v>
      </c>
      <c r="D785">
        <v>2.5</v>
      </c>
      <c r="E785" t="s">
        <v>81</v>
      </c>
      <c r="F785">
        <v>26</v>
      </c>
      <c r="G785" t="s">
        <v>234</v>
      </c>
      <c r="H785" t="s">
        <v>63</v>
      </c>
      <c r="I785">
        <v>1</v>
      </c>
      <c r="J785">
        <v>15.4</v>
      </c>
      <c r="K785">
        <v>12</v>
      </c>
      <c r="L785">
        <v>0</v>
      </c>
      <c r="M785">
        <v>12</v>
      </c>
      <c r="N785">
        <v>0</v>
      </c>
      <c r="O785" t="s">
        <v>82</v>
      </c>
      <c r="P785">
        <v>24700</v>
      </c>
      <c r="Q785">
        <v>7.4</v>
      </c>
      <c r="R785">
        <v>3.6</v>
      </c>
      <c r="S785">
        <v>1.3</v>
      </c>
      <c r="T785">
        <v>0</v>
      </c>
      <c r="U785">
        <v>4.8</v>
      </c>
      <c r="V785">
        <v>3.7</v>
      </c>
      <c r="W785">
        <v>3.7</v>
      </c>
      <c r="X785" t="s">
        <v>45</v>
      </c>
      <c r="Y785">
        <v>0</v>
      </c>
      <c r="Z785">
        <v>0</v>
      </c>
      <c r="AB785">
        <v>0</v>
      </c>
      <c r="AC785" t="s">
        <v>46</v>
      </c>
      <c r="AE785">
        <v>1</v>
      </c>
      <c r="AF785">
        <v>0</v>
      </c>
      <c r="AG785" t="s">
        <v>75</v>
      </c>
      <c r="AH785" t="s">
        <v>48</v>
      </c>
      <c r="AI785" t="s">
        <v>49</v>
      </c>
      <c r="AJ785" s="1" t="s">
        <v>222</v>
      </c>
      <c r="AK785">
        <v>8.3333333333333301E-2</v>
      </c>
      <c r="AL785">
        <v>0</v>
      </c>
    </row>
    <row r="786" spans="1:38" x14ac:dyDescent="0.35">
      <c r="A786" t="s">
        <v>991</v>
      </c>
      <c r="B786" t="s">
        <v>60</v>
      </c>
      <c r="C786" t="s">
        <v>107</v>
      </c>
      <c r="D786">
        <v>6.1</v>
      </c>
      <c r="E786" t="s">
        <v>110</v>
      </c>
      <c r="F786">
        <v>25</v>
      </c>
      <c r="G786" t="s">
        <v>42</v>
      </c>
      <c r="H786" t="s">
        <v>69</v>
      </c>
      <c r="I786">
        <v>4</v>
      </c>
      <c r="J786">
        <v>14</v>
      </c>
      <c r="K786">
        <v>7</v>
      </c>
      <c r="L786">
        <v>1</v>
      </c>
      <c r="M786">
        <v>12</v>
      </c>
      <c r="N786">
        <v>0</v>
      </c>
      <c r="O786" t="s">
        <v>44</v>
      </c>
      <c r="P786">
        <v>61200</v>
      </c>
      <c r="Q786">
        <v>7.3</v>
      </c>
      <c r="R786">
        <v>3.7</v>
      </c>
      <c r="S786">
        <v>4.0999999999999996</v>
      </c>
      <c r="T786">
        <v>0</v>
      </c>
      <c r="U786">
        <v>2.4</v>
      </c>
      <c r="V786">
        <v>2.5</v>
      </c>
      <c r="W786">
        <v>3.4</v>
      </c>
      <c r="X786" t="s">
        <v>45</v>
      </c>
      <c r="Y786">
        <v>0</v>
      </c>
      <c r="Z786">
        <v>0</v>
      </c>
      <c r="AB786">
        <v>0</v>
      </c>
      <c r="AC786" t="s">
        <v>46</v>
      </c>
      <c r="AE786">
        <v>1</v>
      </c>
      <c r="AF786">
        <v>0</v>
      </c>
      <c r="AG786" t="s">
        <v>75</v>
      </c>
      <c r="AH786" t="s">
        <v>83</v>
      </c>
      <c r="AI786" t="s">
        <v>49</v>
      </c>
      <c r="AJ786" s="1" t="s">
        <v>170</v>
      </c>
      <c r="AK786" s="1" t="s">
        <v>115</v>
      </c>
      <c r="AL786">
        <v>0</v>
      </c>
    </row>
    <row r="787" spans="1:38" x14ac:dyDescent="0.35">
      <c r="A787" t="s">
        <v>992</v>
      </c>
      <c r="B787" t="s">
        <v>98</v>
      </c>
      <c r="C787" t="s">
        <v>148</v>
      </c>
      <c r="D787">
        <v>1.8</v>
      </c>
      <c r="E787" t="s">
        <v>67</v>
      </c>
      <c r="F787">
        <v>28</v>
      </c>
      <c r="G787" t="s">
        <v>42</v>
      </c>
      <c r="H787" t="s">
        <v>69</v>
      </c>
      <c r="I787">
        <v>2</v>
      </c>
      <c r="J787">
        <v>10.7</v>
      </c>
      <c r="K787">
        <v>13</v>
      </c>
      <c r="L787">
        <v>1</v>
      </c>
      <c r="M787">
        <v>12</v>
      </c>
      <c r="N787">
        <v>0</v>
      </c>
      <c r="O787" t="s">
        <v>70</v>
      </c>
      <c r="P787">
        <v>39900</v>
      </c>
      <c r="Q787">
        <v>12.6</v>
      </c>
      <c r="R787">
        <v>3.2</v>
      </c>
      <c r="S787">
        <v>0.7</v>
      </c>
      <c r="T787">
        <v>0</v>
      </c>
      <c r="U787">
        <v>3.9</v>
      </c>
      <c r="V787">
        <v>2</v>
      </c>
      <c r="W787">
        <v>3.7</v>
      </c>
      <c r="X787" t="s">
        <v>45</v>
      </c>
      <c r="Y787">
        <v>0</v>
      </c>
      <c r="Z787">
        <v>0</v>
      </c>
      <c r="AB787">
        <v>0</v>
      </c>
      <c r="AC787" t="s">
        <v>46</v>
      </c>
      <c r="AE787">
        <v>1</v>
      </c>
      <c r="AF787">
        <v>0</v>
      </c>
      <c r="AG787" t="s">
        <v>75</v>
      </c>
      <c r="AH787" t="s">
        <v>48</v>
      </c>
      <c r="AI787" t="s">
        <v>49</v>
      </c>
      <c r="AJ787" s="1" t="s">
        <v>249</v>
      </c>
      <c r="AK787" s="1" t="s">
        <v>84</v>
      </c>
      <c r="AL787">
        <v>0</v>
      </c>
    </row>
    <row r="788" spans="1:38" x14ac:dyDescent="0.35">
      <c r="A788" t="s">
        <v>993</v>
      </c>
      <c r="B788" t="s">
        <v>39</v>
      </c>
      <c r="C788" t="s">
        <v>88</v>
      </c>
      <c r="D788">
        <v>7.1</v>
      </c>
      <c r="E788" t="s">
        <v>67</v>
      </c>
      <c r="F788">
        <v>31</v>
      </c>
      <c r="G788" t="s">
        <v>42</v>
      </c>
      <c r="H788" t="s">
        <v>55</v>
      </c>
      <c r="I788">
        <v>1</v>
      </c>
      <c r="J788">
        <v>27.8</v>
      </c>
      <c r="K788">
        <v>7</v>
      </c>
      <c r="L788">
        <v>1</v>
      </c>
      <c r="M788">
        <v>12</v>
      </c>
      <c r="N788">
        <v>0</v>
      </c>
      <c r="O788" t="s">
        <v>44</v>
      </c>
      <c r="P788">
        <v>51600</v>
      </c>
      <c r="Q788">
        <v>3.6</v>
      </c>
      <c r="R788">
        <v>3.7</v>
      </c>
      <c r="S788">
        <v>0.5</v>
      </c>
      <c r="T788">
        <v>0</v>
      </c>
      <c r="U788">
        <v>4.2</v>
      </c>
      <c r="V788">
        <v>2.2000000000000002</v>
      </c>
      <c r="W788">
        <v>4.3</v>
      </c>
      <c r="X788" t="s">
        <v>89</v>
      </c>
      <c r="Y788">
        <v>0</v>
      </c>
      <c r="Z788">
        <v>0</v>
      </c>
      <c r="AB788">
        <v>0</v>
      </c>
      <c r="AC788" t="s">
        <v>46</v>
      </c>
      <c r="AE788">
        <v>1</v>
      </c>
      <c r="AF788">
        <v>0</v>
      </c>
      <c r="AG788" t="s">
        <v>75</v>
      </c>
      <c r="AH788" t="s">
        <v>83</v>
      </c>
      <c r="AI788" t="s">
        <v>57</v>
      </c>
      <c r="AJ788" s="1" t="s">
        <v>126</v>
      </c>
      <c r="AK788">
        <v>8.3333333333333301E-2</v>
      </c>
      <c r="AL788">
        <v>0</v>
      </c>
    </row>
    <row r="789" spans="1:38" x14ac:dyDescent="0.35">
      <c r="A789" t="s">
        <v>994</v>
      </c>
      <c r="B789" t="s">
        <v>98</v>
      </c>
      <c r="C789" t="s">
        <v>148</v>
      </c>
      <c r="D789">
        <v>2.2000000000000002</v>
      </c>
      <c r="E789" t="s">
        <v>67</v>
      </c>
      <c r="F789">
        <v>26</v>
      </c>
      <c r="G789" t="s">
        <v>54</v>
      </c>
      <c r="H789" t="s">
        <v>94</v>
      </c>
      <c r="I789">
        <v>1</v>
      </c>
      <c r="J789">
        <v>18.2</v>
      </c>
      <c r="K789">
        <v>6</v>
      </c>
      <c r="L789">
        <v>2</v>
      </c>
      <c r="M789">
        <v>12</v>
      </c>
      <c r="N789">
        <v>0</v>
      </c>
      <c r="O789" t="s">
        <v>70</v>
      </c>
      <c r="P789">
        <v>40600</v>
      </c>
      <c r="Q789">
        <v>6.5</v>
      </c>
      <c r="R789">
        <v>4.3</v>
      </c>
      <c r="S789">
        <v>2.4</v>
      </c>
      <c r="T789">
        <v>0</v>
      </c>
      <c r="U789">
        <v>3.6</v>
      </c>
      <c r="V789">
        <v>2.7</v>
      </c>
      <c r="W789">
        <v>4.3</v>
      </c>
      <c r="X789" t="s">
        <v>45</v>
      </c>
      <c r="Y789">
        <v>0</v>
      </c>
      <c r="Z789">
        <v>1</v>
      </c>
      <c r="AA789">
        <v>1.7</v>
      </c>
      <c r="AB789">
        <v>0</v>
      </c>
      <c r="AC789" t="s">
        <v>46</v>
      </c>
      <c r="AE789">
        <v>0</v>
      </c>
      <c r="AF789">
        <v>0</v>
      </c>
      <c r="AG789" t="s">
        <v>47</v>
      </c>
      <c r="AH789" t="s">
        <v>48</v>
      </c>
      <c r="AI789" t="s">
        <v>49</v>
      </c>
      <c r="AJ789" s="1" t="s">
        <v>149</v>
      </c>
      <c r="AK789">
        <v>8.3333333333333301E-2</v>
      </c>
      <c r="AL789">
        <v>0</v>
      </c>
    </row>
    <row r="790" spans="1:38" x14ac:dyDescent="0.35">
      <c r="A790" t="s">
        <v>995</v>
      </c>
      <c r="B790" t="s">
        <v>39</v>
      </c>
      <c r="C790" t="s">
        <v>88</v>
      </c>
      <c r="D790">
        <v>2</v>
      </c>
      <c r="E790" t="s">
        <v>41</v>
      </c>
      <c r="F790">
        <v>36</v>
      </c>
      <c r="G790" t="s">
        <v>68</v>
      </c>
      <c r="H790" t="s">
        <v>69</v>
      </c>
      <c r="I790">
        <v>2</v>
      </c>
      <c r="J790">
        <v>2.2999999999999998</v>
      </c>
      <c r="K790">
        <v>8</v>
      </c>
      <c r="L790">
        <v>1</v>
      </c>
      <c r="M790">
        <v>12</v>
      </c>
      <c r="N790">
        <v>0</v>
      </c>
      <c r="O790" t="s">
        <v>44</v>
      </c>
      <c r="P790">
        <v>57900</v>
      </c>
      <c r="Q790">
        <v>7.1</v>
      </c>
      <c r="R790">
        <v>3.6</v>
      </c>
      <c r="S790">
        <v>2.1</v>
      </c>
      <c r="T790">
        <v>0</v>
      </c>
      <c r="U790">
        <v>3.2</v>
      </c>
      <c r="V790">
        <v>2.8</v>
      </c>
      <c r="W790">
        <v>2</v>
      </c>
      <c r="X790" t="s">
        <v>45</v>
      </c>
      <c r="Y790">
        <v>0</v>
      </c>
      <c r="Z790">
        <v>2</v>
      </c>
      <c r="AA790">
        <v>0.1</v>
      </c>
      <c r="AB790">
        <v>0</v>
      </c>
      <c r="AC790" t="s">
        <v>46</v>
      </c>
      <c r="AE790">
        <v>0</v>
      </c>
      <c r="AF790">
        <v>0</v>
      </c>
      <c r="AG790" t="s">
        <v>47</v>
      </c>
      <c r="AH790" t="s">
        <v>48</v>
      </c>
      <c r="AI790" t="s">
        <v>64</v>
      </c>
      <c r="AJ790" s="1" t="s">
        <v>230</v>
      </c>
      <c r="AK790" s="1" t="s">
        <v>84</v>
      </c>
      <c r="AL790">
        <v>0</v>
      </c>
    </row>
    <row r="791" spans="1:38" x14ac:dyDescent="0.35">
      <c r="A791" t="s">
        <v>996</v>
      </c>
      <c r="B791" t="s">
        <v>39</v>
      </c>
      <c r="C791" t="s">
        <v>40</v>
      </c>
      <c r="D791">
        <v>1.4</v>
      </c>
      <c r="E791" t="s">
        <v>41</v>
      </c>
      <c r="F791">
        <v>21</v>
      </c>
      <c r="G791" t="s">
        <v>42</v>
      </c>
      <c r="H791" t="s">
        <v>55</v>
      </c>
      <c r="I791">
        <v>5</v>
      </c>
      <c r="J791">
        <v>3.9</v>
      </c>
      <c r="K791">
        <v>9</v>
      </c>
      <c r="L791">
        <v>0</v>
      </c>
      <c r="M791">
        <v>12</v>
      </c>
      <c r="N791">
        <v>0</v>
      </c>
      <c r="O791" t="s">
        <v>56</v>
      </c>
      <c r="P791">
        <v>78900</v>
      </c>
      <c r="Q791">
        <v>3.7</v>
      </c>
      <c r="R791">
        <v>4.7</v>
      </c>
      <c r="S791">
        <v>0.2</v>
      </c>
      <c r="T791">
        <v>0</v>
      </c>
      <c r="U791">
        <v>5</v>
      </c>
      <c r="V791">
        <v>3.3</v>
      </c>
      <c r="W791">
        <v>4.0999999999999996</v>
      </c>
      <c r="X791" t="s">
        <v>89</v>
      </c>
      <c r="Y791">
        <v>1</v>
      </c>
      <c r="Z791">
        <v>2</v>
      </c>
      <c r="AA791">
        <v>0.5</v>
      </c>
      <c r="AB791">
        <v>0</v>
      </c>
      <c r="AC791" t="s">
        <v>46</v>
      </c>
      <c r="AE791">
        <v>0</v>
      </c>
      <c r="AF791">
        <v>0</v>
      </c>
      <c r="AG791" t="s">
        <v>47</v>
      </c>
      <c r="AH791" t="s">
        <v>48</v>
      </c>
      <c r="AI791" t="s">
        <v>64</v>
      </c>
      <c r="AJ791" s="1" t="s">
        <v>201</v>
      </c>
      <c r="AK791" s="1" t="s">
        <v>127</v>
      </c>
      <c r="AL791">
        <v>0</v>
      </c>
    </row>
    <row r="792" spans="1:38" x14ac:dyDescent="0.35">
      <c r="A792" t="s">
        <v>997</v>
      </c>
      <c r="B792" t="s">
        <v>73</v>
      </c>
      <c r="C792" t="s">
        <v>74</v>
      </c>
      <c r="D792">
        <v>2.2000000000000002</v>
      </c>
      <c r="E792" t="s">
        <v>67</v>
      </c>
      <c r="F792">
        <v>30</v>
      </c>
      <c r="G792" t="s">
        <v>68</v>
      </c>
      <c r="H792" t="s">
        <v>69</v>
      </c>
      <c r="I792">
        <v>2</v>
      </c>
      <c r="J792">
        <v>15.8</v>
      </c>
      <c r="K792">
        <v>7</v>
      </c>
      <c r="L792">
        <v>2</v>
      </c>
      <c r="M792">
        <v>12</v>
      </c>
      <c r="N792">
        <v>0</v>
      </c>
      <c r="O792" t="s">
        <v>70</v>
      </c>
      <c r="P792">
        <v>45900</v>
      </c>
      <c r="Q792">
        <v>8.6</v>
      </c>
      <c r="R792">
        <v>3.2</v>
      </c>
      <c r="S792">
        <v>0.8</v>
      </c>
      <c r="T792">
        <v>0</v>
      </c>
      <c r="U792">
        <v>3.3</v>
      </c>
      <c r="V792">
        <v>3.1</v>
      </c>
      <c r="W792">
        <v>3.8</v>
      </c>
      <c r="X792" t="s">
        <v>45</v>
      </c>
      <c r="Y792">
        <v>0</v>
      </c>
      <c r="Z792">
        <v>0</v>
      </c>
      <c r="AB792">
        <v>0</v>
      </c>
      <c r="AC792" t="s">
        <v>46</v>
      </c>
      <c r="AE792">
        <v>1</v>
      </c>
      <c r="AF792">
        <v>0</v>
      </c>
      <c r="AG792" t="s">
        <v>75</v>
      </c>
      <c r="AH792" t="s">
        <v>48</v>
      </c>
      <c r="AI792" t="s">
        <v>49</v>
      </c>
      <c r="AJ792">
        <v>3.4</v>
      </c>
      <c r="AK792" s="1" t="s">
        <v>84</v>
      </c>
      <c r="AL792">
        <v>0</v>
      </c>
    </row>
    <row r="793" spans="1:38" x14ac:dyDescent="0.35">
      <c r="A793" t="s">
        <v>998</v>
      </c>
      <c r="B793" t="s">
        <v>98</v>
      </c>
      <c r="C793" t="s">
        <v>148</v>
      </c>
      <c r="D793">
        <v>5.6</v>
      </c>
      <c r="E793" t="s">
        <v>81</v>
      </c>
      <c r="F793">
        <v>28</v>
      </c>
      <c r="G793" t="s">
        <v>42</v>
      </c>
      <c r="H793" t="s">
        <v>69</v>
      </c>
      <c r="I793">
        <v>1</v>
      </c>
      <c r="J793">
        <v>3.3</v>
      </c>
      <c r="K793">
        <v>8</v>
      </c>
      <c r="L793">
        <v>3</v>
      </c>
      <c r="M793">
        <v>12</v>
      </c>
      <c r="N793">
        <v>0</v>
      </c>
      <c r="O793" t="s">
        <v>82</v>
      </c>
      <c r="P793">
        <v>23200</v>
      </c>
      <c r="Q793">
        <v>5.0999999999999996</v>
      </c>
      <c r="R793">
        <v>3.7</v>
      </c>
      <c r="S793">
        <v>0.4</v>
      </c>
      <c r="T793">
        <v>0</v>
      </c>
      <c r="U793">
        <v>3.5</v>
      </c>
      <c r="V793">
        <v>3.5</v>
      </c>
      <c r="W793">
        <v>3.4</v>
      </c>
      <c r="X793" t="s">
        <v>45</v>
      </c>
      <c r="Y793">
        <v>0</v>
      </c>
      <c r="Z793">
        <v>0</v>
      </c>
      <c r="AB793">
        <v>1</v>
      </c>
      <c r="AC793" t="s">
        <v>46</v>
      </c>
      <c r="AE793">
        <v>1</v>
      </c>
      <c r="AF793">
        <v>0</v>
      </c>
      <c r="AG793" t="s">
        <v>75</v>
      </c>
      <c r="AH793" t="s">
        <v>83</v>
      </c>
      <c r="AI793" t="s">
        <v>64</v>
      </c>
      <c r="AJ793" s="1" t="s">
        <v>77</v>
      </c>
      <c r="AK793">
        <v>8.3333333333333301E-2</v>
      </c>
      <c r="AL793">
        <v>0</v>
      </c>
    </row>
    <row r="794" spans="1:38" x14ac:dyDescent="0.35">
      <c r="A794" t="s">
        <v>999</v>
      </c>
      <c r="B794" t="s">
        <v>98</v>
      </c>
      <c r="C794" t="s">
        <v>151</v>
      </c>
      <c r="D794">
        <v>2.5</v>
      </c>
      <c r="E794" t="s">
        <v>110</v>
      </c>
      <c r="F794">
        <v>32</v>
      </c>
      <c r="G794" t="s">
        <v>42</v>
      </c>
      <c r="H794" t="s">
        <v>94</v>
      </c>
      <c r="I794">
        <v>4</v>
      </c>
      <c r="J794">
        <v>11.1</v>
      </c>
      <c r="K794">
        <v>11</v>
      </c>
      <c r="L794">
        <v>5</v>
      </c>
      <c r="M794">
        <v>12</v>
      </c>
      <c r="N794">
        <v>0</v>
      </c>
      <c r="O794" t="s">
        <v>44</v>
      </c>
      <c r="P794">
        <v>56400</v>
      </c>
      <c r="Q794">
        <v>2.4</v>
      </c>
      <c r="R794">
        <v>3.8</v>
      </c>
      <c r="S794">
        <v>0.4</v>
      </c>
      <c r="T794">
        <v>0</v>
      </c>
      <c r="U794">
        <v>3</v>
      </c>
      <c r="V794">
        <v>3.6</v>
      </c>
      <c r="W794">
        <v>4.8</v>
      </c>
      <c r="X794" t="s">
        <v>45</v>
      </c>
      <c r="Y794">
        <v>0</v>
      </c>
      <c r="Z794">
        <v>0</v>
      </c>
      <c r="AB794">
        <v>1</v>
      </c>
      <c r="AC794" t="s">
        <v>46</v>
      </c>
      <c r="AE794">
        <v>1</v>
      </c>
      <c r="AF794">
        <v>0</v>
      </c>
      <c r="AG794" t="s">
        <v>75</v>
      </c>
      <c r="AH794" t="s">
        <v>48</v>
      </c>
      <c r="AI794" t="s">
        <v>49</v>
      </c>
      <c r="AJ794" s="1" t="s">
        <v>397</v>
      </c>
      <c r="AK794" s="1" t="s">
        <v>115</v>
      </c>
      <c r="AL794">
        <v>0</v>
      </c>
    </row>
    <row r="795" spans="1:38" x14ac:dyDescent="0.35">
      <c r="A795" t="s">
        <v>1000</v>
      </c>
      <c r="B795" t="s">
        <v>73</v>
      </c>
      <c r="C795" t="s">
        <v>121</v>
      </c>
      <c r="D795">
        <v>7.4</v>
      </c>
      <c r="E795" t="s">
        <v>110</v>
      </c>
      <c r="F795">
        <v>35</v>
      </c>
      <c r="G795" t="s">
        <v>42</v>
      </c>
      <c r="H795" t="s">
        <v>55</v>
      </c>
      <c r="I795">
        <v>2</v>
      </c>
      <c r="J795">
        <v>19.3</v>
      </c>
      <c r="K795">
        <v>7</v>
      </c>
      <c r="L795">
        <v>3</v>
      </c>
      <c r="M795">
        <v>12</v>
      </c>
      <c r="N795">
        <v>0</v>
      </c>
      <c r="O795" t="s">
        <v>44</v>
      </c>
      <c r="P795">
        <v>62000</v>
      </c>
      <c r="Q795">
        <v>10.1</v>
      </c>
      <c r="R795">
        <v>2.4</v>
      </c>
      <c r="S795">
        <v>2</v>
      </c>
      <c r="T795">
        <v>0</v>
      </c>
      <c r="U795">
        <v>3.4</v>
      </c>
      <c r="V795">
        <v>3.9</v>
      </c>
      <c r="W795">
        <v>4.8</v>
      </c>
      <c r="X795" t="s">
        <v>45</v>
      </c>
      <c r="Y795">
        <v>0</v>
      </c>
      <c r="Z795">
        <v>0</v>
      </c>
      <c r="AB795">
        <v>0</v>
      </c>
      <c r="AC795" t="s">
        <v>46</v>
      </c>
      <c r="AE795">
        <v>1</v>
      </c>
      <c r="AF795">
        <v>0</v>
      </c>
      <c r="AG795" t="s">
        <v>75</v>
      </c>
      <c r="AH795" t="s">
        <v>83</v>
      </c>
      <c r="AI795" t="s">
        <v>49</v>
      </c>
      <c r="AJ795" s="1" t="s">
        <v>288</v>
      </c>
      <c r="AK795" s="1" t="s">
        <v>84</v>
      </c>
      <c r="AL795">
        <v>0</v>
      </c>
    </row>
    <row r="796" spans="1:38" x14ac:dyDescent="0.35">
      <c r="A796" t="s">
        <v>1001</v>
      </c>
      <c r="B796" t="s">
        <v>73</v>
      </c>
      <c r="C796" t="s">
        <v>177</v>
      </c>
      <c r="D796">
        <v>3.9</v>
      </c>
      <c r="E796" t="s">
        <v>81</v>
      </c>
      <c r="F796">
        <v>31</v>
      </c>
      <c r="G796" t="s">
        <v>42</v>
      </c>
      <c r="H796" t="s">
        <v>94</v>
      </c>
      <c r="I796">
        <v>2</v>
      </c>
      <c r="J796">
        <v>14.2</v>
      </c>
      <c r="K796">
        <v>11</v>
      </c>
      <c r="L796">
        <v>6</v>
      </c>
      <c r="M796">
        <v>12</v>
      </c>
      <c r="N796">
        <v>0</v>
      </c>
      <c r="O796" t="s">
        <v>82</v>
      </c>
      <c r="P796">
        <v>28100</v>
      </c>
      <c r="Q796">
        <v>14.2</v>
      </c>
      <c r="R796">
        <v>3.2</v>
      </c>
      <c r="S796">
        <v>2</v>
      </c>
      <c r="T796">
        <v>0</v>
      </c>
      <c r="U796">
        <v>4.2</v>
      </c>
      <c r="V796">
        <v>1.5</v>
      </c>
      <c r="W796">
        <v>4.0999999999999996</v>
      </c>
      <c r="X796" t="s">
        <v>45</v>
      </c>
      <c r="Y796">
        <v>0</v>
      </c>
      <c r="Z796">
        <v>1</v>
      </c>
      <c r="AA796">
        <v>2.6</v>
      </c>
      <c r="AB796">
        <v>0</v>
      </c>
      <c r="AC796" t="s">
        <v>46</v>
      </c>
      <c r="AE796">
        <v>0</v>
      </c>
      <c r="AF796">
        <v>0</v>
      </c>
      <c r="AG796" t="s">
        <v>47</v>
      </c>
      <c r="AH796" t="s">
        <v>76</v>
      </c>
      <c r="AI796" t="s">
        <v>49</v>
      </c>
      <c r="AJ796" s="1" t="s">
        <v>235</v>
      </c>
      <c r="AK796" s="1" t="s">
        <v>84</v>
      </c>
      <c r="AL796">
        <v>0</v>
      </c>
    </row>
    <row r="797" spans="1:38" x14ac:dyDescent="0.35">
      <c r="A797" t="s">
        <v>1002</v>
      </c>
      <c r="B797" t="s">
        <v>98</v>
      </c>
      <c r="C797" t="s">
        <v>151</v>
      </c>
      <c r="D797">
        <v>4.0999999999999996</v>
      </c>
      <c r="E797" t="s">
        <v>110</v>
      </c>
      <c r="F797">
        <v>26</v>
      </c>
      <c r="G797" t="s">
        <v>68</v>
      </c>
      <c r="H797" t="s">
        <v>43</v>
      </c>
      <c r="I797">
        <v>3</v>
      </c>
      <c r="J797">
        <v>2.7</v>
      </c>
      <c r="K797">
        <v>10</v>
      </c>
      <c r="L797">
        <v>2</v>
      </c>
      <c r="M797">
        <v>12</v>
      </c>
      <c r="N797">
        <v>0</v>
      </c>
      <c r="O797" t="s">
        <v>70</v>
      </c>
      <c r="P797">
        <v>38000</v>
      </c>
      <c r="Q797">
        <v>8.1999999999999993</v>
      </c>
      <c r="R797">
        <v>1.5</v>
      </c>
      <c r="S797">
        <v>1.3</v>
      </c>
      <c r="T797">
        <v>0</v>
      </c>
      <c r="U797">
        <v>3.1</v>
      </c>
      <c r="V797">
        <v>2.2000000000000002</v>
      </c>
      <c r="W797">
        <v>3</v>
      </c>
      <c r="X797" t="s">
        <v>89</v>
      </c>
      <c r="Y797">
        <v>0</v>
      </c>
      <c r="Z797">
        <v>0</v>
      </c>
      <c r="AB797">
        <v>0</v>
      </c>
      <c r="AC797" t="s">
        <v>46</v>
      </c>
      <c r="AE797">
        <v>1</v>
      </c>
      <c r="AF797">
        <v>0</v>
      </c>
      <c r="AG797" t="s">
        <v>75</v>
      </c>
      <c r="AH797" t="s">
        <v>76</v>
      </c>
      <c r="AI797" t="s">
        <v>64</v>
      </c>
      <c r="AJ797" s="1" t="s">
        <v>170</v>
      </c>
      <c r="AK797">
        <v>0.25</v>
      </c>
      <c r="AL797">
        <v>0</v>
      </c>
    </row>
    <row r="798" spans="1:38" x14ac:dyDescent="0.35">
      <c r="A798" t="s">
        <v>1003</v>
      </c>
      <c r="B798" t="s">
        <v>73</v>
      </c>
      <c r="C798" t="s">
        <v>74</v>
      </c>
      <c r="D798">
        <v>1.9</v>
      </c>
      <c r="E798" t="s">
        <v>67</v>
      </c>
      <c r="F798">
        <v>25</v>
      </c>
      <c r="G798" t="s">
        <v>68</v>
      </c>
      <c r="H798" t="s">
        <v>55</v>
      </c>
      <c r="I798">
        <v>4</v>
      </c>
      <c r="J798">
        <v>4.2</v>
      </c>
      <c r="K798">
        <v>12</v>
      </c>
      <c r="L798">
        <v>3</v>
      </c>
      <c r="M798">
        <v>12</v>
      </c>
      <c r="N798">
        <v>0</v>
      </c>
      <c r="O798" t="s">
        <v>70</v>
      </c>
      <c r="P798">
        <v>36700</v>
      </c>
      <c r="Q798">
        <v>7.6</v>
      </c>
      <c r="R798">
        <v>3.1</v>
      </c>
      <c r="S798">
        <v>0.3</v>
      </c>
      <c r="T798">
        <v>0</v>
      </c>
      <c r="U798">
        <v>1.4</v>
      </c>
      <c r="V798">
        <v>3.7</v>
      </c>
      <c r="W798">
        <v>2.4</v>
      </c>
      <c r="X798" t="s">
        <v>89</v>
      </c>
      <c r="Y798">
        <v>0</v>
      </c>
      <c r="Z798">
        <v>0</v>
      </c>
      <c r="AB798">
        <v>0</v>
      </c>
      <c r="AC798" t="s">
        <v>46</v>
      </c>
      <c r="AE798">
        <v>1</v>
      </c>
      <c r="AF798">
        <v>0</v>
      </c>
      <c r="AG798" t="s">
        <v>75</v>
      </c>
      <c r="AH798" t="s">
        <v>48</v>
      </c>
      <c r="AI798" t="s">
        <v>64</v>
      </c>
      <c r="AJ798">
        <v>2.5</v>
      </c>
      <c r="AK798" s="1" t="s">
        <v>115</v>
      </c>
      <c r="AL798">
        <v>0</v>
      </c>
    </row>
    <row r="799" spans="1:38" x14ac:dyDescent="0.35">
      <c r="A799" t="s">
        <v>1004</v>
      </c>
      <c r="B799" t="s">
        <v>73</v>
      </c>
      <c r="C799" t="s">
        <v>121</v>
      </c>
      <c r="D799">
        <v>8.1</v>
      </c>
      <c r="E799" t="s">
        <v>110</v>
      </c>
      <c r="F799">
        <v>38</v>
      </c>
      <c r="G799" t="s">
        <v>42</v>
      </c>
      <c r="H799" t="s">
        <v>55</v>
      </c>
      <c r="I799">
        <v>2</v>
      </c>
      <c r="J799">
        <v>14.6</v>
      </c>
      <c r="K799">
        <v>11</v>
      </c>
      <c r="L799">
        <v>1</v>
      </c>
      <c r="M799">
        <v>12</v>
      </c>
      <c r="N799">
        <v>0</v>
      </c>
      <c r="O799" t="s">
        <v>44</v>
      </c>
      <c r="P799">
        <v>52800</v>
      </c>
      <c r="Q799">
        <v>7.5</v>
      </c>
      <c r="R799">
        <v>2.9</v>
      </c>
      <c r="S799">
        <v>0.4</v>
      </c>
      <c r="T799">
        <v>0</v>
      </c>
      <c r="U799">
        <v>3.8</v>
      </c>
      <c r="V799">
        <v>3.4</v>
      </c>
      <c r="W799">
        <v>4</v>
      </c>
      <c r="X799" t="s">
        <v>89</v>
      </c>
      <c r="Y799">
        <v>0</v>
      </c>
      <c r="Z799">
        <v>0</v>
      </c>
      <c r="AB799">
        <v>0</v>
      </c>
      <c r="AC799" t="s">
        <v>46</v>
      </c>
      <c r="AE799">
        <v>1</v>
      </c>
      <c r="AF799">
        <v>0</v>
      </c>
      <c r="AG799" t="s">
        <v>75</v>
      </c>
      <c r="AH799" t="s">
        <v>83</v>
      </c>
      <c r="AI799" t="s">
        <v>49</v>
      </c>
      <c r="AJ799" s="1" t="s">
        <v>114</v>
      </c>
      <c r="AK799" s="1" t="s">
        <v>84</v>
      </c>
      <c r="AL799">
        <v>0</v>
      </c>
    </row>
    <row r="800" spans="1:38" x14ac:dyDescent="0.35">
      <c r="A800" t="s">
        <v>1005</v>
      </c>
      <c r="B800" t="s">
        <v>39</v>
      </c>
      <c r="C800" t="s">
        <v>40</v>
      </c>
      <c r="D800">
        <v>6.3</v>
      </c>
      <c r="E800" t="s">
        <v>67</v>
      </c>
      <c r="F800">
        <v>39</v>
      </c>
      <c r="G800" t="s">
        <v>42</v>
      </c>
      <c r="H800" t="s">
        <v>55</v>
      </c>
      <c r="I800">
        <v>0</v>
      </c>
      <c r="J800">
        <v>38</v>
      </c>
      <c r="K800">
        <v>11</v>
      </c>
      <c r="L800">
        <v>4</v>
      </c>
      <c r="M800">
        <v>12</v>
      </c>
      <c r="N800">
        <v>0</v>
      </c>
      <c r="O800" t="s">
        <v>70</v>
      </c>
      <c r="P800">
        <v>47900</v>
      </c>
      <c r="Q800">
        <v>5.9</v>
      </c>
      <c r="R800">
        <v>2.9</v>
      </c>
      <c r="S800">
        <v>1.8</v>
      </c>
      <c r="T800">
        <v>0</v>
      </c>
      <c r="U800">
        <v>2.2999999999999998</v>
      </c>
      <c r="V800">
        <v>4.0999999999999996</v>
      </c>
      <c r="W800">
        <v>4.5</v>
      </c>
      <c r="X800" t="s">
        <v>45</v>
      </c>
      <c r="Y800">
        <v>0</v>
      </c>
      <c r="Z800">
        <v>1</v>
      </c>
      <c r="AA800">
        <v>0.3</v>
      </c>
      <c r="AB800">
        <v>1</v>
      </c>
      <c r="AC800" t="s">
        <v>46</v>
      </c>
      <c r="AE800">
        <v>0</v>
      </c>
      <c r="AF800">
        <v>0</v>
      </c>
      <c r="AG800" t="s">
        <v>47</v>
      </c>
      <c r="AH800" t="s">
        <v>83</v>
      </c>
      <c r="AI800" t="s">
        <v>57</v>
      </c>
      <c r="AJ800" s="1" t="s">
        <v>187</v>
      </c>
      <c r="AK800">
        <v>0</v>
      </c>
      <c r="AL800">
        <v>0</v>
      </c>
    </row>
    <row r="801" spans="1:38" x14ac:dyDescent="0.35">
      <c r="A801" t="s">
        <v>1006</v>
      </c>
      <c r="B801" t="s">
        <v>39</v>
      </c>
      <c r="C801" t="s">
        <v>66</v>
      </c>
      <c r="D801">
        <v>6.2</v>
      </c>
      <c r="E801" t="s">
        <v>67</v>
      </c>
      <c r="F801">
        <v>34</v>
      </c>
      <c r="G801" t="s">
        <v>42</v>
      </c>
      <c r="H801" t="s">
        <v>55</v>
      </c>
      <c r="I801">
        <v>4</v>
      </c>
      <c r="J801">
        <v>9.3000000000000007</v>
      </c>
      <c r="K801">
        <v>4</v>
      </c>
      <c r="L801">
        <v>3</v>
      </c>
      <c r="M801">
        <v>12</v>
      </c>
      <c r="N801">
        <v>0</v>
      </c>
      <c r="O801" t="s">
        <v>70</v>
      </c>
      <c r="P801">
        <v>40000</v>
      </c>
      <c r="Q801">
        <v>12.7</v>
      </c>
      <c r="R801">
        <v>2.8</v>
      </c>
      <c r="S801">
        <v>0.2</v>
      </c>
      <c r="T801">
        <v>0</v>
      </c>
      <c r="U801">
        <v>4</v>
      </c>
      <c r="V801">
        <v>1.8</v>
      </c>
      <c r="W801">
        <v>1.8</v>
      </c>
      <c r="X801" t="s">
        <v>45</v>
      </c>
      <c r="Y801">
        <v>0</v>
      </c>
      <c r="Z801">
        <v>0</v>
      </c>
      <c r="AB801">
        <v>0</v>
      </c>
      <c r="AC801" t="s">
        <v>46</v>
      </c>
      <c r="AE801">
        <v>1</v>
      </c>
      <c r="AF801">
        <v>0</v>
      </c>
      <c r="AG801" t="s">
        <v>75</v>
      </c>
      <c r="AH801" t="s">
        <v>83</v>
      </c>
      <c r="AI801" t="s">
        <v>64</v>
      </c>
      <c r="AJ801" s="1" t="s">
        <v>111</v>
      </c>
      <c r="AK801" s="1" t="s">
        <v>115</v>
      </c>
      <c r="AL801">
        <v>0</v>
      </c>
    </row>
    <row r="802" spans="1:38" x14ac:dyDescent="0.35">
      <c r="A802" t="s">
        <v>1007</v>
      </c>
      <c r="B802" t="s">
        <v>39</v>
      </c>
      <c r="C802" t="s">
        <v>40</v>
      </c>
      <c r="D802">
        <v>3.3</v>
      </c>
      <c r="E802" t="s">
        <v>81</v>
      </c>
      <c r="F802">
        <v>26</v>
      </c>
      <c r="G802" t="s">
        <v>68</v>
      </c>
      <c r="H802" t="s">
        <v>43</v>
      </c>
      <c r="I802">
        <v>2</v>
      </c>
      <c r="J802">
        <v>19.8</v>
      </c>
      <c r="K802">
        <v>15</v>
      </c>
      <c r="L802">
        <v>3</v>
      </c>
      <c r="M802">
        <v>12</v>
      </c>
      <c r="N802">
        <v>0</v>
      </c>
      <c r="O802" t="s">
        <v>82</v>
      </c>
      <c r="P802">
        <v>27100</v>
      </c>
      <c r="Q802">
        <v>8.4</v>
      </c>
      <c r="R802">
        <v>3.7</v>
      </c>
      <c r="S802">
        <v>0.1</v>
      </c>
      <c r="T802">
        <v>0</v>
      </c>
      <c r="U802">
        <v>3.3</v>
      </c>
      <c r="V802">
        <v>2.8</v>
      </c>
      <c r="W802">
        <v>4.3</v>
      </c>
      <c r="X802" t="s">
        <v>45</v>
      </c>
      <c r="Y802">
        <v>0</v>
      </c>
      <c r="Z802">
        <v>0</v>
      </c>
      <c r="AB802">
        <v>0</v>
      </c>
      <c r="AC802" t="s">
        <v>46</v>
      </c>
      <c r="AE802">
        <v>1</v>
      </c>
      <c r="AF802">
        <v>0</v>
      </c>
      <c r="AG802" t="s">
        <v>75</v>
      </c>
      <c r="AH802" t="s">
        <v>76</v>
      </c>
      <c r="AI802" t="s">
        <v>49</v>
      </c>
      <c r="AJ802" s="1" t="s">
        <v>137</v>
      </c>
      <c r="AK802" s="1" t="s">
        <v>84</v>
      </c>
      <c r="AL802">
        <v>0</v>
      </c>
    </row>
    <row r="803" spans="1:38" x14ac:dyDescent="0.35">
      <c r="A803" t="s">
        <v>1008</v>
      </c>
      <c r="B803" t="s">
        <v>98</v>
      </c>
      <c r="C803" t="s">
        <v>99</v>
      </c>
      <c r="D803">
        <v>1.3</v>
      </c>
      <c r="E803" t="s">
        <v>110</v>
      </c>
      <c r="F803">
        <v>29</v>
      </c>
      <c r="G803" t="s">
        <v>54</v>
      </c>
      <c r="H803" t="s">
        <v>69</v>
      </c>
      <c r="I803">
        <v>5</v>
      </c>
      <c r="J803">
        <v>14.3</v>
      </c>
      <c r="K803">
        <v>10</v>
      </c>
      <c r="L803">
        <v>2</v>
      </c>
      <c r="M803">
        <v>12</v>
      </c>
      <c r="N803">
        <v>0</v>
      </c>
      <c r="O803" t="s">
        <v>70</v>
      </c>
      <c r="P803">
        <v>48300</v>
      </c>
      <c r="Q803">
        <v>0</v>
      </c>
      <c r="R803">
        <v>2.4</v>
      </c>
      <c r="S803">
        <v>0.8</v>
      </c>
      <c r="T803">
        <v>0</v>
      </c>
      <c r="U803">
        <v>4.0999999999999996</v>
      </c>
      <c r="V803">
        <v>2.9</v>
      </c>
      <c r="W803">
        <v>3.2</v>
      </c>
      <c r="X803" t="s">
        <v>45</v>
      </c>
      <c r="Y803">
        <v>0</v>
      </c>
      <c r="Z803">
        <v>1</v>
      </c>
      <c r="AA803">
        <v>1.1000000000000001</v>
      </c>
      <c r="AB803">
        <v>0</v>
      </c>
      <c r="AC803" t="s">
        <v>46</v>
      </c>
      <c r="AE803">
        <v>0</v>
      </c>
      <c r="AF803">
        <v>0</v>
      </c>
      <c r="AG803" t="s">
        <v>47</v>
      </c>
      <c r="AH803" t="s">
        <v>48</v>
      </c>
      <c r="AI803" t="s">
        <v>49</v>
      </c>
      <c r="AJ803">
        <v>3.4</v>
      </c>
      <c r="AK803" s="1" t="s">
        <v>127</v>
      </c>
      <c r="AL803">
        <v>0</v>
      </c>
    </row>
    <row r="804" spans="1:38" x14ac:dyDescent="0.35">
      <c r="A804" t="s">
        <v>1009</v>
      </c>
      <c r="B804" t="s">
        <v>60</v>
      </c>
      <c r="C804" t="s">
        <v>107</v>
      </c>
      <c r="D804">
        <v>4.3</v>
      </c>
      <c r="E804" t="s">
        <v>81</v>
      </c>
      <c r="F804">
        <v>40</v>
      </c>
      <c r="G804" t="s">
        <v>54</v>
      </c>
      <c r="H804" t="s">
        <v>55</v>
      </c>
      <c r="I804">
        <v>5</v>
      </c>
      <c r="J804">
        <v>5.6</v>
      </c>
      <c r="K804">
        <v>6</v>
      </c>
      <c r="L804">
        <v>3</v>
      </c>
      <c r="M804">
        <v>12</v>
      </c>
      <c r="N804">
        <v>0</v>
      </c>
      <c r="O804" t="s">
        <v>82</v>
      </c>
      <c r="P804">
        <v>30100</v>
      </c>
      <c r="Q804">
        <v>12.8</v>
      </c>
      <c r="R804">
        <v>4.9000000000000004</v>
      </c>
      <c r="S804">
        <v>1.3</v>
      </c>
      <c r="T804">
        <v>0</v>
      </c>
      <c r="U804">
        <v>2.4</v>
      </c>
      <c r="V804">
        <v>3.3</v>
      </c>
      <c r="W804">
        <v>2</v>
      </c>
      <c r="X804" t="s">
        <v>45</v>
      </c>
      <c r="Y804">
        <v>0</v>
      </c>
      <c r="Z804">
        <v>2</v>
      </c>
      <c r="AA804">
        <v>2.8</v>
      </c>
      <c r="AB804">
        <v>2</v>
      </c>
      <c r="AC804" t="s">
        <v>46</v>
      </c>
      <c r="AE804">
        <v>0</v>
      </c>
      <c r="AF804">
        <v>0</v>
      </c>
      <c r="AG804" t="s">
        <v>47</v>
      </c>
      <c r="AH804" t="s">
        <v>76</v>
      </c>
      <c r="AI804" t="s">
        <v>64</v>
      </c>
      <c r="AJ804" s="1" t="s">
        <v>533</v>
      </c>
      <c r="AK804" s="1" t="s">
        <v>127</v>
      </c>
      <c r="AL804">
        <v>0</v>
      </c>
    </row>
    <row r="805" spans="1:38" x14ac:dyDescent="0.35">
      <c r="A805" t="s">
        <v>1010</v>
      </c>
      <c r="B805" t="s">
        <v>117</v>
      </c>
      <c r="C805" t="s">
        <v>197</v>
      </c>
      <c r="D805">
        <v>5.4</v>
      </c>
      <c r="E805" t="s">
        <v>41</v>
      </c>
      <c r="F805">
        <v>32</v>
      </c>
      <c r="G805" t="s">
        <v>54</v>
      </c>
      <c r="H805" t="s">
        <v>63</v>
      </c>
      <c r="I805">
        <v>2</v>
      </c>
      <c r="J805">
        <v>20</v>
      </c>
      <c r="K805">
        <v>17</v>
      </c>
      <c r="L805">
        <v>1</v>
      </c>
      <c r="M805">
        <v>12</v>
      </c>
      <c r="N805">
        <v>0</v>
      </c>
      <c r="O805" t="s">
        <v>44</v>
      </c>
      <c r="P805">
        <v>74100</v>
      </c>
      <c r="Q805">
        <v>11.8</v>
      </c>
      <c r="R805">
        <v>3.7</v>
      </c>
      <c r="S805">
        <v>0.1</v>
      </c>
      <c r="T805">
        <v>0</v>
      </c>
      <c r="U805">
        <v>2.8</v>
      </c>
      <c r="V805">
        <v>3.2</v>
      </c>
      <c r="W805">
        <v>3.8</v>
      </c>
      <c r="X805" t="s">
        <v>45</v>
      </c>
      <c r="Y805">
        <v>0</v>
      </c>
      <c r="Z805">
        <v>0</v>
      </c>
      <c r="AB805">
        <v>0</v>
      </c>
      <c r="AC805" t="s">
        <v>46</v>
      </c>
      <c r="AE805">
        <v>1</v>
      </c>
      <c r="AF805">
        <v>0</v>
      </c>
      <c r="AG805" t="s">
        <v>75</v>
      </c>
      <c r="AH805" t="s">
        <v>83</v>
      </c>
      <c r="AI805" t="s">
        <v>49</v>
      </c>
      <c r="AJ805" s="1" t="s">
        <v>235</v>
      </c>
      <c r="AK805" s="1" t="s">
        <v>84</v>
      </c>
      <c r="AL805">
        <v>0</v>
      </c>
    </row>
    <row r="806" spans="1:38" x14ac:dyDescent="0.35">
      <c r="A806" t="s">
        <v>1011</v>
      </c>
      <c r="B806" t="s">
        <v>73</v>
      </c>
      <c r="C806" t="s">
        <v>177</v>
      </c>
      <c r="D806">
        <v>5.5</v>
      </c>
      <c r="E806" t="s">
        <v>41</v>
      </c>
      <c r="F806">
        <v>37</v>
      </c>
      <c r="G806" t="s">
        <v>42</v>
      </c>
      <c r="H806" t="s">
        <v>55</v>
      </c>
      <c r="I806">
        <v>3</v>
      </c>
      <c r="J806">
        <v>1.6</v>
      </c>
      <c r="K806">
        <v>9</v>
      </c>
      <c r="L806">
        <v>1</v>
      </c>
      <c r="M806">
        <v>12</v>
      </c>
      <c r="N806">
        <v>0</v>
      </c>
      <c r="O806" t="s">
        <v>44</v>
      </c>
      <c r="P806">
        <v>66700</v>
      </c>
      <c r="Q806">
        <v>10.4</v>
      </c>
      <c r="R806">
        <v>2.5</v>
      </c>
      <c r="S806">
        <v>1.9</v>
      </c>
      <c r="T806">
        <v>0</v>
      </c>
      <c r="U806">
        <v>3</v>
      </c>
      <c r="V806">
        <v>3.6</v>
      </c>
      <c r="W806">
        <v>4.0999999999999996</v>
      </c>
      <c r="X806" t="s">
        <v>45</v>
      </c>
      <c r="Y806">
        <v>0</v>
      </c>
      <c r="Z806">
        <v>1</v>
      </c>
      <c r="AA806">
        <v>4.2</v>
      </c>
      <c r="AB806">
        <v>1</v>
      </c>
      <c r="AC806" t="s">
        <v>46</v>
      </c>
      <c r="AE806">
        <v>0</v>
      </c>
      <c r="AF806">
        <v>0</v>
      </c>
      <c r="AG806" t="s">
        <v>47</v>
      </c>
      <c r="AH806" t="s">
        <v>83</v>
      </c>
      <c r="AI806" t="s">
        <v>64</v>
      </c>
      <c r="AJ806" s="1" t="s">
        <v>126</v>
      </c>
      <c r="AK806">
        <v>0.25</v>
      </c>
      <c r="AL806">
        <v>0</v>
      </c>
    </row>
    <row r="807" spans="1:38" x14ac:dyDescent="0.35">
      <c r="A807" t="s">
        <v>1012</v>
      </c>
      <c r="B807" t="s">
        <v>73</v>
      </c>
      <c r="C807" t="s">
        <v>74</v>
      </c>
      <c r="D807">
        <v>5</v>
      </c>
      <c r="E807" t="s">
        <v>110</v>
      </c>
      <c r="F807">
        <v>28</v>
      </c>
      <c r="G807" t="s">
        <v>42</v>
      </c>
      <c r="H807" t="s">
        <v>69</v>
      </c>
      <c r="I807">
        <v>4</v>
      </c>
      <c r="J807">
        <v>18.899999999999999</v>
      </c>
      <c r="K807">
        <v>9</v>
      </c>
      <c r="L807">
        <v>2</v>
      </c>
      <c r="M807">
        <v>12</v>
      </c>
      <c r="N807">
        <v>0</v>
      </c>
      <c r="O807" t="s">
        <v>44</v>
      </c>
      <c r="P807">
        <v>56100</v>
      </c>
      <c r="Q807">
        <v>0</v>
      </c>
      <c r="R807">
        <v>3.8</v>
      </c>
      <c r="S807">
        <v>1.2</v>
      </c>
      <c r="T807">
        <v>0</v>
      </c>
      <c r="U807">
        <v>2</v>
      </c>
      <c r="V807">
        <v>3.1</v>
      </c>
      <c r="W807">
        <v>3.1</v>
      </c>
      <c r="X807" t="s">
        <v>89</v>
      </c>
      <c r="Y807">
        <v>0</v>
      </c>
      <c r="Z807">
        <v>2</v>
      </c>
      <c r="AA807">
        <v>1.5</v>
      </c>
      <c r="AB807">
        <v>1</v>
      </c>
      <c r="AC807" t="s">
        <v>46</v>
      </c>
      <c r="AE807">
        <v>0</v>
      </c>
      <c r="AF807">
        <v>0</v>
      </c>
      <c r="AG807" t="s">
        <v>47</v>
      </c>
      <c r="AH807" t="s">
        <v>76</v>
      </c>
      <c r="AI807" t="s">
        <v>49</v>
      </c>
      <c r="AJ807" s="1" t="s">
        <v>168</v>
      </c>
      <c r="AK807" s="1" t="s">
        <v>115</v>
      </c>
      <c r="AL807">
        <v>0</v>
      </c>
    </row>
    <row r="808" spans="1:38" x14ac:dyDescent="0.35">
      <c r="A808" t="s">
        <v>1013</v>
      </c>
      <c r="B808" t="s">
        <v>39</v>
      </c>
      <c r="C808" t="s">
        <v>88</v>
      </c>
      <c r="D808">
        <v>4.8</v>
      </c>
      <c r="E808" t="s">
        <v>81</v>
      </c>
      <c r="F808">
        <v>31</v>
      </c>
      <c r="G808" t="s">
        <v>42</v>
      </c>
      <c r="H808" t="s">
        <v>63</v>
      </c>
      <c r="I808">
        <v>4</v>
      </c>
      <c r="J808">
        <v>15</v>
      </c>
      <c r="K808">
        <v>7</v>
      </c>
      <c r="L808">
        <v>0</v>
      </c>
      <c r="M808">
        <v>12</v>
      </c>
      <c r="N808">
        <v>0</v>
      </c>
      <c r="O808" t="s">
        <v>82</v>
      </c>
      <c r="P808">
        <v>27200</v>
      </c>
      <c r="Q808">
        <v>8</v>
      </c>
      <c r="R808">
        <v>4.0999999999999996</v>
      </c>
      <c r="S808">
        <v>0.4</v>
      </c>
      <c r="T808">
        <v>0</v>
      </c>
      <c r="U808">
        <v>3.3</v>
      </c>
      <c r="V808">
        <v>4.4000000000000004</v>
      </c>
      <c r="W808">
        <v>2.6</v>
      </c>
      <c r="X808" t="s">
        <v>45</v>
      </c>
      <c r="Y808">
        <v>1</v>
      </c>
      <c r="Z808">
        <v>0</v>
      </c>
      <c r="AB808">
        <v>1</v>
      </c>
      <c r="AC808" t="s">
        <v>46</v>
      </c>
      <c r="AE808">
        <v>1</v>
      </c>
      <c r="AF808">
        <v>0</v>
      </c>
      <c r="AG808" t="s">
        <v>75</v>
      </c>
      <c r="AH808" t="s">
        <v>76</v>
      </c>
      <c r="AI808" t="s">
        <v>49</v>
      </c>
      <c r="AJ808" s="1" t="s">
        <v>174</v>
      </c>
      <c r="AK808" s="1" t="s">
        <v>115</v>
      </c>
      <c r="AL808">
        <v>0</v>
      </c>
    </row>
    <row r="809" spans="1:38" x14ac:dyDescent="0.35">
      <c r="A809" t="s">
        <v>1014</v>
      </c>
      <c r="B809" t="s">
        <v>73</v>
      </c>
      <c r="C809" t="s">
        <v>113</v>
      </c>
      <c r="D809">
        <v>2.2000000000000002</v>
      </c>
      <c r="E809" t="s">
        <v>67</v>
      </c>
      <c r="F809">
        <v>31</v>
      </c>
      <c r="G809" t="s">
        <v>42</v>
      </c>
      <c r="H809" t="s">
        <v>94</v>
      </c>
      <c r="I809">
        <v>2</v>
      </c>
      <c r="J809">
        <v>6.1</v>
      </c>
      <c r="K809">
        <v>4</v>
      </c>
      <c r="L809">
        <v>1</v>
      </c>
      <c r="M809">
        <v>12</v>
      </c>
      <c r="N809">
        <v>0</v>
      </c>
      <c r="O809" t="s">
        <v>82</v>
      </c>
      <c r="P809">
        <v>26300</v>
      </c>
      <c r="Q809">
        <v>11.6</v>
      </c>
      <c r="R809">
        <v>3.5</v>
      </c>
      <c r="S809">
        <v>1.4</v>
      </c>
      <c r="T809">
        <v>0</v>
      </c>
      <c r="U809">
        <v>3.3</v>
      </c>
      <c r="V809">
        <v>4.7</v>
      </c>
      <c r="W809">
        <v>4.8</v>
      </c>
      <c r="X809" t="s">
        <v>45</v>
      </c>
      <c r="Y809">
        <v>1</v>
      </c>
      <c r="Z809">
        <v>1</v>
      </c>
      <c r="AA809">
        <v>1.9</v>
      </c>
      <c r="AB809">
        <v>1</v>
      </c>
      <c r="AC809" t="s">
        <v>46</v>
      </c>
      <c r="AE809">
        <v>0</v>
      </c>
      <c r="AF809">
        <v>0</v>
      </c>
      <c r="AG809" t="s">
        <v>47</v>
      </c>
      <c r="AH809" t="s">
        <v>48</v>
      </c>
      <c r="AI809" t="s">
        <v>64</v>
      </c>
      <c r="AJ809" s="1" t="s">
        <v>193</v>
      </c>
      <c r="AK809" s="1" t="s">
        <v>84</v>
      </c>
      <c r="AL809">
        <v>0</v>
      </c>
    </row>
    <row r="810" spans="1:38" x14ac:dyDescent="0.35">
      <c r="A810" t="s">
        <v>1015</v>
      </c>
      <c r="B810" t="s">
        <v>117</v>
      </c>
      <c r="C810" t="s">
        <v>189</v>
      </c>
      <c r="D810">
        <v>2.2999999999999998</v>
      </c>
      <c r="E810" t="s">
        <v>67</v>
      </c>
      <c r="F810">
        <v>30</v>
      </c>
      <c r="G810" t="s">
        <v>42</v>
      </c>
      <c r="H810" t="s">
        <v>69</v>
      </c>
      <c r="I810">
        <v>5</v>
      </c>
      <c r="J810">
        <v>3.6</v>
      </c>
      <c r="K810">
        <v>12</v>
      </c>
      <c r="L810">
        <v>1</v>
      </c>
      <c r="M810">
        <v>12</v>
      </c>
      <c r="N810">
        <v>0</v>
      </c>
      <c r="O810" t="s">
        <v>70</v>
      </c>
      <c r="P810">
        <v>41200</v>
      </c>
      <c r="Q810">
        <v>9.5</v>
      </c>
      <c r="R810">
        <v>2.2999999999999998</v>
      </c>
      <c r="S810">
        <v>0.1</v>
      </c>
      <c r="T810">
        <v>0</v>
      </c>
      <c r="U810">
        <v>4.3</v>
      </c>
      <c r="V810">
        <v>2.2000000000000002</v>
      </c>
      <c r="W810">
        <v>2.9</v>
      </c>
      <c r="X810" t="s">
        <v>45</v>
      </c>
      <c r="Y810">
        <v>0</v>
      </c>
      <c r="Z810">
        <v>0</v>
      </c>
      <c r="AB810">
        <v>0</v>
      </c>
      <c r="AC810" t="s">
        <v>46</v>
      </c>
      <c r="AE810">
        <v>1</v>
      </c>
      <c r="AF810">
        <v>0</v>
      </c>
      <c r="AG810" t="s">
        <v>75</v>
      </c>
      <c r="AH810" t="s">
        <v>48</v>
      </c>
      <c r="AI810" t="s">
        <v>64</v>
      </c>
      <c r="AJ810" s="1" t="s">
        <v>50</v>
      </c>
      <c r="AK810" s="1" t="s">
        <v>127</v>
      </c>
      <c r="AL810">
        <v>0</v>
      </c>
    </row>
    <row r="811" spans="1:38" x14ac:dyDescent="0.35">
      <c r="A811" t="s">
        <v>1016</v>
      </c>
      <c r="B811" t="s">
        <v>60</v>
      </c>
      <c r="C811" t="s">
        <v>80</v>
      </c>
      <c r="D811">
        <v>1.4</v>
      </c>
      <c r="E811" t="s">
        <v>110</v>
      </c>
      <c r="F811">
        <v>24</v>
      </c>
      <c r="G811" t="s">
        <v>54</v>
      </c>
      <c r="H811" t="s">
        <v>69</v>
      </c>
      <c r="I811">
        <v>4</v>
      </c>
      <c r="J811">
        <v>6.6</v>
      </c>
      <c r="K811">
        <v>8</v>
      </c>
      <c r="L811">
        <v>4</v>
      </c>
      <c r="M811">
        <v>12</v>
      </c>
      <c r="N811">
        <v>0</v>
      </c>
      <c r="O811" t="s">
        <v>44</v>
      </c>
      <c r="P811">
        <v>55600</v>
      </c>
      <c r="Q811">
        <v>8.8000000000000007</v>
      </c>
      <c r="R811">
        <v>5</v>
      </c>
      <c r="S811">
        <v>0.9</v>
      </c>
      <c r="T811">
        <v>0</v>
      </c>
      <c r="U811">
        <v>3.7</v>
      </c>
      <c r="V811">
        <v>3.2</v>
      </c>
      <c r="W811">
        <v>4.3</v>
      </c>
      <c r="X811" t="s">
        <v>45</v>
      </c>
      <c r="Y811">
        <v>0</v>
      </c>
      <c r="Z811">
        <v>1</v>
      </c>
      <c r="AA811">
        <v>1.2</v>
      </c>
      <c r="AB811">
        <v>1</v>
      </c>
      <c r="AC811" t="s">
        <v>46</v>
      </c>
      <c r="AE811">
        <v>0</v>
      </c>
      <c r="AF811">
        <v>0</v>
      </c>
      <c r="AG811" t="s">
        <v>47</v>
      </c>
      <c r="AH811" t="s">
        <v>48</v>
      </c>
      <c r="AI811" t="s">
        <v>64</v>
      </c>
      <c r="AJ811" s="1" t="s">
        <v>114</v>
      </c>
      <c r="AK811" s="1" t="s">
        <v>115</v>
      </c>
      <c r="AL811">
        <v>0</v>
      </c>
    </row>
    <row r="812" spans="1:38" x14ac:dyDescent="0.35">
      <c r="A812" t="s">
        <v>1017</v>
      </c>
      <c r="B812" t="s">
        <v>73</v>
      </c>
      <c r="C812" t="s">
        <v>121</v>
      </c>
      <c r="D812">
        <v>7.5</v>
      </c>
      <c r="E812" t="s">
        <v>41</v>
      </c>
      <c r="F812">
        <v>30</v>
      </c>
      <c r="G812" t="s">
        <v>68</v>
      </c>
      <c r="H812" t="s">
        <v>55</v>
      </c>
      <c r="I812">
        <v>3</v>
      </c>
      <c r="J812">
        <v>5.2</v>
      </c>
      <c r="K812">
        <v>12</v>
      </c>
      <c r="L812">
        <v>2</v>
      </c>
      <c r="M812">
        <v>12</v>
      </c>
      <c r="N812">
        <v>0</v>
      </c>
      <c r="O812" t="s">
        <v>56</v>
      </c>
      <c r="P812">
        <v>77600</v>
      </c>
      <c r="Q812">
        <v>11.6</v>
      </c>
      <c r="R812">
        <v>3.8</v>
      </c>
      <c r="S812">
        <v>1</v>
      </c>
      <c r="T812">
        <v>0</v>
      </c>
      <c r="U812">
        <v>3.1</v>
      </c>
      <c r="V812">
        <v>3.9</v>
      </c>
      <c r="W812">
        <v>2.2000000000000002</v>
      </c>
      <c r="X812" t="s">
        <v>45</v>
      </c>
      <c r="Y812">
        <v>0</v>
      </c>
      <c r="Z812">
        <v>2</v>
      </c>
      <c r="AA812">
        <v>7</v>
      </c>
      <c r="AB812">
        <v>1</v>
      </c>
      <c r="AC812" t="s">
        <v>46</v>
      </c>
      <c r="AE812">
        <v>0</v>
      </c>
      <c r="AF812">
        <v>0</v>
      </c>
      <c r="AG812" t="s">
        <v>47</v>
      </c>
      <c r="AH812" t="s">
        <v>83</v>
      </c>
      <c r="AI812" t="s">
        <v>64</v>
      </c>
      <c r="AJ812" s="1" t="s">
        <v>159</v>
      </c>
      <c r="AK812">
        <v>0.25</v>
      </c>
      <c r="AL812">
        <v>0</v>
      </c>
    </row>
    <row r="813" spans="1:38" x14ac:dyDescent="0.35">
      <c r="A813" t="s">
        <v>1018</v>
      </c>
      <c r="B813" t="s">
        <v>73</v>
      </c>
      <c r="C813" t="s">
        <v>113</v>
      </c>
      <c r="D813">
        <v>12.1</v>
      </c>
      <c r="E813" t="s">
        <v>67</v>
      </c>
      <c r="F813">
        <v>42</v>
      </c>
      <c r="G813" t="s">
        <v>42</v>
      </c>
      <c r="H813" t="s">
        <v>55</v>
      </c>
      <c r="I813">
        <v>1</v>
      </c>
      <c r="J813">
        <v>8</v>
      </c>
      <c r="K813">
        <v>11</v>
      </c>
      <c r="L813">
        <v>3</v>
      </c>
      <c r="M813">
        <v>12</v>
      </c>
      <c r="N813">
        <v>0</v>
      </c>
      <c r="O813" t="s">
        <v>70</v>
      </c>
      <c r="P813">
        <v>41400</v>
      </c>
      <c r="Q813">
        <v>8.6</v>
      </c>
      <c r="R813">
        <v>2.1</v>
      </c>
      <c r="S813">
        <v>1.3</v>
      </c>
      <c r="T813">
        <v>0</v>
      </c>
      <c r="U813">
        <v>3.6</v>
      </c>
      <c r="V813">
        <v>3.7</v>
      </c>
      <c r="W813">
        <v>3.7</v>
      </c>
      <c r="X813" t="s">
        <v>45</v>
      </c>
      <c r="Y813">
        <v>0</v>
      </c>
      <c r="Z813">
        <v>0</v>
      </c>
      <c r="AB813">
        <v>0</v>
      </c>
      <c r="AC813" t="s">
        <v>46</v>
      </c>
      <c r="AE813">
        <v>1</v>
      </c>
      <c r="AF813">
        <v>0</v>
      </c>
      <c r="AG813" t="s">
        <v>75</v>
      </c>
      <c r="AH813" t="s">
        <v>83</v>
      </c>
      <c r="AI813" t="s">
        <v>64</v>
      </c>
      <c r="AJ813" s="1" t="s">
        <v>266</v>
      </c>
      <c r="AK813">
        <v>8.3333333333333301E-2</v>
      </c>
      <c r="AL813">
        <v>0</v>
      </c>
    </row>
    <row r="814" spans="1:38" x14ac:dyDescent="0.35">
      <c r="A814" t="s">
        <v>1019</v>
      </c>
      <c r="B814" t="s">
        <v>60</v>
      </c>
      <c r="C814" t="s">
        <v>80</v>
      </c>
      <c r="D814">
        <v>19.7</v>
      </c>
      <c r="E814" t="s">
        <v>41</v>
      </c>
      <c r="F814">
        <v>50</v>
      </c>
      <c r="G814" t="s">
        <v>42</v>
      </c>
      <c r="H814" t="s">
        <v>43</v>
      </c>
      <c r="I814">
        <v>5</v>
      </c>
      <c r="J814">
        <v>7.3</v>
      </c>
      <c r="K814">
        <v>15</v>
      </c>
      <c r="L814">
        <v>4</v>
      </c>
      <c r="M814">
        <v>12</v>
      </c>
      <c r="N814">
        <v>0</v>
      </c>
      <c r="O814" t="s">
        <v>56</v>
      </c>
      <c r="P814">
        <v>87800</v>
      </c>
      <c r="Q814">
        <v>12.8</v>
      </c>
      <c r="R814">
        <v>3.4</v>
      </c>
      <c r="S814">
        <v>1.5</v>
      </c>
      <c r="T814">
        <v>0</v>
      </c>
      <c r="U814">
        <v>3.6</v>
      </c>
      <c r="V814">
        <v>2.8</v>
      </c>
      <c r="W814">
        <v>3.7</v>
      </c>
      <c r="X814" t="s">
        <v>45</v>
      </c>
      <c r="Y814">
        <v>0</v>
      </c>
      <c r="Z814">
        <v>0</v>
      </c>
      <c r="AB814">
        <v>0</v>
      </c>
      <c r="AC814" t="s">
        <v>46</v>
      </c>
      <c r="AE814">
        <v>1</v>
      </c>
      <c r="AF814">
        <v>0</v>
      </c>
      <c r="AG814" t="s">
        <v>75</v>
      </c>
      <c r="AH814" t="s">
        <v>83</v>
      </c>
      <c r="AI814" t="s">
        <v>64</v>
      </c>
      <c r="AJ814" s="1" t="s">
        <v>510</v>
      </c>
      <c r="AK814" s="1" t="s">
        <v>127</v>
      </c>
      <c r="AL814">
        <v>0</v>
      </c>
    </row>
    <row r="815" spans="1:38" x14ac:dyDescent="0.35">
      <c r="A815" t="s">
        <v>1020</v>
      </c>
      <c r="B815" t="s">
        <v>117</v>
      </c>
      <c r="C815" t="s">
        <v>189</v>
      </c>
      <c r="D815">
        <v>4.5</v>
      </c>
      <c r="E815" t="s">
        <v>81</v>
      </c>
      <c r="F815">
        <v>37</v>
      </c>
      <c r="G815" t="s">
        <v>42</v>
      </c>
      <c r="H815" t="s">
        <v>55</v>
      </c>
      <c r="I815">
        <v>3</v>
      </c>
      <c r="J815">
        <v>6.1</v>
      </c>
      <c r="K815">
        <v>10</v>
      </c>
      <c r="L815">
        <v>2</v>
      </c>
      <c r="M815">
        <v>12</v>
      </c>
      <c r="N815">
        <v>0</v>
      </c>
      <c r="O815" t="s">
        <v>82</v>
      </c>
      <c r="P815">
        <v>31900</v>
      </c>
      <c r="Q815">
        <v>8.6</v>
      </c>
      <c r="R815">
        <v>3</v>
      </c>
      <c r="S815">
        <v>2.5</v>
      </c>
      <c r="T815">
        <v>0</v>
      </c>
      <c r="U815">
        <v>2.9</v>
      </c>
      <c r="V815">
        <v>3.4</v>
      </c>
      <c r="W815">
        <v>4.0999999999999996</v>
      </c>
      <c r="X815" t="s">
        <v>45</v>
      </c>
      <c r="Y815">
        <v>0</v>
      </c>
      <c r="Z815">
        <v>1</v>
      </c>
      <c r="AA815">
        <v>1.1000000000000001</v>
      </c>
      <c r="AB815">
        <v>0</v>
      </c>
      <c r="AC815" t="s">
        <v>46</v>
      </c>
      <c r="AE815">
        <v>0</v>
      </c>
      <c r="AF815">
        <v>0</v>
      </c>
      <c r="AG815" t="s">
        <v>47</v>
      </c>
      <c r="AH815" t="s">
        <v>76</v>
      </c>
      <c r="AI815" t="s">
        <v>64</v>
      </c>
      <c r="AJ815" s="1" t="s">
        <v>137</v>
      </c>
      <c r="AK815">
        <v>0.25</v>
      </c>
      <c r="AL815">
        <v>0</v>
      </c>
    </row>
    <row r="816" spans="1:38" x14ac:dyDescent="0.35">
      <c r="A816" t="s">
        <v>1021</v>
      </c>
      <c r="B816" t="s">
        <v>73</v>
      </c>
      <c r="C816" t="s">
        <v>177</v>
      </c>
      <c r="D816">
        <v>4.8</v>
      </c>
      <c r="E816" t="s">
        <v>67</v>
      </c>
      <c r="F816">
        <v>38</v>
      </c>
      <c r="G816" t="s">
        <v>42</v>
      </c>
      <c r="H816" t="s">
        <v>55</v>
      </c>
      <c r="I816">
        <v>5</v>
      </c>
      <c r="J816">
        <v>1.5</v>
      </c>
      <c r="K816">
        <v>7</v>
      </c>
      <c r="L816">
        <v>0</v>
      </c>
      <c r="M816">
        <v>12</v>
      </c>
      <c r="N816">
        <v>0</v>
      </c>
      <c r="O816" t="s">
        <v>70</v>
      </c>
      <c r="P816">
        <v>36600</v>
      </c>
      <c r="Q816">
        <v>8.3000000000000007</v>
      </c>
      <c r="R816">
        <v>3.2</v>
      </c>
      <c r="S816">
        <v>1.3</v>
      </c>
      <c r="T816">
        <v>0</v>
      </c>
      <c r="U816">
        <v>3.6</v>
      </c>
      <c r="V816">
        <v>1.8</v>
      </c>
      <c r="W816">
        <v>4.5999999999999996</v>
      </c>
      <c r="X816" t="s">
        <v>45</v>
      </c>
      <c r="Y816">
        <v>0</v>
      </c>
      <c r="Z816">
        <v>0</v>
      </c>
      <c r="AB816">
        <v>0</v>
      </c>
      <c r="AC816" t="s">
        <v>46</v>
      </c>
      <c r="AE816">
        <v>1</v>
      </c>
      <c r="AF816">
        <v>0</v>
      </c>
      <c r="AG816" t="s">
        <v>75</v>
      </c>
      <c r="AH816" t="s">
        <v>76</v>
      </c>
      <c r="AI816" t="s">
        <v>64</v>
      </c>
      <c r="AJ816" s="1" t="s">
        <v>90</v>
      </c>
      <c r="AK816" s="1" t="s">
        <v>127</v>
      </c>
      <c r="AL816">
        <v>0</v>
      </c>
    </row>
    <row r="817" spans="1:38" x14ac:dyDescent="0.35">
      <c r="A817" t="s">
        <v>1022</v>
      </c>
      <c r="B817" t="s">
        <v>60</v>
      </c>
      <c r="C817" t="s">
        <v>80</v>
      </c>
      <c r="D817">
        <v>3.4</v>
      </c>
      <c r="E817" t="s">
        <v>81</v>
      </c>
      <c r="F817">
        <v>30</v>
      </c>
      <c r="G817" t="s">
        <v>68</v>
      </c>
      <c r="H817" t="s">
        <v>55</v>
      </c>
      <c r="I817">
        <v>2</v>
      </c>
      <c r="J817">
        <v>3.1</v>
      </c>
      <c r="K817">
        <v>8</v>
      </c>
      <c r="L817">
        <v>1</v>
      </c>
      <c r="M817">
        <v>12</v>
      </c>
      <c r="N817">
        <v>0</v>
      </c>
      <c r="O817" t="s">
        <v>82</v>
      </c>
      <c r="P817">
        <v>31500</v>
      </c>
      <c r="Q817">
        <v>11.6</v>
      </c>
      <c r="R817">
        <v>2.1</v>
      </c>
      <c r="S817">
        <v>0.2</v>
      </c>
      <c r="T817">
        <v>0</v>
      </c>
      <c r="U817">
        <v>4</v>
      </c>
      <c r="V817">
        <v>3.2</v>
      </c>
      <c r="W817">
        <v>2.7</v>
      </c>
      <c r="X817" t="s">
        <v>45</v>
      </c>
      <c r="Y817">
        <v>0</v>
      </c>
      <c r="Z817">
        <v>1</v>
      </c>
      <c r="AA817">
        <v>1.3</v>
      </c>
      <c r="AB817">
        <v>1</v>
      </c>
      <c r="AC817" t="s">
        <v>46</v>
      </c>
      <c r="AE817">
        <v>0</v>
      </c>
      <c r="AF817">
        <v>0</v>
      </c>
      <c r="AG817" t="s">
        <v>47</v>
      </c>
      <c r="AH817" t="s">
        <v>76</v>
      </c>
      <c r="AI817" t="s">
        <v>64</v>
      </c>
      <c r="AJ817" s="1" t="s">
        <v>71</v>
      </c>
      <c r="AK817" s="1" t="s">
        <v>84</v>
      </c>
      <c r="AL817">
        <v>0</v>
      </c>
    </row>
    <row r="818" spans="1:38" x14ac:dyDescent="0.35">
      <c r="A818" t="s">
        <v>1023</v>
      </c>
      <c r="B818" t="s">
        <v>60</v>
      </c>
      <c r="C818" t="s">
        <v>107</v>
      </c>
      <c r="D818">
        <v>4.4000000000000004</v>
      </c>
      <c r="E818" t="s">
        <v>110</v>
      </c>
      <c r="F818">
        <v>29</v>
      </c>
      <c r="G818" t="s">
        <v>42</v>
      </c>
      <c r="H818" t="s">
        <v>63</v>
      </c>
      <c r="I818">
        <v>2</v>
      </c>
      <c r="J818">
        <v>22.4</v>
      </c>
      <c r="K818">
        <v>8</v>
      </c>
      <c r="L818">
        <v>2</v>
      </c>
      <c r="M818">
        <v>12</v>
      </c>
      <c r="N818">
        <v>0</v>
      </c>
      <c r="O818" t="s">
        <v>70</v>
      </c>
      <c r="P818">
        <v>44300</v>
      </c>
      <c r="Q818">
        <v>6.4</v>
      </c>
      <c r="R818">
        <v>3.2</v>
      </c>
      <c r="S818">
        <v>0.5</v>
      </c>
      <c r="T818">
        <v>0</v>
      </c>
      <c r="U818">
        <v>2.4</v>
      </c>
      <c r="V818">
        <v>1.9</v>
      </c>
      <c r="W818">
        <v>3.4</v>
      </c>
      <c r="X818" t="s">
        <v>45</v>
      </c>
      <c r="Y818">
        <v>1</v>
      </c>
      <c r="Z818">
        <v>0</v>
      </c>
      <c r="AB818">
        <v>0</v>
      </c>
      <c r="AC818" t="s">
        <v>46</v>
      </c>
      <c r="AE818">
        <v>1</v>
      </c>
      <c r="AF818">
        <v>0</v>
      </c>
      <c r="AG818" t="s">
        <v>75</v>
      </c>
      <c r="AH818" t="s">
        <v>76</v>
      </c>
      <c r="AI818" t="s">
        <v>57</v>
      </c>
      <c r="AJ818" s="1" t="s">
        <v>533</v>
      </c>
      <c r="AK818" s="1" t="s">
        <v>84</v>
      </c>
      <c r="AL818">
        <v>0</v>
      </c>
    </row>
    <row r="819" spans="1:38" x14ac:dyDescent="0.35">
      <c r="A819" t="s">
        <v>1024</v>
      </c>
      <c r="B819" t="s">
        <v>117</v>
      </c>
      <c r="C819" t="s">
        <v>189</v>
      </c>
      <c r="D819">
        <v>1.8</v>
      </c>
      <c r="E819" t="s">
        <v>81</v>
      </c>
      <c r="F819">
        <v>33</v>
      </c>
      <c r="G819" t="s">
        <v>42</v>
      </c>
      <c r="H819" t="s">
        <v>94</v>
      </c>
      <c r="I819">
        <v>3</v>
      </c>
      <c r="J819">
        <v>6.3</v>
      </c>
      <c r="K819">
        <v>8</v>
      </c>
      <c r="L819">
        <v>4</v>
      </c>
      <c r="M819">
        <v>12</v>
      </c>
      <c r="N819">
        <v>0</v>
      </c>
      <c r="O819" t="s">
        <v>82</v>
      </c>
      <c r="P819">
        <v>28600</v>
      </c>
      <c r="Q819">
        <v>3.6</v>
      </c>
      <c r="R819">
        <v>2.5</v>
      </c>
      <c r="S819">
        <v>0.1</v>
      </c>
      <c r="T819">
        <v>0</v>
      </c>
      <c r="U819">
        <v>3.6</v>
      </c>
      <c r="V819">
        <v>3.7</v>
      </c>
      <c r="W819">
        <v>2.2999999999999998</v>
      </c>
      <c r="X819" t="s">
        <v>45</v>
      </c>
      <c r="Y819">
        <v>0</v>
      </c>
      <c r="Z819">
        <v>1</v>
      </c>
      <c r="AB819">
        <v>0</v>
      </c>
      <c r="AC819" t="s">
        <v>46</v>
      </c>
      <c r="AE819">
        <v>1</v>
      </c>
      <c r="AF819">
        <v>0</v>
      </c>
      <c r="AG819" t="s">
        <v>47</v>
      </c>
      <c r="AH819" t="s">
        <v>48</v>
      </c>
      <c r="AI819" t="s">
        <v>64</v>
      </c>
      <c r="AJ819" s="1" t="s">
        <v>249</v>
      </c>
      <c r="AK819">
        <v>0.25</v>
      </c>
      <c r="AL819">
        <v>0</v>
      </c>
    </row>
    <row r="820" spans="1:38" x14ac:dyDescent="0.35">
      <c r="A820" t="s">
        <v>1025</v>
      </c>
      <c r="B820" t="s">
        <v>39</v>
      </c>
      <c r="C820" t="s">
        <v>88</v>
      </c>
      <c r="D820">
        <v>3.4</v>
      </c>
      <c r="E820" t="s">
        <v>67</v>
      </c>
      <c r="F820">
        <v>32</v>
      </c>
      <c r="G820" t="s">
        <v>68</v>
      </c>
      <c r="H820" t="s">
        <v>94</v>
      </c>
      <c r="I820">
        <v>4</v>
      </c>
      <c r="J820">
        <v>8.1999999999999993</v>
      </c>
      <c r="K820">
        <v>6</v>
      </c>
      <c r="L820">
        <v>2</v>
      </c>
      <c r="M820">
        <v>12</v>
      </c>
      <c r="N820">
        <v>0</v>
      </c>
      <c r="O820" t="s">
        <v>70</v>
      </c>
      <c r="P820">
        <v>38900</v>
      </c>
      <c r="Q820">
        <v>8</v>
      </c>
      <c r="R820">
        <v>2.9</v>
      </c>
      <c r="S820">
        <v>5.7</v>
      </c>
      <c r="T820">
        <v>0</v>
      </c>
      <c r="U820">
        <v>1</v>
      </c>
      <c r="V820">
        <v>2.2000000000000002</v>
      </c>
      <c r="W820">
        <v>2.2999999999999998</v>
      </c>
      <c r="X820" t="s">
        <v>45</v>
      </c>
      <c r="Y820">
        <v>0</v>
      </c>
      <c r="Z820">
        <v>1</v>
      </c>
      <c r="AA820">
        <v>1.7</v>
      </c>
      <c r="AB820">
        <v>0</v>
      </c>
      <c r="AC820" t="s">
        <v>46</v>
      </c>
      <c r="AE820">
        <v>0</v>
      </c>
      <c r="AF820">
        <v>0</v>
      </c>
      <c r="AG820" t="s">
        <v>47</v>
      </c>
      <c r="AH820" t="s">
        <v>76</v>
      </c>
      <c r="AI820" t="s">
        <v>64</v>
      </c>
      <c r="AJ820" s="1" t="s">
        <v>1026</v>
      </c>
      <c r="AK820" s="1" t="s">
        <v>115</v>
      </c>
      <c r="AL820">
        <v>0</v>
      </c>
    </row>
    <row r="821" spans="1:38" x14ac:dyDescent="0.35">
      <c r="A821" t="s">
        <v>1027</v>
      </c>
      <c r="B821" t="s">
        <v>98</v>
      </c>
      <c r="C821" t="s">
        <v>151</v>
      </c>
      <c r="D821">
        <v>2</v>
      </c>
      <c r="E821" t="s">
        <v>41</v>
      </c>
      <c r="F821">
        <v>24</v>
      </c>
      <c r="G821" t="s">
        <v>68</v>
      </c>
      <c r="H821" t="s">
        <v>69</v>
      </c>
      <c r="I821">
        <v>6</v>
      </c>
      <c r="J821">
        <v>6.9</v>
      </c>
      <c r="K821">
        <v>10</v>
      </c>
      <c r="L821">
        <v>3</v>
      </c>
      <c r="M821">
        <v>12</v>
      </c>
      <c r="N821">
        <v>0</v>
      </c>
      <c r="O821" t="s">
        <v>56</v>
      </c>
      <c r="P821">
        <v>78400</v>
      </c>
      <c r="Q821">
        <v>10.4</v>
      </c>
      <c r="R821">
        <v>3.5</v>
      </c>
      <c r="S821">
        <v>5.0999999999999996</v>
      </c>
      <c r="T821">
        <v>0</v>
      </c>
      <c r="U821">
        <v>1.6</v>
      </c>
      <c r="V821">
        <v>3.3</v>
      </c>
      <c r="W821">
        <v>2.9</v>
      </c>
      <c r="X821" t="s">
        <v>45</v>
      </c>
      <c r="Y821">
        <v>0</v>
      </c>
      <c r="Z821">
        <v>1</v>
      </c>
      <c r="AA821">
        <v>0.3</v>
      </c>
      <c r="AB821">
        <v>0</v>
      </c>
      <c r="AC821" t="s">
        <v>46</v>
      </c>
      <c r="AE821">
        <v>0</v>
      </c>
      <c r="AF821">
        <v>0</v>
      </c>
      <c r="AG821" t="s">
        <v>47</v>
      </c>
      <c r="AH821" t="s">
        <v>48</v>
      </c>
      <c r="AI821" t="s">
        <v>64</v>
      </c>
      <c r="AJ821">
        <v>2.6</v>
      </c>
      <c r="AK821">
        <v>0.5</v>
      </c>
      <c r="AL821">
        <v>0</v>
      </c>
    </row>
    <row r="822" spans="1:38" x14ac:dyDescent="0.35">
      <c r="A822" t="s">
        <v>1028</v>
      </c>
      <c r="B822" t="s">
        <v>73</v>
      </c>
      <c r="C822" t="s">
        <v>121</v>
      </c>
      <c r="D822">
        <v>3.1</v>
      </c>
      <c r="E822" t="s">
        <v>110</v>
      </c>
      <c r="F822">
        <v>25</v>
      </c>
      <c r="G822" t="s">
        <v>68</v>
      </c>
      <c r="H822" t="s">
        <v>55</v>
      </c>
      <c r="I822">
        <v>1</v>
      </c>
      <c r="J822">
        <v>28.2</v>
      </c>
      <c r="K822">
        <v>8</v>
      </c>
      <c r="L822">
        <v>1</v>
      </c>
      <c r="M822">
        <v>12</v>
      </c>
      <c r="N822">
        <v>0</v>
      </c>
      <c r="O822" t="s">
        <v>70</v>
      </c>
      <c r="P822">
        <v>47000</v>
      </c>
      <c r="Q822">
        <v>11.7</v>
      </c>
      <c r="R822">
        <v>2.8</v>
      </c>
      <c r="S822">
        <v>0.2</v>
      </c>
      <c r="T822">
        <v>0</v>
      </c>
      <c r="U822">
        <v>3.8</v>
      </c>
      <c r="V822">
        <v>3.5</v>
      </c>
      <c r="W822">
        <v>3.7</v>
      </c>
      <c r="X822" t="s">
        <v>45</v>
      </c>
      <c r="Y822">
        <v>0</v>
      </c>
      <c r="Z822">
        <v>0</v>
      </c>
      <c r="AB822">
        <v>1</v>
      </c>
      <c r="AC822" t="s">
        <v>46</v>
      </c>
      <c r="AE822">
        <v>1</v>
      </c>
      <c r="AF822">
        <v>0</v>
      </c>
      <c r="AG822" t="s">
        <v>75</v>
      </c>
      <c r="AH822" t="s">
        <v>76</v>
      </c>
      <c r="AI822" t="s">
        <v>57</v>
      </c>
      <c r="AJ822" s="1" t="s">
        <v>266</v>
      </c>
      <c r="AK822">
        <v>8.3333333333333301E-2</v>
      </c>
      <c r="AL822">
        <v>0</v>
      </c>
    </row>
    <row r="823" spans="1:38" x14ac:dyDescent="0.35">
      <c r="A823" t="s">
        <v>1029</v>
      </c>
      <c r="B823" t="s">
        <v>117</v>
      </c>
      <c r="C823" t="s">
        <v>189</v>
      </c>
      <c r="D823">
        <v>2.1</v>
      </c>
      <c r="E823" t="s">
        <v>81</v>
      </c>
      <c r="F823">
        <v>30</v>
      </c>
      <c r="G823" t="s">
        <v>42</v>
      </c>
      <c r="H823" t="s">
        <v>55</v>
      </c>
      <c r="I823">
        <v>1</v>
      </c>
      <c r="J823">
        <v>5.0999999999999996</v>
      </c>
      <c r="K823">
        <v>7</v>
      </c>
      <c r="L823">
        <v>2</v>
      </c>
      <c r="M823">
        <v>12</v>
      </c>
      <c r="N823">
        <v>0</v>
      </c>
      <c r="O823" t="s">
        <v>82</v>
      </c>
      <c r="P823">
        <v>25300</v>
      </c>
      <c r="Q823">
        <v>11.7</v>
      </c>
      <c r="R823">
        <v>2.9</v>
      </c>
      <c r="S823">
        <v>2.9</v>
      </c>
      <c r="T823">
        <v>0</v>
      </c>
      <c r="U823">
        <v>3.3</v>
      </c>
      <c r="V823">
        <v>3.3</v>
      </c>
      <c r="W823">
        <v>4.7</v>
      </c>
      <c r="X823" t="s">
        <v>45</v>
      </c>
      <c r="Y823">
        <v>1</v>
      </c>
      <c r="Z823">
        <v>1</v>
      </c>
      <c r="AA823">
        <v>0.7</v>
      </c>
      <c r="AB823">
        <v>0</v>
      </c>
      <c r="AC823" t="s">
        <v>46</v>
      </c>
      <c r="AE823">
        <v>0</v>
      </c>
      <c r="AF823">
        <v>0</v>
      </c>
      <c r="AG823" t="s">
        <v>47</v>
      </c>
      <c r="AH823" t="s">
        <v>48</v>
      </c>
      <c r="AI823" t="s">
        <v>64</v>
      </c>
      <c r="AJ823" s="1" t="s">
        <v>459</v>
      </c>
      <c r="AK823">
        <v>8.3333333333333301E-2</v>
      </c>
      <c r="AL823">
        <v>0</v>
      </c>
    </row>
    <row r="824" spans="1:38" x14ac:dyDescent="0.35">
      <c r="A824" t="s">
        <v>1030</v>
      </c>
      <c r="B824" t="s">
        <v>98</v>
      </c>
      <c r="C824" t="s">
        <v>148</v>
      </c>
      <c r="D824">
        <v>5.4</v>
      </c>
      <c r="E824" t="s">
        <v>81</v>
      </c>
      <c r="F824">
        <v>31</v>
      </c>
      <c r="G824" t="s">
        <v>42</v>
      </c>
      <c r="H824" t="s">
        <v>69</v>
      </c>
      <c r="I824">
        <v>2</v>
      </c>
      <c r="J824">
        <v>4.7</v>
      </c>
      <c r="K824">
        <v>6</v>
      </c>
      <c r="L824">
        <v>3</v>
      </c>
      <c r="M824">
        <v>12</v>
      </c>
      <c r="N824">
        <v>0</v>
      </c>
      <c r="O824" t="s">
        <v>82</v>
      </c>
      <c r="P824">
        <v>24500</v>
      </c>
      <c r="Q824">
        <v>7.7</v>
      </c>
      <c r="R824">
        <v>3.9</v>
      </c>
      <c r="S824">
        <v>1.9</v>
      </c>
      <c r="T824">
        <v>0</v>
      </c>
      <c r="U824">
        <v>2.5</v>
      </c>
      <c r="V824">
        <v>2.6</v>
      </c>
      <c r="W824">
        <v>4.9000000000000004</v>
      </c>
      <c r="X824" t="s">
        <v>45</v>
      </c>
      <c r="Y824">
        <v>0</v>
      </c>
      <c r="Z824">
        <v>0</v>
      </c>
      <c r="AB824">
        <v>1</v>
      </c>
      <c r="AC824" t="s">
        <v>46</v>
      </c>
      <c r="AE824">
        <v>1</v>
      </c>
      <c r="AF824">
        <v>0</v>
      </c>
      <c r="AG824" t="s">
        <v>75</v>
      </c>
      <c r="AH824" t="s">
        <v>83</v>
      </c>
      <c r="AI824" t="s">
        <v>64</v>
      </c>
      <c r="AJ824" s="1" t="s">
        <v>90</v>
      </c>
      <c r="AK824" s="1" t="s">
        <v>84</v>
      </c>
      <c r="AL824">
        <v>0</v>
      </c>
    </row>
    <row r="825" spans="1:38" x14ac:dyDescent="0.35">
      <c r="A825" t="s">
        <v>1031</v>
      </c>
      <c r="B825" t="s">
        <v>39</v>
      </c>
      <c r="C825" t="s">
        <v>40</v>
      </c>
      <c r="D825">
        <v>5.9</v>
      </c>
      <c r="E825" t="s">
        <v>67</v>
      </c>
      <c r="F825">
        <v>32</v>
      </c>
      <c r="G825" t="s">
        <v>68</v>
      </c>
      <c r="H825" t="s">
        <v>69</v>
      </c>
      <c r="I825">
        <v>1</v>
      </c>
      <c r="J825">
        <v>15.3</v>
      </c>
      <c r="K825">
        <v>7</v>
      </c>
      <c r="L825">
        <v>3</v>
      </c>
      <c r="M825">
        <v>12</v>
      </c>
      <c r="N825">
        <v>0</v>
      </c>
      <c r="O825" t="s">
        <v>70</v>
      </c>
      <c r="P825">
        <v>37500</v>
      </c>
      <c r="Q825">
        <v>7.3</v>
      </c>
      <c r="R825">
        <v>2.4</v>
      </c>
      <c r="S825">
        <v>3.3</v>
      </c>
      <c r="T825">
        <v>0</v>
      </c>
      <c r="U825">
        <v>3.3</v>
      </c>
      <c r="V825">
        <v>3</v>
      </c>
      <c r="W825">
        <v>3.1</v>
      </c>
      <c r="X825" t="s">
        <v>45</v>
      </c>
      <c r="Y825">
        <v>0</v>
      </c>
      <c r="Z825">
        <v>1</v>
      </c>
      <c r="AB825">
        <v>0</v>
      </c>
      <c r="AC825" t="s">
        <v>46</v>
      </c>
      <c r="AE825">
        <v>1</v>
      </c>
      <c r="AF825">
        <v>0</v>
      </c>
      <c r="AG825" t="s">
        <v>47</v>
      </c>
      <c r="AH825" t="s">
        <v>83</v>
      </c>
      <c r="AI825" t="s">
        <v>49</v>
      </c>
      <c r="AJ825" s="1" t="s">
        <v>50</v>
      </c>
      <c r="AK825">
        <v>8.3333333333333301E-2</v>
      </c>
      <c r="AL825">
        <v>0</v>
      </c>
    </row>
    <row r="826" spans="1:38" x14ac:dyDescent="0.35">
      <c r="A826" t="s">
        <v>1032</v>
      </c>
      <c r="B826" t="s">
        <v>60</v>
      </c>
      <c r="C826" t="s">
        <v>61</v>
      </c>
      <c r="D826">
        <v>4.7</v>
      </c>
      <c r="E826" t="s">
        <v>67</v>
      </c>
      <c r="F826">
        <v>35</v>
      </c>
      <c r="G826" t="s">
        <v>42</v>
      </c>
      <c r="H826" t="s">
        <v>43</v>
      </c>
      <c r="I826">
        <v>3</v>
      </c>
      <c r="J826">
        <v>11.8</v>
      </c>
      <c r="K826">
        <v>4</v>
      </c>
      <c r="L826">
        <v>3</v>
      </c>
      <c r="M826">
        <v>12</v>
      </c>
      <c r="N826">
        <v>0</v>
      </c>
      <c r="O826" t="s">
        <v>70</v>
      </c>
      <c r="P826">
        <v>40800</v>
      </c>
      <c r="Q826">
        <v>5.6</v>
      </c>
      <c r="R826">
        <v>2.6</v>
      </c>
      <c r="S826">
        <v>0.5</v>
      </c>
      <c r="T826">
        <v>0</v>
      </c>
      <c r="U826">
        <v>2.9</v>
      </c>
      <c r="V826">
        <v>4.3</v>
      </c>
      <c r="W826">
        <v>3.6</v>
      </c>
      <c r="X826" t="s">
        <v>45</v>
      </c>
      <c r="Y826">
        <v>0</v>
      </c>
      <c r="Z826">
        <v>1</v>
      </c>
      <c r="AA826">
        <v>3.4</v>
      </c>
      <c r="AB826">
        <v>0</v>
      </c>
      <c r="AC826" t="s">
        <v>46</v>
      </c>
      <c r="AE826">
        <v>0</v>
      </c>
      <c r="AF826">
        <v>0</v>
      </c>
      <c r="AG826" t="s">
        <v>47</v>
      </c>
      <c r="AH826" t="s">
        <v>76</v>
      </c>
      <c r="AI826" t="s">
        <v>49</v>
      </c>
      <c r="AJ826" s="1" t="s">
        <v>237</v>
      </c>
      <c r="AK826">
        <v>0.25</v>
      </c>
      <c r="AL826">
        <v>0</v>
      </c>
    </row>
    <row r="827" spans="1:38" x14ac:dyDescent="0.35">
      <c r="A827" t="s">
        <v>1033</v>
      </c>
      <c r="B827" t="s">
        <v>73</v>
      </c>
      <c r="C827" t="s">
        <v>74</v>
      </c>
      <c r="D827">
        <v>2.2999999999999998</v>
      </c>
      <c r="E827" t="s">
        <v>81</v>
      </c>
      <c r="F827">
        <v>31</v>
      </c>
      <c r="G827" t="s">
        <v>68</v>
      </c>
      <c r="H827" t="s">
        <v>43</v>
      </c>
      <c r="I827">
        <v>2</v>
      </c>
      <c r="J827">
        <v>15.6</v>
      </c>
      <c r="K827">
        <v>8</v>
      </c>
      <c r="L827">
        <v>2</v>
      </c>
      <c r="M827">
        <v>12</v>
      </c>
      <c r="N827">
        <v>0</v>
      </c>
      <c r="O827" t="s">
        <v>82</v>
      </c>
      <c r="P827">
        <v>22100</v>
      </c>
      <c r="Q827">
        <v>9</v>
      </c>
      <c r="R827">
        <v>2.1</v>
      </c>
      <c r="S827">
        <v>1.9</v>
      </c>
      <c r="T827">
        <v>0</v>
      </c>
      <c r="U827">
        <v>2.4</v>
      </c>
      <c r="V827">
        <v>2.8</v>
      </c>
      <c r="W827">
        <v>4.2</v>
      </c>
      <c r="X827" t="s">
        <v>45</v>
      </c>
      <c r="Y827">
        <v>0</v>
      </c>
      <c r="Z827">
        <v>0</v>
      </c>
      <c r="AB827">
        <v>1</v>
      </c>
      <c r="AC827" t="s">
        <v>46</v>
      </c>
      <c r="AE827">
        <v>1</v>
      </c>
      <c r="AF827">
        <v>0</v>
      </c>
      <c r="AG827" t="s">
        <v>75</v>
      </c>
      <c r="AH827" t="s">
        <v>48</v>
      </c>
      <c r="AI827" t="s">
        <v>49</v>
      </c>
      <c r="AJ827" s="1" t="s">
        <v>487</v>
      </c>
      <c r="AK827" s="1" t="s">
        <v>84</v>
      </c>
      <c r="AL827">
        <v>0</v>
      </c>
    </row>
    <row r="828" spans="1:38" x14ac:dyDescent="0.35">
      <c r="A828" t="s">
        <v>1034</v>
      </c>
      <c r="B828" t="s">
        <v>117</v>
      </c>
      <c r="C828" t="s">
        <v>118</v>
      </c>
      <c r="D828">
        <v>1.3</v>
      </c>
      <c r="E828" t="s">
        <v>110</v>
      </c>
      <c r="F828">
        <v>33</v>
      </c>
      <c r="G828" t="s">
        <v>68</v>
      </c>
      <c r="H828" t="s">
        <v>43</v>
      </c>
      <c r="I828">
        <v>3</v>
      </c>
      <c r="J828">
        <v>14.9</v>
      </c>
      <c r="K828">
        <v>10</v>
      </c>
      <c r="L828">
        <v>1</v>
      </c>
      <c r="M828">
        <v>12</v>
      </c>
      <c r="N828">
        <v>0</v>
      </c>
      <c r="O828" t="s">
        <v>70</v>
      </c>
      <c r="P828">
        <v>49200</v>
      </c>
      <c r="Q828">
        <v>1.4</v>
      </c>
      <c r="R828">
        <v>2.5</v>
      </c>
      <c r="S828">
        <v>0.6</v>
      </c>
      <c r="T828">
        <v>0</v>
      </c>
      <c r="U828">
        <v>1.8</v>
      </c>
      <c r="V828">
        <v>3.2</v>
      </c>
      <c r="W828">
        <v>4</v>
      </c>
      <c r="X828" t="s">
        <v>45</v>
      </c>
      <c r="Y828">
        <v>0</v>
      </c>
      <c r="Z828">
        <v>0</v>
      </c>
      <c r="AB828">
        <v>0</v>
      </c>
      <c r="AC828" t="s">
        <v>46</v>
      </c>
      <c r="AE828">
        <v>1</v>
      </c>
      <c r="AF828">
        <v>0</v>
      </c>
      <c r="AG828" t="s">
        <v>75</v>
      </c>
      <c r="AH828" t="s">
        <v>48</v>
      </c>
      <c r="AI828" t="s">
        <v>49</v>
      </c>
      <c r="AJ828">
        <v>3</v>
      </c>
      <c r="AK828">
        <v>0.25</v>
      </c>
      <c r="AL828">
        <v>0</v>
      </c>
    </row>
    <row r="829" spans="1:38" x14ac:dyDescent="0.35">
      <c r="A829" t="s">
        <v>1035</v>
      </c>
      <c r="B829" t="s">
        <v>73</v>
      </c>
      <c r="C829" t="s">
        <v>74</v>
      </c>
      <c r="D829">
        <v>5.9</v>
      </c>
      <c r="E829" t="s">
        <v>67</v>
      </c>
      <c r="F829">
        <v>24</v>
      </c>
      <c r="G829" t="s">
        <v>42</v>
      </c>
      <c r="H829" t="s">
        <v>55</v>
      </c>
      <c r="I829">
        <v>3</v>
      </c>
      <c r="J829">
        <v>20.399999999999999</v>
      </c>
      <c r="K829">
        <v>7</v>
      </c>
      <c r="L829">
        <v>1</v>
      </c>
      <c r="M829">
        <v>12</v>
      </c>
      <c r="N829">
        <v>0</v>
      </c>
      <c r="O829" t="s">
        <v>70</v>
      </c>
      <c r="P829">
        <v>43200</v>
      </c>
      <c r="Q829">
        <v>8.1</v>
      </c>
      <c r="R829">
        <v>3.3</v>
      </c>
      <c r="S829">
        <v>0.4</v>
      </c>
      <c r="T829">
        <v>0</v>
      </c>
      <c r="U829">
        <v>1.5</v>
      </c>
      <c r="V829">
        <v>2.7</v>
      </c>
      <c r="W829">
        <v>3.3</v>
      </c>
      <c r="X829" t="s">
        <v>45</v>
      </c>
      <c r="Y829">
        <v>0</v>
      </c>
      <c r="Z829">
        <v>0</v>
      </c>
      <c r="AB829">
        <v>0</v>
      </c>
      <c r="AC829" t="s">
        <v>46</v>
      </c>
      <c r="AE829">
        <v>1</v>
      </c>
      <c r="AF829">
        <v>0</v>
      </c>
      <c r="AG829" t="s">
        <v>75</v>
      </c>
      <c r="AH829" t="s">
        <v>83</v>
      </c>
      <c r="AI829" t="s">
        <v>57</v>
      </c>
      <c r="AJ829">
        <v>2.5</v>
      </c>
      <c r="AK829">
        <v>0.25</v>
      </c>
      <c r="AL829">
        <v>0</v>
      </c>
    </row>
    <row r="830" spans="1:38" x14ac:dyDescent="0.35">
      <c r="A830" t="s">
        <v>1036</v>
      </c>
      <c r="B830" t="s">
        <v>60</v>
      </c>
      <c r="C830" t="s">
        <v>61</v>
      </c>
      <c r="D830">
        <v>3.8</v>
      </c>
      <c r="E830" t="s">
        <v>110</v>
      </c>
      <c r="F830">
        <v>31</v>
      </c>
      <c r="G830" t="s">
        <v>42</v>
      </c>
      <c r="H830" t="s">
        <v>55</v>
      </c>
      <c r="I830">
        <v>3</v>
      </c>
      <c r="J830">
        <v>2.6</v>
      </c>
      <c r="K830">
        <v>6</v>
      </c>
      <c r="L830">
        <v>0</v>
      </c>
      <c r="M830">
        <v>12</v>
      </c>
      <c r="N830">
        <v>0</v>
      </c>
      <c r="O830" t="s">
        <v>44</v>
      </c>
      <c r="P830">
        <v>52700</v>
      </c>
      <c r="Q830">
        <v>19.399999999999999</v>
      </c>
      <c r="R830">
        <v>3.8</v>
      </c>
      <c r="S830">
        <v>1.4</v>
      </c>
      <c r="T830">
        <v>0</v>
      </c>
      <c r="U830">
        <v>4</v>
      </c>
      <c r="V830">
        <v>4.0999999999999996</v>
      </c>
      <c r="W830">
        <v>3.5</v>
      </c>
      <c r="X830" t="s">
        <v>45</v>
      </c>
      <c r="Y830">
        <v>0</v>
      </c>
      <c r="Z830">
        <v>2</v>
      </c>
      <c r="AA830">
        <v>1.9</v>
      </c>
      <c r="AB830">
        <v>0</v>
      </c>
      <c r="AC830" t="s">
        <v>46</v>
      </c>
      <c r="AE830">
        <v>0</v>
      </c>
      <c r="AF830">
        <v>0</v>
      </c>
      <c r="AG830" t="s">
        <v>47</v>
      </c>
      <c r="AH830" t="s">
        <v>76</v>
      </c>
      <c r="AI830" t="s">
        <v>64</v>
      </c>
      <c r="AJ830" s="1" t="s">
        <v>131</v>
      </c>
      <c r="AK830">
        <v>0.25</v>
      </c>
      <c r="AL830">
        <v>0</v>
      </c>
    </row>
    <row r="831" spans="1:38" x14ac:dyDescent="0.35">
      <c r="A831" t="s">
        <v>1037</v>
      </c>
      <c r="B831" t="s">
        <v>98</v>
      </c>
      <c r="C831" t="s">
        <v>148</v>
      </c>
      <c r="D831">
        <v>0.7</v>
      </c>
      <c r="E831" t="s">
        <v>67</v>
      </c>
      <c r="F831">
        <v>29</v>
      </c>
      <c r="G831" t="s">
        <v>42</v>
      </c>
      <c r="H831" t="s">
        <v>43</v>
      </c>
      <c r="I831">
        <v>5</v>
      </c>
      <c r="J831">
        <v>14.2</v>
      </c>
      <c r="K831">
        <v>14</v>
      </c>
      <c r="L831">
        <v>2</v>
      </c>
      <c r="M831">
        <v>12</v>
      </c>
      <c r="N831">
        <v>0</v>
      </c>
      <c r="O831" t="s">
        <v>70</v>
      </c>
      <c r="P831">
        <v>38300</v>
      </c>
      <c r="Q831">
        <v>2</v>
      </c>
      <c r="R831">
        <v>2.5</v>
      </c>
      <c r="S831">
        <v>2.5</v>
      </c>
      <c r="T831">
        <v>0</v>
      </c>
      <c r="U831">
        <v>2.9</v>
      </c>
      <c r="V831">
        <v>3.3</v>
      </c>
      <c r="W831">
        <v>3.3</v>
      </c>
      <c r="X831" t="s">
        <v>45</v>
      </c>
      <c r="Y831">
        <v>0</v>
      </c>
      <c r="Z831">
        <v>0</v>
      </c>
      <c r="AB831">
        <v>0</v>
      </c>
      <c r="AC831" t="s">
        <v>46</v>
      </c>
      <c r="AE831">
        <v>1</v>
      </c>
      <c r="AF831">
        <v>0</v>
      </c>
      <c r="AG831" t="s">
        <v>75</v>
      </c>
      <c r="AH831" t="s">
        <v>95</v>
      </c>
      <c r="AI831" t="s">
        <v>49</v>
      </c>
      <c r="AJ831" s="1" t="s">
        <v>100</v>
      </c>
      <c r="AK831" s="1" t="s">
        <v>127</v>
      </c>
      <c r="AL831">
        <v>0</v>
      </c>
    </row>
    <row r="832" spans="1:38" x14ac:dyDescent="0.35">
      <c r="A832" t="s">
        <v>1038</v>
      </c>
      <c r="B832" t="s">
        <v>39</v>
      </c>
      <c r="C832" t="s">
        <v>40</v>
      </c>
      <c r="D832">
        <v>4.2</v>
      </c>
      <c r="E832" t="s">
        <v>81</v>
      </c>
      <c r="F832">
        <v>24</v>
      </c>
      <c r="G832" t="s">
        <v>42</v>
      </c>
      <c r="H832" t="s">
        <v>69</v>
      </c>
      <c r="I832">
        <v>5</v>
      </c>
      <c r="J832">
        <v>4.8</v>
      </c>
      <c r="K832">
        <v>5</v>
      </c>
      <c r="L832">
        <v>2</v>
      </c>
      <c r="M832">
        <v>12</v>
      </c>
      <c r="N832">
        <v>0</v>
      </c>
      <c r="O832" t="s">
        <v>82</v>
      </c>
      <c r="P832">
        <v>23700</v>
      </c>
      <c r="Q832">
        <v>8.6</v>
      </c>
      <c r="R832">
        <v>3.7</v>
      </c>
      <c r="S832">
        <v>2.2999999999999998</v>
      </c>
      <c r="T832">
        <v>0</v>
      </c>
      <c r="U832">
        <v>4.2</v>
      </c>
      <c r="V832">
        <v>2.5</v>
      </c>
      <c r="W832">
        <v>3.2</v>
      </c>
      <c r="X832" t="s">
        <v>89</v>
      </c>
      <c r="Y832">
        <v>0</v>
      </c>
      <c r="Z832">
        <v>0</v>
      </c>
      <c r="AB832">
        <v>0</v>
      </c>
      <c r="AC832" t="s">
        <v>46</v>
      </c>
      <c r="AE832">
        <v>1</v>
      </c>
      <c r="AF832">
        <v>0</v>
      </c>
      <c r="AG832" t="s">
        <v>75</v>
      </c>
      <c r="AH832" t="s">
        <v>76</v>
      </c>
      <c r="AI832" t="s">
        <v>64</v>
      </c>
      <c r="AJ832" s="1" t="s">
        <v>71</v>
      </c>
      <c r="AK832" s="1" t="s">
        <v>127</v>
      </c>
      <c r="AL832">
        <v>0</v>
      </c>
    </row>
    <row r="833" spans="1:38" x14ac:dyDescent="0.35">
      <c r="A833" t="s">
        <v>1039</v>
      </c>
      <c r="B833" t="s">
        <v>117</v>
      </c>
      <c r="C833" t="s">
        <v>189</v>
      </c>
      <c r="D833">
        <v>4.9000000000000004</v>
      </c>
      <c r="E833" t="s">
        <v>81</v>
      </c>
      <c r="F833">
        <v>28</v>
      </c>
      <c r="G833" t="s">
        <v>42</v>
      </c>
      <c r="H833" t="s">
        <v>63</v>
      </c>
      <c r="I833">
        <v>5</v>
      </c>
      <c r="J833">
        <v>1</v>
      </c>
      <c r="K833">
        <v>13</v>
      </c>
      <c r="L833">
        <v>1</v>
      </c>
      <c r="M833">
        <v>12</v>
      </c>
      <c r="N833">
        <v>0</v>
      </c>
      <c r="O833" t="s">
        <v>82</v>
      </c>
      <c r="P833">
        <v>28900</v>
      </c>
      <c r="Q833">
        <v>9.5</v>
      </c>
      <c r="R833">
        <v>3.3</v>
      </c>
      <c r="S833">
        <v>3.1</v>
      </c>
      <c r="T833">
        <v>0</v>
      </c>
      <c r="U833">
        <v>2.9</v>
      </c>
      <c r="V833">
        <v>3.3</v>
      </c>
      <c r="W833">
        <v>3.1</v>
      </c>
      <c r="X833" t="s">
        <v>45</v>
      </c>
      <c r="Y833">
        <v>1</v>
      </c>
      <c r="Z833">
        <v>0</v>
      </c>
      <c r="AB833">
        <v>0</v>
      </c>
      <c r="AC833" t="s">
        <v>46</v>
      </c>
      <c r="AE833">
        <v>1</v>
      </c>
      <c r="AF833">
        <v>0</v>
      </c>
      <c r="AG833" t="s">
        <v>75</v>
      </c>
      <c r="AH833" t="s">
        <v>76</v>
      </c>
      <c r="AI833" t="s">
        <v>64</v>
      </c>
      <c r="AJ833" s="1" t="s">
        <v>214</v>
      </c>
      <c r="AK833" s="1" t="s">
        <v>127</v>
      </c>
      <c r="AL833">
        <v>0</v>
      </c>
    </row>
    <row r="834" spans="1:38" x14ac:dyDescent="0.35">
      <c r="A834" t="s">
        <v>1040</v>
      </c>
      <c r="B834" t="s">
        <v>98</v>
      </c>
      <c r="C834" t="s">
        <v>148</v>
      </c>
      <c r="D834">
        <v>1</v>
      </c>
      <c r="E834" t="s">
        <v>67</v>
      </c>
      <c r="F834">
        <v>24</v>
      </c>
      <c r="G834" t="s">
        <v>68</v>
      </c>
      <c r="H834" t="s">
        <v>43</v>
      </c>
      <c r="I834">
        <v>1</v>
      </c>
      <c r="J834">
        <v>14.8</v>
      </c>
      <c r="K834">
        <v>9</v>
      </c>
      <c r="L834">
        <v>2</v>
      </c>
      <c r="M834">
        <v>12</v>
      </c>
      <c r="N834">
        <v>0</v>
      </c>
      <c r="O834" t="s">
        <v>70</v>
      </c>
      <c r="P834">
        <v>38100</v>
      </c>
      <c r="Q834">
        <v>10</v>
      </c>
      <c r="R834">
        <v>2</v>
      </c>
      <c r="S834">
        <v>0.6</v>
      </c>
      <c r="T834">
        <v>0</v>
      </c>
      <c r="U834">
        <v>3.6</v>
      </c>
      <c r="V834">
        <v>3</v>
      </c>
      <c r="W834">
        <v>3.3</v>
      </c>
      <c r="X834" t="s">
        <v>45</v>
      </c>
      <c r="Y834">
        <v>0</v>
      </c>
      <c r="Z834">
        <v>0</v>
      </c>
      <c r="AB834">
        <v>1</v>
      </c>
      <c r="AC834" t="s">
        <v>46</v>
      </c>
      <c r="AE834">
        <v>1</v>
      </c>
      <c r="AF834">
        <v>0</v>
      </c>
      <c r="AG834" t="s">
        <v>75</v>
      </c>
      <c r="AH834" t="s">
        <v>95</v>
      </c>
      <c r="AI834" t="s">
        <v>49</v>
      </c>
      <c r="AJ834" s="1" t="s">
        <v>108</v>
      </c>
      <c r="AK834">
        <v>8.3333333333333301E-2</v>
      </c>
      <c r="AL834">
        <v>0</v>
      </c>
    </row>
    <row r="835" spans="1:38" x14ac:dyDescent="0.35">
      <c r="A835" t="s">
        <v>1041</v>
      </c>
      <c r="B835" t="s">
        <v>39</v>
      </c>
      <c r="C835" t="s">
        <v>66</v>
      </c>
      <c r="D835">
        <v>5.5</v>
      </c>
      <c r="E835" t="s">
        <v>81</v>
      </c>
      <c r="F835">
        <v>32</v>
      </c>
      <c r="G835" t="s">
        <v>42</v>
      </c>
      <c r="H835" t="s">
        <v>69</v>
      </c>
      <c r="I835">
        <v>3</v>
      </c>
      <c r="J835">
        <v>14.1</v>
      </c>
      <c r="K835">
        <v>14</v>
      </c>
      <c r="L835">
        <v>5</v>
      </c>
      <c r="M835">
        <v>12</v>
      </c>
      <c r="N835">
        <v>0</v>
      </c>
      <c r="O835" t="s">
        <v>82</v>
      </c>
      <c r="P835">
        <v>28900</v>
      </c>
      <c r="Q835">
        <v>4.0999999999999996</v>
      </c>
      <c r="R835">
        <v>3.4</v>
      </c>
      <c r="S835">
        <v>5.0999999999999996</v>
      </c>
      <c r="T835">
        <v>0</v>
      </c>
      <c r="U835">
        <v>3.2</v>
      </c>
      <c r="V835">
        <v>4.5</v>
      </c>
      <c r="W835">
        <v>3.1</v>
      </c>
      <c r="X835" t="s">
        <v>89</v>
      </c>
      <c r="Y835">
        <v>0</v>
      </c>
      <c r="Z835">
        <v>0</v>
      </c>
      <c r="AB835">
        <v>0</v>
      </c>
      <c r="AC835" t="s">
        <v>124</v>
      </c>
      <c r="AD835" s="2">
        <v>45403</v>
      </c>
      <c r="AE835">
        <v>1</v>
      </c>
      <c r="AF835">
        <v>0</v>
      </c>
      <c r="AG835" t="s">
        <v>75</v>
      </c>
      <c r="AH835" t="s">
        <v>83</v>
      </c>
      <c r="AI835" t="s">
        <v>49</v>
      </c>
      <c r="AJ835">
        <v>3.6</v>
      </c>
      <c r="AK835">
        <v>0.25</v>
      </c>
      <c r="AL835">
        <v>1</v>
      </c>
    </row>
    <row r="836" spans="1:38" x14ac:dyDescent="0.35">
      <c r="A836" t="s">
        <v>1042</v>
      </c>
      <c r="B836" t="s">
        <v>39</v>
      </c>
      <c r="C836" t="s">
        <v>66</v>
      </c>
      <c r="D836">
        <v>1.1000000000000001</v>
      </c>
      <c r="E836" t="s">
        <v>67</v>
      </c>
      <c r="F836">
        <v>34</v>
      </c>
      <c r="G836" t="s">
        <v>68</v>
      </c>
      <c r="H836" t="s">
        <v>94</v>
      </c>
      <c r="I836">
        <v>3</v>
      </c>
      <c r="J836">
        <v>10</v>
      </c>
      <c r="K836">
        <v>12</v>
      </c>
      <c r="L836">
        <v>4</v>
      </c>
      <c r="M836">
        <v>12</v>
      </c>
      <c r="N836">
        <v>0</v>
      </c>
      <c r="O836" t="s">
        <v>70</v>
      </c>
      <c r="P836">
        <v>38700</v>
      </c>
      <c r="Q836">
        <v>10.1</v>
      </c>
      <c r="R836">
        <v>4.3</v>
      </c>
      <c r="S836">
        <v>1.4</v>
      </c>
      <c r="T836">
        <v>0</v>
      </c>
      <c r="U836">
        <v>3.3</v>
      </c>
      <c r="V836">
        <v>3.2</v>
      </c>
      <c r="W836">
        <v>2.5</v>
      </c>
      <c r="X836" t="s">
        <v>45</v>
      </c>
      <c r="Y836">
        <v>0</v>
      </c>
      <c r="Z836">
        <v>0</v>
      </c>
      <c r="AB836">
        <v>1</v>
      </c>
      <c r="AC836" t="s">
        <v>124</v>
      </c>
      <c r="AD836" s="2">
        <v>46282</v>
      </c>
      <c r="AE836">
        <v>1</v>
      </c>
      <c r="AF836">
        <v>0</v>
      </c>
      <c r="AG836" t="s">
        <v>75</v>
      </c>
      <c r="AH836" t="s">
        <v>48</v>
      </c>
      <c r="AI836" t="s">
        <v>64</v>
      </c>
      <c r="AJ836">
        <v>3</v>
      </c>
      <c r="AK836">
        <v>0.25</v>
      </c>
      <c r="AL836">
        <v>1</v>
      </c>
    </row>
    <row r="837" spans="1:38" x14ac:dyDescent="0.35">
      <c r="A837" t="s">
        <v>1043</v>
      </c>
      <c r="B837" t="s">
        <v>117</v>
      </c>
      <c r="C837" t="s">
        <v>118</v>
      </c>
      <c r="D837">
        <v>2.1</v>
      </c>
      <c r="E837" t="s">
        <v>41</v>
      </c>
      <c r="F837">
        <v>36</v>
      </c>
      <c r="G837" t="s">
        <v>42</v>
      </c>
      <c r="H837" t="s">
        <v>55</v>
      </c>
      <c r="I837">
        <v>1</v>
      </c>
      <c r="J837">
        <v>20.6</v>
      </c>
      <c r="K837">
        <v>9</v>
      </c>
      <c r="L837">
        <v>2</v>
      </c>
      <c r="M837">
        <v>12</v>
      </c>
      <c r="N837">
        <v>0</v>
      </c>
      <c r="O837" t="s">
        <v>44</v>
      </c>
      <c r="P837">
        <v>67500</v>
      </c>
      <c r="Q837">
        <v>5.9</v>
      </c>
      <c r="R837">
        <v>1.5</v>
      </c>
      <c r="S837">
        <v>0.3</v>
      </c>
      <c r="T837">
        <v>0</v>
      </c>
      <c r="U837">
        <v>3.4</v>
      </c>
      <c r="V837">
        <v>2</v>
      </c>
      <c r="W837">
        <v>4.0999999999999996</v>
      </c>
      <c r="X837" t="s">
        <v>45</v>
      </c>
      <c r="Y837">
        <v>0</v>
      </c>
      <c r="Z837">
        <v>0</v>
      </c>
      <c r="AB837">
        <v>0</v>
      </c>
      <c r="AC837" t="s">
        <v>46</v>
      </c>
      <c r="AE837">
        <v>1</v>
      </c>
      <c r="AF837">
        <v>0</v>
      </c>
      <c r="AG837" t="s">
        <v>75</v>
      </c>
      <c r="AH837" t="s">
        <v>48</v>
      </c>
      <c r="AI837" t="s">
        <v>57</v>
      </c>
      <c r="AJ837" s="1" t="s">
        <v>100</v>
      </c>
      <c r="AK837">
        <v>8.3333333333333301E-2</v>
      </c>
      <c r="AL837">
        <v>0</v>
      </c>
    </row>
    <row r="838" spans="1:38" x14ac:dyDescent="0.35">
      <c r="A838" t="s">
        <v>1044</v>
      </c>
      <c r="B838" t="s">
        <v>39</v>
      </c>
      <c r="C838" t="s">
        <v>40</v>
      </c>
      <c r="D838">
        <v>1.1000000000000001</v>
      </c>
      <c r="E838" t="s">
        <v>41</v>
      </c>
      <c r="F838">
        <v>24</v>
      </c>
      <c r="G838" t="s">
        <v>68</v>
      </c>
      <c r="H838" t="s">
        <v>69</v>
      </c>
      <c r="I838">
        <v>2</v>
      </c>
      <c r="J838">
        <v>4.8</v>
      </c>
      <c r="K838">
        <v>10</v>
      </c>
      <c r="L838">
        <v>3</v>
      </c>
      <c r="M838">
        <v>12</v>
      </c>
      <c r="N838">
        <v>0</v>
      </c>
      <c r="O838" t="s">
        <v>44</v>
      </c>
      <c r="P838">
        <v>66200</v>
      </c>
      <c r="Q838">
        <v>2.2999999999999998</v>
      </c>
      <c r="R838">
        <v>5</v>
      </c>
      <c r="S838">
        <v>2.9</v>
      </c>
      <c r="T838">
        <v>0</v>
      </c>
      <c r="U838">
        <v>2.9</v>
      </c>
      <c r="V838">
        <v>3.6</v>
      </c>
      <c r="W838">
        <v>3.8</v>
      </c>
      <c r="X838" t="s">
        <v>45</v>
      </c>
      <c r="Y838">
        <v>0</v>
      </c>
      <c r="Z838">
        <v>1</v>
      </c>
      <c r="AA838">
        <v>0.3</v>
      </c>
      <c r="AB838">
        <v>1</v>
      </c>
      <c r="AC838" t="s">
        <v>46</v>
      </c>
      <c r="AE838">
        <v>0</v>
      </c>
      <c r="AF838">
        <v>0</v>
      </c>
      <c r="AG838" t="s">
        <v>47</v>
      </c>
      <c r="AH838" t="s">
        <v>48</v>
      </c>
      <c r="AI838" t="s">
        <v>64</v>
      </c>
      <c r="AJ838" s="1" t="s">
        <v>174</v>
      </c>
      <c r="AK838" s="1" t="s">
        <v>84</v>
      </c>
      <c r="AL838">
        <v>0</v>
      </c>
    </row>
    <row r="839" spans="1:38" x14ac:dyDescent="0.35">
      <c r="A839" t="s">
        <v>1045</v>
      </c>
      <c r="B839" t="s">
        <v>60</v>
      </c>
      <c r="C839" t="s">
        <v>107</v>
      </c>
      <c r="D839">
        <v>1.9</v>
      </c>
      <c r="E839" t="s">
        <v>67</v>
      </c>
      <c r="F839">
        <v>30</v>
      </c>
      <c r="G839" t="s">
        <v>42</v>
      </c>
      <c r="H839" t="s">
        <v>43</v>
      </c>
      <c r="I839">
        <v>1</v>
      </c>
      <c r="J839">
        <v>16.7</v>
      </c>
      <c r="K839">
        <v>7</v>
      </c>
      <c r="L839">
        <v>2</v>
      </c>
      <c r="M839">
        <v>12</v>
      </c>
      <c r="N839">
        <v>0</v>
      </c>
      <c r="O839" t="s">
        <v>82</v>
      </c>
      <c r="P839">
        <v>33300</v>
      </c>
      <c r="Q839">
        <v>11.8</v>
      </c>
      <c r="R839">
        <v>2.7</v>
      </c>
      <c r="S839">
        <v>1.2</v>
      </c>
      <c r="T839">
        <v>0</v>
      </c>
      <c r="U839">
        <v>2.2000000000000002</v>
      </c>
      <c r="V839">
        <v>4.8</v>
      </c>
      <c r="W839">
        <v>4.9000000000000004</v>
      </c>
      <c r="X839" t="s">
        <v>45</v>
      </c>
      <c r="Y839">
        <v>0</v>
      </c>
      <c r="Z839">
        <v>0</v>
      </c>
      <c r="AB839">
        <v>0</v>
      </c>
      <c r="AC839" t="s">
        <v>46</v>
      </c>
      <c r="AE839">
        <v>1</v>
      </c>
      <c r="AF839">
        <v>0</v>
      </c>
      <c r="AG839" t="s">
        <v>75</v>
      </c>
      <c r="AH839" t="s">
        <v>48</v>
      </c>
      <c r="AI839" t="s">
        <v>49</v>
      </c>
      <c r="AJ839" s="1" t="s">
        <v>243</v>
      </c>
      <c r="AK839">
        <v>8.3333333333333301E-2</v>
      </c>
      <c r="AL839">
        <v>0</v>
      </c>
    </row>
    <row r="840" spans="1:38" x14ac:dyDescent="0.35">
      <c r="A840" t="s">
        <v>1046</v>
      </c>
      <c r="B840" t="s">
        <v>98</v>
      </c>
      <c r="C840" t="s">
        <v>148</v>
      </c>
      <c r="D840">
        <v>1.3</v>
      </c>
      <c r="E840" t="s">
        <v>110</v>
      </c>
      <c r="F840">
        <v>30</v>
      </c>
      <c r="G840" t="s">
        <v>68</v>
      </c>
      <c r="H840" t="s">
        <v>69</v>
      </c>
      <c r="I840">
        <v>1</v>
      </c>
      <c r="J840">
        <v>8.8000000000000007</v>
      </c>
      <c r="K840">
        <v>8</v>
      </c>
      <c r="L840">
        <v>0</v>
      </c>
      <c r="M840">
        <v>12</v>
      </c>
      <c r="N840">
        <v>0</v>
      </c>
      <c r="O840" t="s">
        <v>44</v>
      </c>
      <c r="P840">
        <v>58100</v>
      </c>
      <c r="Q840">
        <v>10.7</v>
      </c>
      <c r="R840">
        <v>1.7</v>
      </c>
      <c r="S840">
        <v>0.7</v>
      </c>
      <c r="T840">
        <v>0</v>
      </c>
      <c r="U840">
        <v>4</v>
      </c>
      <c r="V840">
        <v>4.3</v>
      </c>
      <c r="W840">
        <v>3.7</v>
      </c>
      <c r="X840" t="s">
        <v>45</v>
      </c>
      <c r="Y840">
        <v>0</v>
      </c>
      <c r="Z840">
        <v>0</v>
      </c>
      <c r="AB840">
        <v>1</v>
      </c>
      <c r="AC840" t="s">
        <v>46</v>
      </c>
      <c r="AE840">
        <v>1</v>
      </c>
      <c r="AF840">
        <v>0</v>
      </c>
      <c r="AG840" t="s">
        <v>75</v>
      </c>
      <c r="AH840" t="s">
        <v>48</v>
      </c>
      <c r="AI840" t="s">
        <v>64</v>
      </c>
      <c r="AJ840">
        <v>4</v>
      </c>
      <c r="AK840">
        <v>8.3333333333333301E-2</v>
      </c>
      <c r="AL840">
        <v>0</v>
      </c>
    </row>
    <row r="841" spans="1:38" x14ac:dyDescent="0.35">
      <c r="A841" t="s">
        <v>1047</v>
      </c>
      <c r="B841" t="s">
        <v>117</v>
      </c>
      <c r="C841" t="s">
        <v>189</v>
      </c>
      <c r="D841">
        <v>7.4</v>
      </c>
      <c r="E841" t="s">
        <v>110</v>
      </c>
      <c r="F841">
        <v>35</v>
      </c>
      <c r="G841" t="s">
        <v>68</v>
      </c>
      <c r="H841" t="s">
        <v>55</v>
      </c>
      <c r="I841">
        <v>1</v>
      </c>
      <c r="J841">
        <v>9.4</v>
      </c>
      <c r="K841">
        <v>9</v>
      </c>
      <c r="L841">
        <v>2</v>
      </c>
      <c r="M841">
        <v>12</v>
      </c>
      <c r="N841">
        <v>0</v>
      </c>
      <c r="O841" t="s">
        <v>70</v>
      </c>
      <c r="P841">
        <v>47900</v>
      </c>
      <c r="Q841">
        <v>4.0999999999999996</v>
      </c>
      <c r="R841">
        <v>3.3</v>
      </c>
      <c r="S841">
        <v>1.2</v>
      </c>
      <c r="T841">
        <v>0</v>
      </c>
      <c r="U841">
        <v>4.7</v>
      </c>
      <c r="V841">
        <v>2.2000000000000002</v>
      </c>
      <c r="W841">
        <v>3.1</v>
      </c>
      <c r="X841" t="s">
        <v>45</v>
      </c>
      <c r="Y841">
        <v>0</v>
      </c>
      <c r="Z841">
        <v>1</v>
      </c>
      <c r="AA841">
        <v>0.2</v>
      </c>
      <c r="AB841">
        <v>0</v>
      </c>
      <c r="AC841" t="s">
        <v>46</v>
      </c>
      <c r="AE841">
        <v>0</v>
      </c>
      <c r="AF841">
        <v>0</v>
      </c>
      <c r="AG841" t="s">
        <v>47</v>
      </c>
      <c r="AH841" t="s">
        <v>83</v>
      </c>
      <c r="AI841" t="s">
        <v>64</v>
      </c>
      <c r="AJ841" s="1" t="s">
        <v>90</v>
      </c>
      <c r="AK841">
        <v>8.3333333333333301E-2</v>
      </c>
      <c r="AL841">
        <v>0</v>
      </c>
    </row>
    <row r="842" spans="1:38" x14ac:dyDescent="0.35">
      <c r="A842" t="s">
        <v>1048</v>
      </c>
      <c r="B842" t="s">
        <v>73</v>
      </c>
      <c r="C842" t="s">
        <v>113</v>
      </c>
      <c r="D842">
        <v>3.2</v>
      </c>
      <c r="E842" t="s">
        <v>41</v>
      </c>
      <c r="F842">
        <v>31</v>
      </c>
      <c r="G842" t="s">
        <v>42</v>
      </c>
      <c r="H842" t="s">
        <v>63</v>
      </c>
      <c r="I842">
        <v>3</v>
      </c>
      <c r="J842">
        <v>1.2</v>
      </c>
      <c r="K842">
        <v>8</v>
      </c>
      <c r="L842">
        <v>0</v>
      </c>
      <c r="M842">
        <v>12</v>
      </c>
      <c r="N842">
        <v>0</v>
      </c>
      <c r="O842" t="s">
        <v>44</v>
      </c>
      <c r="P842">
        <v>72600</v>
      </c>
      <c r="Q842">
        <v>5.8</v>
      </c>
      <c r="R842">
        <v>3.9</v>
      </c>
      <c r="S842">
        <v>0.1</v>
      </c>
      <c r="T842">
        <v>0</v>
      </c>
      <c r="U842">
        <v>4.8</v>
      </c>
      <c r="V842">
        <v>3</v>
      </c>
      <c r="W842">
        <v>2.9</v>
      </c>
      <c r="X842" t="s">
        <v>45</v>
      </c>
      <c r="Y842">
        <v>0</v>
      </c>
      <c r="Z842">
        <v>0</v>
      </c>
      <c r="AB842">
        <v>0</v>
      </c>
      <c r="AC842" t="s">
        <v>46</v>
      </c>
      <c r="AE842">
        <v>1</v>
      </c>
      <c r="AF842">
        <v>0</v>
      </c>
      <c r="AG842" t="s">
        <v>75</v>
      </c>
      <c r="AH842" t="s">
        <v>76</v>
      </c>
      <c r="AI842" t="s">
        <v>64</v>
      </c>
      <c r="AJ842" s="1" t="s">
        <v>126</v>
      </c>
      <c r="AK842">
        <v>0.25</v>
      </c>
      <c r="AL842">
        <v>0</v>
      </c>
    </row>
    <row r="843" spans="1:38" x14ac:dyDescent="0.35">
      <c r="A843" t="s">
        <v>1049</v>
      </c>
      <c r="B843" t="s">
        <v>39</v>
      </c>
      <c r="C843" t="s">
        <v>40</v>
      </c>
      <c r="D843">
        <v>2.7</v>
      </c>
      <c r="E843" t="s">
        <v>67</v>
      </c>
      <c r="F843">
        <v>30</v>
      </c>
      <c r="G843" t="s">
        <v>42</v>
      </c>
      <c r="H843" t="s">
        <v>63</v>
      </c>
      <c r="I843">
        <v>3</v>
      </c>
      <c r="J843">
        <v>20.8</v>
      </c>
      <c r="K843">
        <v>7</v>
      </c>
      <c r="L843">
        <v>1</v>
      </c>
      <c r="M843">
        <v>12</v>
      </c>
      <c r="N843">
        <v>0</v>
      </c>
      <c r="O843" t="s">
        <v>70</v>
      </c>
      <c r="P843">
        <v>46800</v>
      </c>
      <c r="Q843">
        <v>5.7</v>
      </c>
      <c r="R843">
        <v>2.9</v>
      </c>
      <c r="S843">
        <v>4.3</v>
      </c>
      <c r="T843">
        <v>0</v>
      </c>
      <c r="U843">
        <v>2.8</v>
      </c>
      <c r="V843">
        <v>3.2</v>
      </c>
      <c r="W843">
        <v>3.4</v>
      </c>
      <c r="X843" t="s">
        <v>45</v>
      </c>
      <c r="Y843">
        <v>0</v>
      </c>
      <c r="Z843">
        <v>2</v>
      </c>
      <c r="AA843">
        <v>1.6</v>
      </c>
      <c r="AB843">
        <v>0</v>
      </c>
      <c r="AC843" t="s">
        <v>46</v>
      </c>
      <c r="AE843">
        <v>0</v>
      </c>
      <c r="AF843">
        <v>0</v>
      </c>
      <c r="AG843" t="s">
        <v>47</v>
      </c>
      <c r="AH843" t="s">
        <v>48</v>
      </c>
      <c r="AI843" t="s">
        <v>57</v>
      </c>
      <c r="AJ843" s="1" t="s">
        <v>50</v>
      </c>
      <c r="AK843">
        <v>0.25</v>
      </c>
      <c r="AL843">
        <v>0</v>
      </c>
    </row>
    <row r="844" spans="1:38" x14ac:dyDescent="0.35">
      <c r="A844" t="s">
        <v>1050</v>
      </c>
      <c r="B844" t="s">
        <v>117</v>
      </c>
      <c r="C844" t="s">
        <v>189</v>
      </c>
      <c r="D844">
        <v>7.9</v>
      </c>
      <c r="E844" t="s">
        <v>67</v>
      </c>
      <c r="F844">
        <v>41</v>
      </c>
      <c r="G844" t="s">
        <v>68</v>
      </c>
      <c r="H844" t="s">
        <v>55</v>
      </c>
      <c r="I844">
        <v>6</v>
      </c>
      <c r="J844">
        <v>13.7</v>
      </c>
      <c r="K844">
        <v>9</v>
      </c>
      <c r="L844">
        <v>2</v>
      </c>
      <c r="M844">
        <v>12</v>
      </c>
      <c r="N844">
        <v>0</v>
      </c>
      <c r="O844" t="s">
        <v>70</v>
      </c>
      <c r="P844">
        <v>46800</v>
      </c>
      <c r="Q844">
        <v>1.4</v>
      </c>
      <c r="R844">
        <v>3.5</v>
      </c>
      <c r="S844">
        <v>2.1</v>
      </c>
      <c r="T844">
        <v>0</v>
      </c>
      <c r="U844">
        <v>2.6</v>
      </c>
      <c r="V844">
        <v>3.2</v>
      </c>
      <c r="W844">
        <v>3.8</v>
      </c>
      <c r="X844" t="s">
        <v>45</v>
      </c>
      <c r="Y844">
        <v>0</v>
      </c>
      <c r="Z844">
        <v>0</v>
      </c>
      <c r="AB844">
        <v>0</v>
      </c>
      <c r="AC844" t="s">
        <v>124</v>
      </c>
      <c r="AD844" s="2">
        <v>45948</v>
      </c>
      <c r="AE844">
        <v>1</v>
      </c>
      <c r="AF844">
        <v>0</v>
      </c>
      <c r="AG844" t="s">
        <v>75</v>
      </c>
      <c r="AH844" t="s">
        <v>83</v>
      </c>
      <c r="AI844" t="s">
        <v>49</v>
      </c>
      <c r="AJ844" s="1" t="s">
        <v>249</v>
      </c>
      <c r="AK844">
        <v>0.5</v>
      </c>
      <c r="AL844">
        <v>1</v>
      </c>
    </row>
    <row r="845" spans="1:38" x14ac:dyDescent="0.35">
      <c r="A845" t="s">
        <v>1051</v>
      </c>
      <c r="B845" t="s">
        <v>98</v>
      </c>
      <c r="C845" t="s">
        <v>99</v>
      </c>
      <c r="D845">
        <v>7.6</v>
      </c>
      <c r="E845" t="s">
        <v>67</v>
      </c>
      <c r="F845">
        <v>38</v>
      </c>
      <c r="G845" t="s">
        <v>42</v>
      </c>
      <c r="H845" t="s">
        <v>55</v>
      </c>
      <c r="I845">
        <v>2</v>
      </c>
      <c r="J845">
        <v>16.2</v>
      </c>
      <c r="K845">
        <v>8</v>
      </c>
      <c r="L845">
        <v>0</v>
      </c>
      <c r="M845">
        <v>12</v>
      </c>
      <c r="N845">
        <v>0</v>
      </c>
      <c r="O845" t="s">
        <v>70</v>
      </c>
      <c r="P845">
        <v>43700</v>
      </c>
      <c r="Q845">
        <v>11</v>
      </c>
      <c r="R845">
        <v>5</v>
      </c>
      <c r="S845">
        <v>1.4</v>
      </c>
      <c r="T845">
        <v>0</v>
      </c>
      <c r="U845">
        <v>2.8</v>
      </c>
      <c r="V845">
        <v>3.5</v>
      </c>
      <c r="W845">
        <v>3.2</v>
      </c>
      <c r="X845" t="s">
        <v>45</v>
      </c>
      <c r="Y845">
        <v>0</v>
      </c>
      <c r="Z845">
        <v>1</v>
      </c>
      <c r="AA845">
        <v>0.1</v>
      </c>
      <c r="AB845">
        <v>0</v>
      </c>
      <c r="AC845" t="s">
        <v>46</v>
      </c>
      <c r="AE845">
        <v>0</v>
      </c>
      <c r="AF845">
        <v>0</v>
      </c>
      <c r="AG845" t="s">
        <v>47</v>
      </c>
      <c r="AH845" t="s">
        <v>83</v>
      </c>
      <c r="AI845" t="s">
        <v>49</v>
      </c>
      <c r="AJ845" s="1" t="s">
        <v>100</v>
      </c>
      <c r="AK845" s="1" t="s">
        <v>84</v>
      </c>
      <c r="AL845">
        <v>0</v>
      </c>
    </row>
    <row r="846" spans="1:38" x14ac:dyDescent="0.35">
      <c r="A846" t="s">
        <v>1052</v>
      </c>
      <c r="B846" t="s">
        <v>73</v>
      </c>
      <c r="C846" t="s">
        <v>113</v>
      </c>
      <c r="D846">
        <v>2.9</v>
      </c>
      <c r="E846" t="s">
        <v>81</v>
      </c>
      <c r="F846">
        <v>25</v>
      </c>
      <c r="G846" t="s">
        <v>68</v>
      </c>
      <c r="H846" t="s">
        <v>55</v>
      </c>
      <c r="I846">
        <v>2</v>
      </c>
      <c r="J846">
        <v>105</v>
      </c>
      <c r="K846">
        <v>8</v>
      </c>
      <c r="L846">
        <v>4</v>
      </c>
      <c r="M846">
        <v>12</v>
      </c>
      <c r="N846">
        <v>1</v>
      </c>
      <c r="O846" t="s">
        <v>82</v>
      </c>
      <c r="P846">
        <v>29200</v>
      </c>
      <c r="Q846">
        <v>11.2</v>
      </c>
      <c r="R846">
        <v>3.4</v>
      </c>
      <c r="S846">
        <v>1</v>
      </c>
      <c r="T846">
        <v>0</v>
      </c>
      <c r="U846">
        <v>3.1</v>
      </c>
      <c r="V846">
        <v>2.9</v>
      </c>
      <c r="W846">
        <v>2.2000000000000002</v>
      </c>
      <c r="X846" t="s">
        <v>45</v>
      </c>
      <c r="Y846">
        <v>0</v>
      </c>
      <c r="Z846">
        <v>0</v>
      </c>
      <c r="AB846">
        <v>0</v>
      </c>
      <c r="AC846" t="s">
        <v>46</v>
      </c>
      <c r="AE846">
        <v>1</v>
      </c>
      <c r="AF846">
        <v>0</v>
      </c>
      <c r="AG846" t="s">
        <v>75</v>
      </c>
      <c r="AH846" t="s">
        <v>48</v>
      </c>
      <c r="AI846" t="s">
        <v>207</v>
      </c>
      <c r="AJ846" s="1" t="s">
        <v>168</v>
      </c>
      <c r="AK846" s="1" t="s">
        <v>84</v>
      </c>
      <c r="AL846">
        <v>0</v>
      </c>
    </row>
    <row r="847" spans="1:38" x14ac:dyDescent="0.35">
      <c r="A847" t="s">
        <v>1053</v>
      </c>
      <c r="B847" t="s">
        <v>60</v>
      </c>
      <c r="C847" t="s">
        <v>61</v>
      </c>
      <c r="D847">
        <v>4.7</v>
      </c>
      <c r="E847" t="s">
        <v>67</v>
      </c>
      <c r="F847">
        <v>34</v>
      </c>
      <c r="G847" t="s">
        <v>68</v>
      </c>
      <c r="H847" t="s">
        <v>94</v>
      </c>
      <c r="I847">
        <v>0</v>
      </c>
      <c r="J847">
        <v>12.5</v>
      </c>
      <c r="K847">
        <v>1</v>
      </c>
      <c r="L847">
        <v>3</v>
      </c>
      <c r="M847">
        <v>12</v>
      </c>
      <c r="N847">
        <v>0</v>
      </c>
      <c r="O847" t="s">
        <v>70</v>
      </c>
      <c r="P847">
        <v>38900</v>
      </c>
      <c r="Q847">
        <v>6.7</v>
      </c>
      <c r="R847">
        <v>5</v>
      </c>
      <c r="S847">
        <v>3.2</v>
      </c>
      <c r="T847">
        <v>0</v>
      </c>
      <c r="U847">
        <v>3.3</v>
      </c>
      <c r="V847">
        <v>3.3</v>
      </c>
      <c r="W847">
        <v>2.8</v>
      </c>
      <c r="X847" t="s">
        <v>45</v>
      </c>
      <c r="Y847">
        <v>1</v>
      </c>
      <c r="Z847">
        <v>1</v>
      </c>
      <c r="AA847">
        <v>3</v>
      </c>
      <c r="AB847">
        <v>0</v>
      </c>
      <c r="AC847" t="s">
        <v>46</v>
      </c>
      <c r="AE847">
        <v>0</v>
      </c>
      <c r="AF847">
        <v>0</v>
      </c>
      <c r="AG847" t="s">
        <v>47</v>
      </c>
      <c r="AH847" t="s">
        <v>76</v>
      </c>
      <c r="AI847" t="s">
        <v>49</v>
      </c>
      <c r="AJ847" s="1" t="s">
        <v>487</v>
      </c>
      <c r="AK847">
        <v>0</v>
      </c>
      <c r="AL847">
        <v>0</v>
      </c>
    </row>
    <row r="848" spans="1:38" x14ac:dyDescent="0.35">
      <c r="A848" t="s">
        <v>1054</v>
      </c>
      <c r="B848" t="s">
        <v>98</v>
      </c>
      <c r="C848" t="s">
        <v>151</v>
      </c>
      <c r="D848">
        <v>2.4</v>
      </c>
      <c r="E848" t="s">
        <v>41</v>
      </c>
      <c r="F848">
        <v>32</v>
      </c>
      <c r="G848" t="s">
        <v>68</v>
      </c>
      <c r="H848" t="s">
        <v>69</v>
      </c>
      <c r="I848">
        <v>3</v>
      </c>
      <c r="J848">
        <v>8.8000000000000007</v>
      </c>
      <c r="K848">
        <v>9</v>
      </c>
      <c r="L848">
        <v>4</v>
      </c>
      <c r="M848">
        <v>12</v>
      </c>
      <c r="N848">
        <v>0</v>
      </c>
      <c r="O848" t="s">
        <v>44</v>
      </c>
      <c r="P848">
        <v>62800</v>
      </c>
      <c r="Q848">
        <v>7.9</v>
      </c>
      <c r="R848">
        <v>4.3</v>
      </c>
      <c r="S848">
        <v>4.5</v>
      </c>
      <c r="T848">
        <v>0</v>
      </c>
      <c r="U848">
        <v>2.4</v>
      </c>
      <c r="V848">
        <v>4.0999999999999996</v>
      </c>
      <c r="W848">
        <v>3.4</v>
      </c>
      <c r="X848" t="s">
        <v>45</v>
      </c>
      <c r="Y848">
        <v>0</v>
      </c>
      <c r="Z848">
        <v>3</v>
      </c>
      <c r="AA848">
        <v>0</v>
      </c>
      <c r="AB848">
        <v>1</v>
      </c>
      <c r="AC848" t="s">
        <v>46</v>
      </c>
      <c r="AE848">
        <v>0</v>
      </c>
      <c r="AF848">
        <v>0</v>
      </c>
      <c r="AG848" t="s">
        <v>47</v>
      </c>
      <c r="AH848" t="s">
        <v>48</v>
      </c>
      <c r="AI848" t="s">
        <v>64</v>
      </c>
      <c r="AJ848" s="1" t="s">
        <v>71</v>
      </c>
      <c r="AK848">
        <v>0.25</v>
      </c>
      <c r="AL848">
        <v>0</v>
      </c>
    </row>
    <row r="849" spans="1:38" x14ac:dyDescent="0.35">
      <c r="A849" t="s">
        <v>1055</v>
      </c>
      <c r="B849" t="s">
        <v>39</v>
      </c>
      <c r="C849" t="s">
        <v>66</v>
      </c>
      <c r="D849">
        <v>3.6</v>
      </c>
      <c r="E849" t="s">
        <v>41</v>
      </c>
      <c r="F849">
        <v>31</v>
      </c>
      <c r="G849" t="s">
        <v>42</v>
      </c>
      <c r="H849" t="s">
        <v>55</v>
      </c>
      <c r="I849">
        <v>4</v>
      </c>
      <c r="J849">
        <v>14.3</v>
      </c>
      <c r="K849">
        <v>9</v>
      </c>
      <c r="L849">
        <v>1</v>
      </c>
      <c r="M849">
        <v>12</v>
      </c>
      <c r="N849">
        <v>0</v>
      </c>
      <c r="O849" t="s">
        <v>44</v>
      </c>
      <c r="P849">
        <v>69500</v>
      </c>
      <c r="Q849">
        <v>8.5</v>
      </c>
      <c r="R849">
        <v>3.2</v>
      </c>
      <c r="S849">
        <v>0.3</v>
      </c>
      <c r="T849">
        <v>0</v>
      </c>
      <c r="U849">
        <v>2</v>
      </c>
      <c r="V849">
        <v>2.2000000000000002</v>
      </c>
      <c r="W849">
        <v>4</v>
      </c>
      <c r="X849" t="s">
        <v>45</v>
      </c>
      <c r="Y849">
        <v>0</v>
      </c>
      <c r="Z849">
        <v>1</v>
      </c>
      <c r="AA849">
        <v>1.8</v>
      </c>
      <c r="AB849">
        <v>0</v>
      </c>
      <c r="AC849" t="s">
        <v>46</v>
      </c>
      <c r="AE849">
        <v>0</v>
      </c>
      <c r="AF849">
        <v>0</v>
      </c>
      <c r="AG849" t="s">
        <v>47</v>
      </c>
      <c r="AH849" t="s">
        <v>76</v>
      </c>
      <c r="AI849" t="s">
        <v>49</v>
      </c>
      <c r="AJ849" s="1" t="s">
        <v>168</v>
      </c>
      <c r="AK849" s="1" t="s">
        <v>115</v>
      </c>
      <c r="AL849">
        <v>0</v>
      </c>
    </row>
    <row r="850" spans="1:38" x14ac:dyDescent="0.35">
      <c r="A850" t="s">
        <v>1056</v>
      </c>
      <c r="B850" t="s">
        <v>73</v>
      </c>
      <c r="C850" t="s">
        <v>113</v>
      </c>
      <c r="D850">
        <v>1.6</v>
      </c>
      <c r="E850" t="s">
        <v>81</v>
      </c>
      <c r="F850">
        <v>32</v>
      </c>
      <c r="G850" t="s">
        <v>42</v>
      </c>
      <c r="H850" t="s">
        <v>94</v>
      </c>
      <c r="I850">
        <v>2</v>
      </c>
      <c r="J850">
        <v>12.1</v>
      </c>
      <c r="K850">
        <v>8</v>
      </c>
      <c r="L850">
        <v>2</v>
      </c>
      <c r="M850">
        <v>12</v>
      </c>
      <c r="N850">
        <v>0</v>
      </c>
      <c r="O850" t="s">
        <v>82</v>
      </c>
      <c r="P850">
        <v>29900</v>
      </c>
      <c r="Q850">
        <v>9</v>
      </c>
      <c r="R850">
        <v>3.5</v>
      </c>
      <c r="S850">
        <v>1.4</v>
      </c>
      <c r="T850">
        <v>0</v>
      </c>
      <c r="U850">
        <v>3.3</v>
      </c>
      <c r="V850">
        <v>2.5</v>
      </c>
      <c r="W850">
        <v>2.2000000000000002</v>
      </c>
      <c r="X850" t="s">
        <v>45</v>
      </c>
      <c r="Y850">
        <v>0</v>
      </c>
      <c r="Z850">
        <v>1</v>
      </c>
      <c r="AA850">
        <v>0.3</v>
      </c>
      <c r="AB850">
        <v>0</v>
      </c>
      <c r="AC850" t="s">
        <v>46</v>
      </c>
      <c r="AE850">
        <v>0</v>
      </c>
      <c r="AF850">
        <v>0</v>
      </c>
      <c r="AG850" t="s">
        <v>47</v>
      </c>
      <c r="AH850" t="s">
        <v>48</v>
      </c>
      <c r="AI850" t="s">
        <v>49</v>
      </c>
      <c r="AJ850" s="1" t="s">
        <v>230</v>
      </c>
      <c r="AK850" s="1" t="s">
        <v>84</v>
      </c>
      <c r="AL850">
        <v>0</v>
      </c>
    </row>
    <row r="851" spans="1:38" x14ac:dyDescent="0.35">
      <c r="A851" t="s">
        <v>1057</v>
      </c>
      <c r="B851" t="s">
        <v>60</v>
      </c>
      <c r="C851" t="s">
        <v>61</v>
      </c>
      <c r="D851">
        <v>5.2</v>
      </c>
      <c r="E851" t="s">
        <v>67</v>
      </c>
      <c r="F851">
        <v>32</v>
      </c>
      <c r="G851" t="s">
        <v>234</v>
      </c>
      <c r="H851" t="s">
        <v>55</v>
      </c>
      <c r="I851">
        <v>3</v>
      </c>
      <c r="J851">
        <v>32.1</v>
      </c>
      <c r="K851">
        <v>7</v>
      </c>
      <c r="L851">
        <v>2</v>
      </c>
      <c r="M851">
        <v>12</v>
      </c>
      <c r="N851">
        <v>0</v>
      </c>
      <c r="O851" t="s">
        <v>70</v>
      </c>
      <c r="P851">
        <v>41700</v>
      </c>
      <c r="Q851">
        <v>2.6</v>
      </c>
      <c r="R851">
        <v>2.9</v>
      </c>
      <c r="S851">
        <v>1.8</v>
      </c>
      <c r="T851">
        <v>0</v>
      </c>
      <c r="U851">
        <v>1</v>
      </c>
      <c r="V851">
        <v>2.2000000000000002</v>
      </c>
      <c r="W851">
        <v>3.6</v>
      </c>
      <c r="X851" t="s">
        <v>45</v>
      </c>
      <c r="Y851">
        <v>0</v>
      </c>
      <c r="Z851">
        <v>0</v>
      </c>
      <c r="AB851">
        <v>0</v>
      </c>
      <c r="AC851" t="s">
        <v>46</v>
      </c>
      <c r="AE851">
        <v>1</v>
      </c>
      <c r="AF851">
        <v>0</v>
      </c>
      <c r="AG851" t="s">
        <v>75</v>
      </c>
      <c r="AH851" t="s">
        <v>83</v>
      </c>
      <c r="AI851" t="s">
        <v>57</v>
      </c>
      <c r="AJ851" s="1" t="s">
        <v>1058</v>
      </c>
      <c r="AK851">
        <v>0.25</v>
      </c>
      <c r="AL851">
        <v>0</v>
      </c>
    </row>
    <row r="852" spans="1:38" x14ac:dyDescent="0.35">
      <c r="A852" t="s">
        <v>1059</v>
      </c>
      <c r="B852" t="s">
        <v>73</v>
      </c>
      <c r="C852" t="s">
        <v>177</v>
      </c>
      <c r="D852">
        <v>8.1</v>
      </c>
      <c r="E852" t="s">
        <v>67</v>
      </c>
      <c r="F852">
        <v>35</v>
      </c>
      <c r="G852" t="s">
        <v>42</v>
      </c>
      <c r="H852" t="s">
        <v>43</v>
      </c>
      <c r="I852">
        <v>1</v>
      </c>
      <c r="J852">
        <v>25.4</v>
      </c>
      <c r="K852">
        <v>10</v>
      </c>
      <c r="L852">
        <v>2</v>
      </c>
      <c r="M852">
        <v>12</v>
      </c>
      <c r="N852">
        <v>0</v>
      </c>
      <c r="O852" t="s">
        <v>70</v>
      </c>
      <c r="P852">
        <v>45400</v>
      </c>
      <c r="Q852">
        <v>10</v>
      </c>
      <c r="R852">
        <v>3.4</v>
      </c>
      <c r="S852">
        <v>3.2</v>
      </c>
      <c r="T852">
        <v>0</v>
      </c>
      <c r="U852">
        <v>3.2</v>
      </c>
      <c r="V852">
        <v>3.8</v>
      </c>
      <c r="W852">
        <v>3.6</v>
      </c>
      <c r="X852" t="s">
        <v>45</v>
      </c>
      <c r="Y852">
        <v>0</v>
      </c>
      <c r="Z852">
        <v>2</v>
      </c>
      <c r="AA852">
        <v>0.2</v>
      </c>
      <c r="AB852">
        <v>0</v>
      </c>
      <c r="AC852" t="s">
        <v>46</v>
      </c>
      <c r="AE852">
        <v>0</v>
      </c>
      <c r="AF852">
        <v>0</v>
      </c>
      <c r="AG852" t="s">
        <v>47</v>
      </c>
      <c r="AH852" t="s">
        <v>83</v>
      </c>
      <c r="AI852" t="s">
        <v>57</v>
      </c>
      <c r="AJ852" s="1" t="s">
        <v>122</v>
      </c>
      <c r="AK852">
        <v>8.3333333333333301E-2</v>
      </c>
      <c r="AL852">
        <v>0</v>
      </c>
    </row>
    <row r="853" spans="1:38" x14ac:dyDescent="0.35">
      <c r="A853" t="s">
        <v>1060</v>
      </c>
      <c r="B853" t="s">
        <v>73</v>
      </c>
      <c r="C853" t="s">
        <v>113</v>
      </c>
      <c r="D853">
        <v>7.2</v>
      </c>
      <c r="E853" t="s">
        <v>67</v>
      </c>
      <c r="F853">
        <v>34</v>
      </c>
      <c r="G853" t="s">
        <v>54</v>
      </c>
      <c r="H853" t="s">
        <v>43</v>
      </c>
      <c r="I853">
        <v>6</v>
      </c>
      <c r="J853">
        <v>8</v>
      </c>
      <c r="K853">
        <v>13</v>
      </c>
      <c r="L853">
        <v>1</v>
      </c>
      <c r="M853">
        <v>12</v>
      </c>
      <c r="N853">
        <v>0</v>
      </c>
      <c r="O853" t="s">
        <v>70</v>
      </c>
      <c r="P853">
        <v>47000</v>
      </c>
      <c r="Q853">
        <v>3.3</v>
      </c>
      <c r="R853">
        <v>3.7</v>
      </c>
      <c r="S853">
        <v>2.4</v>
      </c>
      <c r="T853">
        <v>0</v>
      </c>
      <c r="U853">
        <v>2.4</v>
      </c>
      <c r="V853">
        <v>3.3</v>
      </c>
      <c r="W853">
        <v>3</v>
      </c>
      <c r="X853" t="s">
        <v>45</v>
      </c>
      <c r="Y853">
        <v>0</v>
      </c>
      <c r="Z853">
        <v>1</v>
      </c>
      <c r="AA853">
        <v>2.7</v>
      </c>
      <c r="AB853">
        <v>0</v>
      </c>
      <c r="AC853" t="s">
        <v>46</v>
      </c>
      <c r="AE853">
        <v>0</v>
      </c>
      <c r="AF853">
        <v>0</v>
      </c>
      <c r="AG853" t="s">
        <v>47</v>
      </c>
      <c r="AH853" t="s">
        <v>83</v>
      </c>
      <c r="AI853" t="s">
        <v>64</v>
      </c>
      <c r="AJ853">
        <v>2.9</v>
      </c>
      <c r="AK853">
        <v>0.5</v>
      </c>
      <c r="AL853">
        <v>0</v>
      </c>
    </row>
    <row r="854" spans="1:38" x14ac:dyDescent="0.35">
      <c r="A854" t="s">
        <v>1061</v>
      </c>
      <c r="B854" t="s">
        <v>60</v>
      </c>
      <c r="C854" t="s">
        <v>80</v>
      </c>
      <c r="D854">
        <v>4</v>
      </c>
      <c r="E854" t="s">
        <v>110</v>
      </c>
      <c r="F854">
        <v>22</v>
      </c>
      <c r="G854" t="s">
        <v>54</v>
      </c>
      <c r="H854" t="s">
        <v>43</v>
      </c>
      <c r="I854">
        <v>4</v>
      </c>
      <c r="J854">
        <v>14.8</v>
      </c>
      <c r="K854">
        <v>10</v>
      </c>
      <c r="L854">
        <v>2</v>
      </c>
      <c r="M854">
        <v>12</v>
      </c>
      <c r="N854">
        <v>0</v>
      </c>
      <c r="O854" t="s">
        <v>44</v>
      </c>
      <c r="P854">
        <v>52500</v>
      </c>
      <c r="Q854">
        <v>10.7</v>
      </c>
      <c r="R854">
        <v>2.8</v>
      </c>
      <c r="S854">
        <v>1.9</v>
      </c>
      <c r="T854">
        <v>0</v>
      </c>
      <c r="U854">
        <v>4</v>
      </c>
      <c r="V854">
        <v>4</v>
      </c>
      <c r="W854">
        <v>2.9</v>
      </c>
      <c r="X854" t="s">
        <v>45</v>
      </c>
      <c r="Y854">
        <v>0</v>
      </c>
      <c r="Z854">
        <v>1</v>
      </c>
      <c r="AA854">
        <v>1</v>
      </c>
      <c r="AB854">
        <v>0</v>
      </c>
      <c r="AC854" t="s">
        <v>46</v>
      </c>
      <c r="AE854">
        <v>0</v>
      </c>
      <c r="AF854">
        <v>0</v>
      </c>
      <c r="AG854" t="s">
        <v>47</v>
      </c>
      <c r="AH854" t="s">
        <v>76</v>
      </c>
      <c r="AI854" t="s">
        <v>49</v>
      </c>
      <c r="AJ854" s="1" t="s">
        <v>190</v>
      </c>
      <c r="AK854" s="1" t="s">
        <v>115</v>
      </c>
      <c r="AL854">
        <v>0</v>
      </c>
    </row>
    <row r="855" spans="1:38" x14ac:dyDescent="0.35">
      <c r="A855" t="s">
        <v>1062</v>
      </c>
      <c r="B855" t="s">
        <v>60</v>
      </c>
      <c r="C855" t="s">
        <v>80</v>
      </c>
      <c r="D855">
        <v>0.6</v>
      </c>
      <c r="E855" t="s">
        <v>81</v>
      </c>
      <c r="F855">
        <v>26</v>
      </c>
      <c r="G855" t="s">
        <v>68</v>
      </c>
      <c r="H855" t="s">
        <v>43</v>
      </c>
      <c r="I855">
        <v>3</v>
      </c>
      <c r="J855">
        <v>7.4</v>
      </c>
      <c r="K855">
        <v>6</v>
      </c>
      <c r="L855">
        <v>1</v>
      </c>
      <c r="M855">
        <v>12</v>
      </c>
      <c r="N855">
        <v>0</v>
      </c>
      <c r="O855" t="s">
        <v>82</v>
      </c>
      <c r="P855">
        <v>28600</v>
      </c>
      <c r="Q855">
        <v>3.7</v>
      </c>
      <c r="R855">
        <v>2</v>
      </c>
      <c r="S855">
        <v>1.3</v>
      </c>
      <c r="T855">
        <v>0</v>
      </c>
      <c r="U855">
        <v>4.2</v>
      </c>
      <c r="V855">
        <v>2.5</v>
      </c>
      <c r="W855">
        <v>2.8</v>
      </c>
      <c r="X855" t="s">
        <v>45</v>
      </c>
      <c r="Y855">
        <v>0</v>
      </c>
      <c r="Z855">
        <v>0</v>
      </c>
      <c r="AB855">
        <v>0</v>
      </c>
      <c r="AC855" t="s">
        <v>46</v>
      </c>
      <c r="AE855">
        <v>1</v>
      </c>
      <c r="AF855">
        <v>0</v>
      </c>
      <c r="AG855" t="s">
        <v>75</v>
      </c>
      <c r="AH855" t="s">
        <v>95</v>
      </c>
      <c r="AI855" t="s">
        <v>64</v>
      </c>
      <c r="AJ855" s="1" t="s">
        <v>100</v>
      </c>
      <c r="AK855">
        <v>0.25</v>
      </c>
      <c r="AL855">
        <v>0</v>
      </c>
    </row>
    <row r="856" spans="1:38" x14ac:dyDescent="0.35">
      <c r="A856" t="s">
        <v>1063</v>
      </c>
      <c r="B856" t="s">
        <v>73</v>
      </c>
      <c r="C856" t="s">
        <v>121</v>
      </c>
      <c r="D856">
        <v>2.2999999999999998</v>
      </c>
      <c r="E856" t="s">
        <v>41</v>
      </c>
      <c r="F856">
        <v>26</v>
      </c>
      <c r="G856" t="s">
        <v>42</v>
      </c>
      <c r="H856" t="s">
        <v>55</v>
      </c>
      <c r="I856">
        <v>5</v>
      </c>
      <c r="J856">
        <v>20.2</v>
      </c>
      <c r="K856">
        <v>12</v>
      </c>
      <c r="L856">
        <v>4</v>
      </c>
      <c r="M856">
        <v>12</v>
      </c>
      <c r="N856">
        <v>0</v>
      </c>
      <c r="O856" t="s">
        <v>44</v>
      </c>
      <c r="P856">
        <v>54300</v>
      </c>
      <c r="Q856">
        <v>2.8</v>
      </c>
      <c r="R856">
        <v>4.4000000000000004</v>
      </c>
      <c r="S856">
        <v>0.2</v>
      </c>
      <c r="T856">
        <v>0</v>
      </c>
      <c r="U856">
        <v>4.3</v>
      </c>
      <c r="V856">
        <v>2.1</v>
      </c>
      <c r="W856">
        <v>3.5</v>
      </c>
      <c r="X856" t="s">
        <v>89</v>
      </c>
      <c r="Y856">
        <v>0</v>
      </c>
      <c r="Z856">
        <v>0</v>
      </c>
      <c r="AB856">
        <v>0</v>
      </c>
      <c r="AC856" t="s">
        <v>46</v>
      </c>
      <c r="AE856">
        <v>1</v>
      </c>
      <c r="AF856">
        <v>0</v>
      </c>
      <c r="AG856" t="s">
        <v>75</v>
      </c>
      <c r="AH856" t="s">
        <v>48</v>
      </c>
      <c r="AI856" t="s">
        <v>57</v>
      </c>
      <c r="AJ856" s="1" t="s">
        <v>71</v>
      </c>
      <c r="AK856" s="1" t="s">
        <v>127</v>
      </c>
      <c r="AL856">
        <v>0</v>
      </c>
    </row>
    <row r="857" spans="1:38" x14ac:dyDescent="0.35">
      <c r="A857" t="s">
        <v>1064</v>
      </c>
      <c r="B857" t="s">
        <v>52</v>
      </c>
      <c r="C857" t="s">
        <v>53</v>
      </c>
      <c r="D857">
        <v>3.6</v>
      </c>
      <c r="E857" t="s">
        <v>62</v>
      </c>
      <c r="F857">
        <v>25</v>
      </c>
      <c r="G857" t="s">
        <v>42</v>
      </c>
      <c r="H857" t="s">
        <v>43</v>
      </c>
      <c r="I857">
        <v>3</v>
      </c>
      <c r="J857">
        <v>9.1</v>
      </c>
      <c r="K857">
        <v>6</v>
      </c>
      <c r="L857">
        <v>0</v>
      </c>
      <c r="M857">
        <v>12</v>
      </c>
      <c r="N857">
        <v>0</v>
      </c>
      <c r="O857" t="s">
        <v>293</v>
      </c>
      <c r="P857">
        <v>123600</v>
      </c>
      <c r="Q857">
        <v>7.9</v>
      </c>
      <c r="R857">
        <v>4.0999999999999996</v>
      </c>
      <c r="S857">
        <v>1.5</v>
      </c>
      <c r="T857">
        <v>0</v>
      </c>
      <c r="U857">
        <v>3</v>
      </c>
      <c r="V857">
        <v>3.3</v>
      </c>
      <c r="W857">
        <v>4.3</v>
      </c>
      <c r="X857" t="s">
        <v>45</v>
      </c>
      <c r="Y857">
        <v>1</v>
      </c>
      <c r="Z857">
        <v>4</v>
      </c>
      <c r="AA857">
        <v>2.6</v>
      </c>
      <c r="AB857">
        <v>0</v>
      </c>
      <c r="AC857" t="s">
        <v>46</v>
      </c>
      <c r="AE857">
        <v>0</v>
      </c>
      <c r="AF857">
        <v>0</v>
      </c>
      <c r="AG857" t="s">
        <v>47</v>
      </c>
      <c r="AH857" t="s">
        <v>76</v>
      </c>
      <c r="AI857" t="s">
        <v>64</v>
      </c>
      <c r="AJ857" s="1" t="s">
        <v>122</v>
      </c>
      <c r="AK857">
        <v>0.25</v>
      </c>
      <c r="AL857">
        <v>0</v>
      </c>
    </row>
    <row r="858" spans="1:38" x14ac:dyDescent="0.35">
      <c r="A858" t="s">
        <v>1065</v>
      </c>
      <c r="B858" t="s">
        <v>39</v>
      </c>
      <c r="C858" t="s">
        <v>66</v>
      </c>
      <c r="D858">
        <v>1.2</v>
      </c>
      <c r="E858" t="s">
        <v>110</v>
      </c>
      <c r="F858">
        <v>33</v>
      </c>
      <c r="G858" t="s">
        <v>42</v>
      </c>
      <c r="H858" t="s">
        <v>63</v>
      </c>
      <c r="I858">
        <v>2</v>
      </c>
      <c r="J858">
        <v>6.5</v>
      </c>
      <c r="K858">
        <v>8</v>
      </c>
      <c r="L858">
        <v>2</v>
      </c>
      <c r="M858">
        <v>12</v>
      </c>
      <c r="N858">
        <v>0</v>
      </c>
      <c r="O858" t="s">
        <v>70</v>
      </c>
      <c r="P858">
        <v>49400</v>
      </c>
      <c r="Q858">
        <v>7.8</v>
      </c>
      <c r="R858">
        <v>1.9</v>
      </c>
      <c r="S858">
        <v>1</v>
      </c>
      <c r="T858">
        <v>0</v>
      </c>
      <c r="U858">
        <v>2.2999999999999998</v>
      </c>
      <c r="V858">
        <v>3</v>
      </c>
      <c r="W858">
        <v>4.4000000000000004</v>
      </c>
      <c r="X858" t="s">
        <v>45</v>
      </c>
      <c r="Y858">
        <v>0</v>
      </c>
      <c r="Z858">
        <v>0</v>
      </c>
      <c r="AB858">
        <v>1</v>
      </c>
      <c r="AC858" t="s">
        <v>46</v>
      </c>
      <c r="AE858">
        <v>1</v>
      </c>
      <c r="AF858">
        <v>0</v>
      </c>
      <c r="AG858" t="s">
        <v>75</v>
      </c>
      <c r="AH858" t="s">
        <v>48</v>
      </c>
      <c r="AI858" t="s">
        <v>64</v>
      </c>
      <c r="AJ858" s="1" t="s">
        <v>198</v>
      </c>
      <c r="AK858" s="1" t="s">
        <v>84</v>
      </c>
      <c r="AL858">
        <v>0</v>
      </c>
    </row>
    <row r="859" spans="1:38" x14ac:dyDescent="0.35">
      <c r="A859" t="s">
        <v>1066</v>
      </c>
      <c r="B859" t="s">
        <v>60</v>
      </c>
      <c r="C859" t="s">
        <v>107</v>
      </c>
      <c r="D859">
        <v>1</v>
      </c>
      <c r="E859" t="s">
        <v>110</v>
      </c>
      <c r="F859">
        <v>29</v>
      </c>
      <c r="G859" t="s">
        <v>68</v>
      </c>
      <c r="H859" t="s">
        <v>43</v>
      </c>
      <c r="I859">
        <v>5</v>
      </c>
      <c r="J859">
        <v>12.4</v>
      </c>
      <c r="K859">
        <v>14</v>
      </c>
      <c r="L859">
        <v>4</v>
      </c>
      <c r="M859">
        <v>12</v>
      </c>
      <c r="N859">
        <v>0</v>
      </c>
      <c r="O859" t="s">
        <v>44</v>
      </c>
      <c r="P859">
        <v>56100</v>
      </c>
      <c r="Q859">
        <v>8.4</v>
      </c>
      <c r="R859">
        <v>3.4</v>
      </c>
      <c r="S859">
        <v>0.3</v>
      </c>
      <c r="T859">
        <v>0</v>
      </c>
      <c r="U859">
        <v>2.6</v>
      </c>
      <c r="V859">
        <v>3.4</v>
      </c>
      <c r="W859">
        <v>2.5</v>
      </c>
      <c r="X859" t="s">
        <v>89</v>
      </c>
      <c r="Y859">
        <v>0</v>
      </c>
      <c r="Z859">
        <v>0</v>
      </c>
      <c r="AB859">
        <v>1</v>
      </c>
      <c r="AC859" t="s">
        <v>46</v>
      </c>
      <c r="AE859">
        <v>1</v>
      </c>
      <c r="AF859">
        <v>0</v>
      </c>
      <c r="AG859" t="s">
        <v>75</v>
      </c>
      <c r="AH859" t="s">
        <v>95</v>
      </c>
      <c r="AI859" t="s">
        <v>49</v>
      </c>
      <c r="AJ859" s="1" t="s">
        <v>212</v>
      </c>
      <c r="AK859" s="1" t="s">
        <v>127</v>
      </c>
      <c r="AL859">
        <v>0</v>
      </c>
    </row>
    <row r="860" spans="1:38" x14ac:dyDescent="0.35">
      <c r="A860" t="s">
        <v>1067</v>
      </c>
      <c r="B860" t="s">
        <v>98</v>
      </c>
      <c r="C860" t="s">
        <v>151</v>
      </c>
      <c r="D860">
        <v>9.6</v>
      </c>
      <c r="E860" t="s">
        <v>110</v>
      </c>
      <c r="F860">
        <v>35</v>
      </c>
      <c r="G860" t="s">
        <v>42</v>
      </c>
      <c r="H860" t="s">
        <v>63</v>
      </c>
      <c r="I860">
        <v>1</v>
      </c>
      <c r="J860">
        <v>24</v>
      </c>
      <c r="K860">
        <v>14</v>
      </c>
      <c r="L860">
        <v>2</v>
      </c>
      <c r="M860">
        <v>12</v>
      </c>
      <c r="N860">
        <v>0</v>
      </c>
      <c r="O860" t="s">
        <v>44</v>
      </c>
      <c r="P860">
        <v>55000</v>
      </c>
      <c r="Q860">
        <v>4.4000000000000004</v>
      </c>
      <c r="R860">
        <v>4.0999999999999996</v>
      </c>
      <c r="S860">
        <v>4.5</v>
      </c>
      <c r="T860">
        <v>0</v>
      </c>
      <c r="U860">
        <v>3.6</v>
      </c>
      <c r="V860">
        <v>1.7</v>
      </c>
      <c r="W860">
        <v>3.3</v>
      </c>
      <c r="X860" t="s">
        <v>45</v>
      </c>
      <c r="Y860">
        <v>0</v>
      </c>
      <c r="Z860">
        <v>0</v>
      </c>
      <c r="AB860">
        <v>0</v>
      </c>
      <c r="AC860" t="s">
        <v>46</v>
      </c>
      <c r="AE860">
        <v>1</v>
      </c>
      <c r="AF860">
        <v>0</v>
      </c>
      <c r="AG860" t="s">
        <v>75</v>
      </c>
      <c r="AH860" t="s">
        <v>83</v>
      </c>
      <c r="AI860" t="s">
        <v>57</v>
      </c>
      <c r="AJ860" s="1" t="s">
        <v>182</v>
      </c>
      <c r="AK860">
        <v>8.3333333333333301E-2</v>
      </c>
      <c r="AL860">
        <v>0</v>
      </c>
    </row>
    <row r="861" spans="1:38" x14ac:dyDescent="0.35">
      <c r="A861" t="s">
        <v>1068</v>
      </c>
      <c r="B861" t="s">
        <v>117</v>
      </c>
      <c r="C861" t="s">
        <v>118</v>
      </c>
      <c r="D861">
        <v>6.6</v>
      </c>
      <c r="E861" t="s">
        <v>67</v>
      </c>
      <c r="F861">
        <v>30</v>
      </c>
      <c r="G861" t="s">
        <v>68</v>
      </c>
      <c r="H861" t="s">
        <v>43</v>
      </c>
      <c r="I861">
        <v>1</v>
      </c>
      <c r="J861">
        <v>21.4</v>
      </c>
      <c r="K861">
        <v>8</v>
      </c>
      <c r="L861">
        <v>1</v>
      </c>
      <c r="M861">
        <v>12</v>
      </c>
      <c r="N861">
        <v>0</v>
      </c>
      <c r="O861" t="s">
        <v>70</v>
      </c>
      <c r="P861">
        <v>38500</v>
      </c>
      <c r="Q861">
        <v>8.8000000000000007</v>
      </c>
      <c r="R861">
        <v>4</v>
      </c>
      <c r="S861">
        <v>1.4</v>
      </c>
      <c r="T861">
        <v>0</v>
      </c>
      <c r="U861">
        <v>3.3</v>
      </c>
      <c r="V861">
        <v>3.6</v>
      </c>
      <c r="W861">
        <v>1.6</v>
      </c>
      <c r="X861" t="s">
        <v>45</v>
      </c>
      <c r="Y861">
        <v>1</v>
      </c>
      <c r="Z861">
        <v>1</v>
      </c>
      <c r="AA861">
        <v>5.6</v>
      </c>
      <c r="AB861">
        <v>1</v>
      </c>
      <c r="AC861" t="s">
        <v>46</v>
      </c>
      <c r="AE861">
        <v>0</v>
      </c>
      <c r="AF861">
        <v>0</v>
      </c>
      <c r="AG861" t="s">
        <v>47</v>
      </c>
      <c r="AH861" t="s">
        <v>83</v>
      </c>
      <c r="AI861" t="s">
        <v>57</v>
      </c>
      <c r="AJ861" s="1" t="s">
        <v>212</v>
      </c>
      <c r="AK861">
        <v>8.3333333333333301E-2</v>
      </c>
      <c r="AL861">
        <v>0</v>
      </c>
    </row>
    <row r="862" spans="1:38" x14ac:dyDescent="0.35">
      <c r="A862" t="s">
        <v>1069</v>
      </c>
      <c r="B862" t="s">
        <v>39</v>
      </c>
      <c r="C862" t="s">
        <v>88</v>
      </c>
      <c r="D862">
        <v>5.4</v>
      </c>
      <c r="E862" t="s">
        <v>81</v>
      </c>
      <c r="F862">
        <v>33</v>
      </c>
      <c r="G862" t="s">
        <v>68</v>
      </c>
      <c r="H862" t="s">
        <v>94</v>
      </c>
      <c r="I862">
        <v>2</v>
      </c>
      <c r="J862">
        <v>6.9</v>
      </c>
      <c r="K862">
        <v>14</v>
      </c>
      <c r="L862">
        <v>2</v>
      </c>
      <c r="M862">
        <v>12</v>
      </c>
      <c r="N862">
        <v>0</v>
      </c>
      <c r="O862" t="s">
        <v>82</v>
      </c>
      <c r="P862">
        <v>28600</v>
      </c>
      <c r="Q862">
        <v>9.1999999999999993</v>
      </c>
      <c r="R862">
        <v>2.6</v>
      </c>
      <c r="S862">
        <v>2.2999999999999998</v>
      </c>
      <c r="T862">
        <v>0</v>
      </c>
      <c r="U862">
        <v>4.5999999999999996</v>
      </c>
      <c r="V862">
        <v>2.4</v>
      </c>
      <c r="W862">
        <v>3.5</v>
      </c>
      <c r="X862" t="s">
        <v>45</v>
      </c>
      <c r="Y862">
        <v>0</v>
      </c>
      <c r="Z862">
        <v>1</v>
      </c>
      <c r="AA862">
        <v>5.0999999999999996</v>
      </c>
      <c r="AB862">
        <v>1</v>
      </c>
      <c r="AC862" t="s">
        <v>46</v>
      </c>
      <c r="AE862">
        <v>0</v>
      </c>
      <c r="AF862">
        <v>0</v>
      </c>
      <c r="AG862" t="s">
        <v>47</v>
      </c>
      <c r="AH862" t="s">
        <v>83</v>
      </c>
      <c r="AI862" t="s">
        <v>64</v>
      </c>
      <c r="AJ862">
        <v>3.5</v>
      </c>
      <c r="AK862" s="1" t="s">
        <v>84</v>
      </c>
      <c r="AL862">
        <v>0</v>
      </c>
    </row>
    <row r="863" spans="1:38" x14ac:dyDescent="0.35">
      <c r="A863" t="s">
        <v>1070</v>
      </c>
      <c r="B863" t="s">
        <v>39</v>
      </c>
      <c r="C863" t="s">
        <v>40</v>
      </c>
      <c r="D863">
        <v>6.1</v>
      </c>
      <c r="E863" t="s">
        <v>110</v>
      </c>
      <c r="F863">
        <v>36</v>
      </c>
      <c r="G863" t="s">
        <v>234</v>
      </c>
      <c r="H863" t="s">
        <v>55</v>
      </c>
      <c r="I863">
        <v>4</v>
      </c>
      <c r="J863">
        <v>30.2</v>
      </c>
      <c r="K863">
        <v>11</v>
      </c>
      <c r="L863">
        <v>2</v>
      </c>
      <c r="M863">
        <v>12</v>
      </c>
      <c r="N863">
        <v>0</v>
      </c>
      <c r="O863" t="s">
        <v>70</v>
      </c>
      <c r="P863">
        <v>47000</v>
      </c>
      <c r="Q863">
        <v>12.7</v>
      </c>
      <c r="R863">
        <v>4.0999999999999996</v>
      </c>
      <c r="S863">
        <v>1.1000000000000001</v>
      </c>
      <c r="T863">
        <v>0</v>
      </c>
      <c r="U863">
        <v>3</v>
      </c>
      <c r="V863">
        <v>2.6</v>
      </c>
      <c r="W863">
        <v>3.9</v>
      </c>
      <c r="X863" t="s">
        <v>45</v>
      </c>
      <c r="Y863">
        <v>0</v>
      </c>
      <c r="Z863">
        <v>0</v>
      </c>
      <c r="AB863">
        <v>1</v>
      </c>
      <c r="AC863" t="s">
        <v>46</v>
      </c>
      <c r="AE863">
        <v>1</v>
      </c>
      <c r="AF863">
        <v>0</v>
      </c>
      <c r="AG863" t="s">
        <v>75</v>
      </c>
      <c r="AH863" t="s">
        <v>83</v>
      </c>
      <c r="AI863" t="s">
        <v>57</v>
      </c>
      <c r="AJ863" s="1" t="s">
        <v>100</v>
      </c>
      <c r="AK863" s="1" t="s">
        <v>115</v>
      </c>
      <c r="AL863">
        <v>0</v>
      </c>
    </row>
    <row r="864" spans="1:38" x14ac:dyDescent="0.35">
      <c r="A864" t="s">
        <v>1071</v>
      </c>
      <c r="B864" t="s">
        <v>39</v>
      </c>
      <c r="C864" t="s">
        <v>40</v>
      </c>
      <c r="D864">
        <v>1.4</v>
      </c>
      <c r="E864" t="s">
        <v>81</v>
      </c>
      <c r="F864">
        <v>24</v>
      </c>
      <c r="G864" t="s">
        <v>68</v>
      </c>
      <c r="H864" t="s">
        <v>94</v>
      </c>
      <c r="I864">
        <v>4</v>
      </c>
      <c r="J864">
        <v>4.4000000000000004</v>
      </c>
      <c r="K864">
        <v>8</v>
      </c>
      <c r="L864">
        <v>3</v>
      </c>
      <c r="M864">
        <v>12</v>
      </c>
      <c r="N864">
        <v>0</v>
      </c>
      <c r="O864" t="s">
        <v>82</v>
      </c>
      <c r="P864">
        <v>19700</v>
      </c>
      <c r="Q864">
        <v>8.6999999999999993</v>
      </c>
      <c r="R864">
        <v>3.2</v>
      </c>
      <c r="S864">
        <v>0.4</v>
      </c>
      <c r="T864">
        <v>0</v>
      </c>
      <c r="U864">
        <v>3.8</v>
      </c>
      <c r="V864">
        <v>4.3</v>
      </c>
      <c r="W864">
        <v>4.7</v>
      </c>
      <c r="X864" t="s">
        <v>45</v>
      </c>
      <c r="Y864">
        <v>0</v>
      </c>
      <c r="Z864">
        <v>1</v>
      </c>
      <c r="AA864">
        <v>0.3</v>
      </c>
      <c r="AB864">
        <v>0</v>
      </c>
      <c r="AC864" t="s">
        <v>46</v>
      </c>
      <c r="AE864">
        <v>0</v>
      </c>
      <c r="AF864">
        <v>0</v>
      </c>
      <c r="AG864" t="s">
        <v>47</v>
      </c>
      <c r="AH864" t="s">
        <v>48</v>
      </c>
      <c r="AI864" t="s">
        <v>64</v>
      </c>
      <c r="AJ864" s="1" t="s">
        <v>193</v>
      </c>
      <c r="AK864" s="1" t="s">
        <v>115</v>
      </c>
      <c r="AL864">
        <v>0</v>
      </c>
    </row>
    <row r="865" spans="1:38" x14ac:dyDescent="0.35">
      <c r="A865" t="s">
        <v>1072</v>
      </c>
      <c r="B865" t="s">
        <v>117</v>
      </c>
      <c r="C865" t="s">
        <v>118</v>
      </c>
      <c r="D865">
        <v>1.9</v>
      </c>
      <c r="E865" t="s">
        <v>41</v>
      </c>
      <c r="F865">
        <v>28</v>
      </c>
      <c r="G865" t="s">
        <v>42</v>
      </c>
      <c r="H865" t="s">
        <v>55</v>
      </c>
      <c r="I865">
        <v>2</v>
      </c>
      <c r="J865">
        <v>5.8</v>
      </c>
      <c r="K865">
        <v>9</v>
      </c>
      <c r="L865">
        <v>2</v>
      </c>
      <c r="M865">
        <v>12</v>
      </c>
      <c r="N865">
        <v>0</v>
      </c>
      <c r="O865" t="s">
        <v>56</v>
      </c>
      <c r="P865">
        <v>79700</v>
      </c>
      <c r="Q865">
        <v>5.6</v>
      </c>
      <c r="R865">
        <v>3.5</v>
      </c>
      <c r="S865">
        <v>2.5</v>
      </c>
      <c r="T865">
        <v>0</v>
      </c>
      <c r="U865">
        <v>1.7</v>
      </c>
      <c r="V865">
        <v>1.2</v>
      </c>
      <c r="W865">
        <v>2</v>
      </c>
      <c r="X865" t="s">
        <v>89</v>
      </c>
      <c r="Y865">
        <v>0</v>
      </c>
      <c r="Z865">
        <v>0</v>
      </c>
      <c r="AB865">
        <v>0</v>
      </c>
      <c r="AC865" t="s">
        <v>46</v>
      </c>
      <c r="AE865">
        <v>1</v>
      </c>
      <c r="AF865">
        <v>0</v>
      </c>
      <c r="AG865" t="s">
        <v>75</v>
      </c>
      <c r="AH865" t="s">
        <v>48</v>
      </c>
      <c r="AI865" t="s">
        <v>64</v>
      </c>
      <c r="AJ865" s="1" t="s">
        <v>1073</v>
      </c>
      <c r="AK865" s="1" t="s">
        <v>84</v>
      </c>
      <c r="AL865">
        <v>0</v>
      </c>
    </row>
    <row r="866" spans="1:38" x14ac:dyDescent="0.35">
      <c r="A866" t="s">
        <v>1074</v>
      </c>
      <c r="B866" t="s">
        <v>73</v>
      </c>
      <c r="C866" t="s">
        <v>177</v>
      </c>
      <c r="D866">
        <v>4.5</v>
      </c>
      <c r="E866" t="s">
        <v>67</v>
      </c>
      <c r="F866">
        <v>34</v>
      </c>
      <c r="G866" t="s">
        <v>42</v>
      </c>
      <c r="H866" t="s">
        <v>55</v>
      </c>
      <c r="I866">
        <v>4</v>
      </c>
      <c r="J866">
        <v>19.600000000000001</v>
      </c>
      <c r="K866">
        <v>11</v>
      </c>
      <c r="L866">
        <v>1</v>
      </c>
      <c r="M866">
        <v>12</v>
      </c>
      <c r="N866">
        <v>0</v>
      </c>
      <c r="O866" t="s">
        <v>70</v>
      </c>
      <c r="P866">
        <v>42000</v>
      </c>
      <c r="Q866">
        <v>2.6</v>
      </c>
      <c r="R866">
        <v>2.4</v>
      </c>
      <c r="S866">
        <v>4.8</v>
      </c>
      <c r="T866">
        <v>0</v>
      </c>
      <c r="U866">
        <v>2.5</v>
      </c>
      <c r="V866">
        <v>3.5</v>
      </c>
      <c r="W866">
        <v>2.5</v>
      </c>
      <c r="X866" t="s">
        <v>45</v>
      </c>
      <c r="Y866">
        <v>0</v>
      </c>
      <c r="Z866">
        <v>1</v>
      </c>
      <c r="AA866">
        <v>2</v>
      </c>
      <c r="AB866">
        <v>0</v>
      </c>
      <c r="AC866" t="s">
        <v>46</v>
      </c>
      <c r="AE866">
        <v>0</v>
      </c>
      <c r="AF866">
        <v>0</v>
      </c>
      <c r="AG866" t="s">
        <v>47</v>
      </c>
      <c r="AH866" t="s">
        <v>76</v>
      </c>
      <c r="AI866" t="s">
        <v>49</v>
      </c>
      <c r="AJ866" s="1" t="s">
        <v>212</v>
      </c>
      <c r="AK866" s="1" t="s">
        <v>115</v>
      </c>
      <c r="AL866">
        <v>0</v>
      </c>
    </row>
    <row r="867" spans="1:38" x14ac:dyDescent="0.35">
      <c r="A867" t="s">
        <v>1075</v>
      </c>
      <c r="B867" t="s">
        <v>60</v>
      </c>
      <c r="C867" t="s">
        <v>80</v>
      </c>
      <c r="D867">
        <v>4.7</v>
      </c>
      <c r="E867" t="s">
        <v>67</v>
      </c>
      <c r="F867">
        <v>23</v>
      </c>
      <c r="G867" t="s">
        <v>54</v>
      </c>
      <c r="H867" t="s">
        <v>55</v>
      </c>
      <c r="I867">
        <v>2</v>
      </c>
      <c r="J867">
        <v>1</v>
      </c>
      <c r="K867">
        <v>16</v>
      </c>
      <c r="L867">
        <v>3</v>
      </c>
      <c r="M867">
        <v>12</v>
      </c>
      <c r="N867">
        <v>0</v>
      </c>
      <c r="O867" t="s">
        <v>70</v>
      </c>
      <c r="P867">
        <v>35200</v>
      </c>
      <c r="Q867">
        <v>1.9</v>
      </c>
      <c r="R867">
        <v>1</v>
      </c>
      <c r="S867">
        <v>3.1</v>
      </c>
      <c r="T867">
        <v>0</v>
      </c>
      <c r="U867">
        <v>1.6</v>
      </c>
      <c r="V867">
        <v>3.5</v>
      </c>
      <c r="W867">
        <v>3.5</v>
      </c>
      <c r="X867" t="s">
        <v>45</v>
      </c>
      <c r="Y867">
        <v>0</v>
      </c>
      <c r="Z867">
        <v>0</v>
      </c>
      <c r="AB867">
        <v>0</v>
      </c>
      <c r="AC867" t="s">
        <v>46</v>
      </c>
      <c r="AE867">
        <v>1</v>
      </c>
      <c r="AF867">
        <v>0</v>
      </c>
      <c r="AG867" t="s">
        <v>75</v>
      </c>
      <c r="AH867" t="s">
        <v>76</v>
      </c>
      <c r="AI867" t="s">
        <v>64</v>
      </c>
      <c r="AJ867" s="1" t="s">
        <v>182</v>
      </c>
      <c r="AK867" s="1" t="s">
        <v>84</v>
      </c>
      <c r="AL867">
        <v>0</v>
      </c>
    </row>
    <row r="868" spans="1:38" x14ac:dyDescent="0.35">
      <c r="A868" t="s">
        <v>1076</v>
      </c>
      <c r="B868" t="s">
        <v>60</v>
      </c>
      <c r="C868" t="s">
        <v>80</v>
      </c>
      <c r="D868">
        <v>1.1000000000000001</v>
      </c>
      <c r="E868" t="s">
        <v>67</v>
      </c>
      <c r="F868">
        <v>27</v>
      </c>
      <c r="G868" t="s">
        <v>234</v>
      </c>
      <c r="H868" t="s">
        <v>55</v>
      </c>
      <c r="I868">
        <v>3</v>
      </c>
      <c r="J868">
        <v>10.4</v>
      </c>
      <c r="K868">
        <v>5</v>
      </c>
      <c r="L868">
        <v>5</v>
      </c>
      <c r="M868">
        <v>12</v>
      </c>
      <c r="N868">
        <v>0</v>
      </c>
      <c r="O868" t="s">
        <v>70</v>
      </c>
      <c r="P868">
        <v>40100</v>
      </c>
      <c r="Q868">
        <v>9.3000000000000007</v>
      </c>
      <c r="R868">
        <v>2.5</v>
      </c>
      <c r="S868">
        <v>2</v>
      </c>
      <c r="T868">
        <v>0</v>
      </c>
      <c r="U868">
        <v>4.2</v>
      </c>
      <c r="V868">
        <v>2.5</v>
      </c>
      <c r="W868">
        <v>2.1</v>
      </c>
      <c r="X868" t="s">
        <v>45</v>
      </c>
      <c r="Y868">
        <v>0</v>
      </c>
      <c r="Z868">
        <v>0</v>
      </c>
      <c r="AB868">
        <v>1</v>
      </c>
      <c r="AC868" t="s">
        <v>46</v>
      </c>
      <c r="AE868">
        <v>1</v>
      </c>
      <c r="AF868">
        <v>0</v>
      </c>
      <c r="AG868" t="s">
        <v>75</v>
      </c>
      <c r="AH868" t="s">
        <v>48</v>
      </c>
      <c r="AI868" t="s">
        <v>49</v>
      </c>
      <c r="AJ868" s="1" t="s">
        <v>141</v>
      </c>
      <c r="AK868">
        <v>0.25</v>
      </c>
      <c r="AL868">
        <v>0</v>
      </c>
    </row>
    <row r="869" spans="1:38" x14ac:dyDescent="0.35">
      <c r="A869" t="s">
        <v>1077</v>
      </c>
      <c r="B869" t="s">
        <v>39</v>
      </c>
      <c r="C869" t="s">
        <v>88</v>
      </c>
      <c r="D869">
        <v>4.3</v>
      </c>
      <c r="E869" t="s">
        <v>62</v>
      </c>
      <c r="F869">
        <v>29</v>
      </c>
      <c r="G869" t="s">
        <v>42</v>
      </c>
      <c r="H869" t="s">
        <v>63</v>
      </c>
      <c r="I869">
        <v>3</v>
      </c>
      <c r="J869">
        <v>7.9</v>
      </c>
      <c r="K869">
        <v>14</v>
      </c>
      <c r="L869">
        <v>2</v>
      </c>
      <c r="M869">
        <v>12</v>
      </c>
      <c r="N869">
        <v>0</v>
      </c>
      <c r="O869" t="s">
        <v>56</v>
      </c>
      <c r="P869">
        <v>108000</v>
      </c>
      <c r="Q869">
        <v>11.2</v>
      </c>
      <c r="R869">
        <v>3.7</v>
      </c>
      <c r="S869">
        <v>1</v>
      </c>
      <c r="T869">
        <v>0</v>
      </c>
      <c r="U869">
        <v>3.2</v>
      </c>
      <c r="V869">
        <v>2.8</v>
      </c>
      <c r="W869">
        <v>3.5</v>
      </c>
      <c r="X869" t="s">
        <v>89</v>
      </c>
      <c r="Y869">
        <v>0</v>
      </c>
      <c r="Z869">
        <v>1</v>
      </c>
      <c r="AA869">
        <v>1.3</v>
      </c>
      <c r="AB869">
        <v>1</v>
      </c>
      <c r="AC869" t="s">
        <v>46</v>
      </c>
      <c r="AE869">
        <v>0</v>
      </c>
      <c r="AF869">
        <v>0</v>
      </c>
      <c r="AG869" t="s">
        <v>47</v>
      </c>
      <c r="AH869" t="s">
        <v>76</v>
      </c>
      <c r="AI869" t="s">
        <v>64</v>
      </c>
      <c r="AJ869" s="1" t="s">
        <v>100</v>
      </c>
      <c r="AK869">
        <v>0.25</v>
      </c>
      <c r="AL869">
        <v>0</v>
      </c>
    </row>
    <row r="870" spans="1:38" x14ac:dyDescent="0.35">
      <c r="A870" t="s">
        <v>1078</v>
      </c>
      <c r="B870" t="s">
        <v>73</v>
      </c>
      <c r="C870" t="s">
        <v>74</v>
      </c>
      <c r="D870">
        <v>3.6</v>
      </c>
      <c r="E870" t="s">
        <v>81</v>
      </c>
      <c r="F870">
        <v>29</v>
      </c>
      <c r="G870" t="s">
        <v>42</v>
      </c>
      <c r="H870" t="s">
        <v>63</v>
      </c>
      <c r="I870">
        <v>3</v>
      </c>
      <c r="J870">
        <v>31.4</v>
      </c>
      <c r="K870">
        <v>9</v>
      </c>
      <c r="L870">
        <v>2</v>
      </c>
      <c r="M870">
        <v>12</v>
      </c>
      <c r="N870">
        <v>0</v>
      </c>
      <c r="O870" t="s">
        <v>82</v>
      </c>
      <c r="P870">
        <v>26300</v>
      </c>
      <c r="Q870">
        <v>4.4000000000000004</v>
      </c>
      <c r="R870">
        <v>3</v>
      </c>
      <c r="S870">
        <v>1.7</v>
      </c>
      <c r="T870">
        <v>0</v>
      </c>
      <c r="U870">
        <v>3.8</v>
      </c>
      <c r="V870">
        <v>4.3</v>
      </c>
      <c r="W870">
        <v>3.9</v>
      </c>
      <c r="X870" t="s">
        <v>45</v>
      </c>
      <c r="Y870">
        <v>0</v>
      </c>
      <c r="Z870">
        <v>0</v>
      </c>
      <c r="AB870">
        <v>0</v>
      </c>
      <c r="AC870" t="s">
        <v>46</v>
      </c>
      <c r="AE870">
        <v>1</v>
      </c>
      <c r="AF870">
        <v>0</v>
      </c>
      <c r="AG870" t="s">
        <v>75</v>
      </c>
      <c r="AH870" t="s">
        <v>76</v>
      </c>
      <c r="AI870" t="s">
        <v>57</v>
      </c>
      <c r="AJ870">
        <v>4</v>
      </c>
      <c r="AK870">
        <v>0.25</v>
      </c>
      <c r="AL870">
        <v>0</v>
      </c>
    </row>
    <row r="871" spans="1:38" x14ac:dyDescent="0.35">
      <c r="A871" t="s">
        <v>1079</v>
      </c>
      <c r="B871" t="s">
        <v>73</v>
      </c>
      <c r="C871" t="s">
        <v>177</v>
      </c>
      <c r="D871">
        <v>7</v>
      </c>
      <c r="E871" t="s">
        <v>81</v>
      </c>
      <c r="F871">
        <v>31</v>
      </c>
      <c r="G871" t="s">
        <v>68</v>
      </c>
      <c r="H871" t="s">
        <v>94</v>
      </c>
      <c r="I871">
        <v>6</v>
      </c>
      <c r="J871">
        <v>3.7</v>
      </c>
      <c r="K871">
        <v>4</v>
      </c>
      <c r="L871">
        <v>1</v>
      </c>
      <c r="M871">
        <v>12</v>
      </c>
      <c r="N871">
        <v>0</v>
      </c>
      <c r="O871" t="s">
        <v>82</v>
      </c>
      <c r="P871">
        <v>31600</v>
      </c>
      <c r="Q871">
        <v>9</v>
      </c>
      <c r="R871">
        <v>3.8</v>
      </c>
      <c r="S871">
        <v>2.4</v>
      </c>
      <c r="T871">
        <v>0</v>
      </c>
      <c r="U871">
        <v>3.4</v>
      </c>
      <c r="V871">
        <v>5</v>
      </c>
      <c r="W871">
        <v>2.4</v>
      </c>
      <c r="X871" t="s">
        <v>45</v>
      </c>
      <c r="Y871">
        <v>0</v>
      </c>
      <c r="Z871">
        <v>0</v>
      </c>
      <c r="AB871">
        <v>0</v>
      </c>
      <c r="AC871" t="s">
        <v>46</v>
      </c>
      <c r="AE871">
        <v>1</v>
      </c>
      <c r="AF871">
        <v>0</v>
      </c>
      <c r="AG871" t="s">
        <v>75</v>
      </c>
      <c r="AH871" t="s">
        <v>83</v>
      </c>
      <c r="AI871" t="s">
        <v>64</v>
      </c>
      <c r="AJ871">
        <v>3.6</v>
      </c>
      <c r="AK871">
        <v>0.5</v>
      </c>
      <c r="AL871">
        <v>0</v>
      </c>
    </row>
    <row r="872" spans="1:38" x14ac:dyDescent="0.35">
      <c r="A872" t="s">
        <v>1080</v>
      </c>
      <c r="B872" t="s">
        <v>39</v>
      </c>
      <c r="C872" t="s">
        <v>88</v>
      </c>
      <c r="D872">
        <v>4.7</v>
      </c>
      <c r="E872" t="s">
        <v>81</v>
      </c>
      <c r="F872">
        <v>31</v>
      </c>
      <c r="G872" t="s">
        <v>42</v>
      </c>
      <c r="H872" t="s">
        <v>55</v>
      </c>
      <c r="I872">
        <v>2</v>
      </c>
      <c r="J872">
        <v>4.0999999999999996</v>
      </c>
      <c r="K872">
        <v>4</v>
      </c>
      <c r="L872">
        <v>2</v>
      </c>
      <c r="M872">
        <v>12</v>
      </c>
      <c r="N872">
        <v>0</v>
      </c>
      <c r="O872" t="s">
        <v>82</v>
      </c>
      <c r="P872">
        <v>32700</v>
      </c>
      <c r="Q872">
        <v>7.3</v>
      </c>
      <c r="R872">
        <v>4.2</v>
      </c>
      <c r="S872">
        <v>0.9</v>
      </c>
      <c r="T872">
        <v>0</v>
      </c>
      <c r="U872">
        <v>3.7</v>
      </c>
      <c r="V872">
        <v>4.2</v>
      </c>
      <c r="W872">
        <v>3.5</v>
      </c>
      <c r="X872" t="s">
        <v>89</v>
      </c>
      <c r="Y872">
        <v>0</v>
      </c>
      <c r="Z872">
        <v>2</v>
      </c>
      <c r="AA872">
        <v>2.8</v>
      </c>
      <c r="AB872">
        <v>1</v>
      </c>
      <c r="AC872" t="s">
        <v>46</v>
      </c>
      <c r="AE872">
        <v>0</v>
      </c>
      <c r="AF872">
        <v>0</v>
      </c>
      <c r="AG872" t="s">
        <v>47</v>
      </c>
      <c r="AH872" t="s">
        <v>76</v>
      </c>
      <c r="AI872" t="s">
        <v>64</v>
      </c>
      <c r="AJ872" s="1" t="s">
        <v>347</v>
      </c>
      <c r="AK872" s="1" t="s">
        <v>84</v>
      </c>
      <c r="AL872">
        <v>0</v>
      </c>
    </row>
    <row r="873" spans="1:38" x14ac:dyDescent="0.35">
      <c r="A873" t="s">
        <v>1081</v>
      </c>
      <c r="B873" t="s">
        <v>73</v>
      </c>
      <c r="C873" t="s">
        <v>74</v>
      </c>
      <c r="D873">
        <v>10.3</v>
      </c>
      <c r="E873" t="s">
        <v>110</v>
      </c>
      <c r="F873">
        <v>44</v>
      </c>
      <c r="G873" t="s">
        <v>68</v>
      </c>
      <c r="H873" t="s">
        <v>94</v>
      </c>
      <c r="I873">
        <v>0</v>
      </c>
      <c r="J873">
        <v>34.4</v>
      </c>
      <c r="K873">
        <v>9</v>
      </c>
      <c r="L873">
        <v>1</v>
      </c>
      <c r="M873">
        <v>12</v>
      </c>
      <c r="N873">
        <v>0</v>
      </c>
      <c r="O873" t="s">
        <v>70</v>
      </c>
      <c r="P873">
        <v>48400</v>
      </c>
      <c r="Q873">
        <v>10.9</v>
      </c>
      <c r="R873">
        <v>2.9</v>
      </c>
      <c r="S873">
        <v>2.4</v>
      </c>
      <c r="T873">
        <v>0</v>
      </c>
      <c r="U873">
        <v>3</v>
      </c>
      <c r="V873">
        <v>4.9000000000000004</v>
      </c>
      <c r="W873">
        <v>2.4</v>
      </c>
      <c r="X873" t="s">
        <v>45</v>
      </c>
      <c r="Y873">
        <v>0</v>
      </c>
      <c r="Z873">
        <v>2</v>
      </c>
      <c r="AA873">
        <v>5.0999999999999996</v>
      </c>
      <c r="AB873">
        <v>0</v>
      </c>
      <c r="AC873" t="s">
        <v>46</v>
      </c>
      <c r="AE873">
        <v>0</v>
      </c>
      <c r="AF873">
        <v>0</v>
      </c>
      <c r="AG873" t="s">
        <v>47</v>
      </c>
      <c r="AH873" t="s">
        <v>83</v>
      </c>
      <c r="AI873" t="s">
        <v>57</v>
      </c>
      <c r="AJ873" s="1" t="s">
        <v>174</v>
      </c>
      <c r="AK873">
        <v>0</v>
      </c>
      <c r="AL873">
        <v>0</v>
      </c>
    </row>
    <row r="874" spans="1:38" x14ac:dyDescent="0.35">
      <c r="A874" t="s">
        <v>1082</v>
      </c>
      <c r="B874" t="s">
        <v>60</v>
      </c>
      <c r="C874" t="s">
        <v>107</v>
      </c>
      <c r="D874">
        <v>2.9</v>
      </c>
      <c r="E874" t="s">
        <v>62</v>
      </c>
      <c r="F874">
        <v>28</v>
      </c>
      <c r="G874" t="s">
        <v>54</v>
      </c>
      <c r="H874" t="s">
        <v>69</v>
      </c>
      <c r="I874">
        <v>2</v>
      </c>
      <c r="J874">
        <v>8</v>
      </c>
      <c r="K874">
        <v>8</v>
      </c>
      <c r="L874">
        <v>3</v>
      </c>
      <c r="M874">
        <v>12</v>
      </c>
      <c r="N874">
        <v>0</v>
      </c>
      <c r="O874" t="s">
        <v>56</v>
      </c>
      <c r="P874">
        <v>102400</v>
      </c>
      <c r="Q874">
        <v>11.5</v>
      </c>
      <c r="R874">
        <v>2.8</v>
      </c>
      <c r="S874">
        <v>1.1000000000000001</v>
      </c>
      <c r="T874">
        <v>0</v>
      </c>
      <c r="U874">
        <v>3.1</v>
      </c>
      <c r="V874">
        <v>2.6</v>
      </c>
      <c r="W874">
        <v>4.5</v>
      </c>
      <c r="X874" t="s">
        <v>45</v>
      </c>
      <c r="Y874">
        <v>0</v>
      </c>
      <c r="Z874">
        <v>3</v>
      </c>
      <c r="AA874">
        <v>2.1</v>
      </c>
      <c r="AB874">
        <v>0</v>
      </c>
      <c r="AC874" t="s">
        <v>46</v>
      </c>
      <c r="AE874">
        <v>0</v>
      </c>
      <c r="AF874">
        <v>0</v>
      </c>
      <c r="AG874" t="s">
        <v>47</v>
      </c>
      <c r="AH874" t="s">
        <v>48</v>
      </c>
      <c r="AI874" t="s">
        <v>64</v>
      </c>
      <c r="AJ874">
        <v>3.4</v>
      </c>
      <c r="AK874" s="1" t="s">
        <v>84</v>
      </c>
      <c r="AL874">
        <v>0</v>
      </c>
    </row>
    <row r="875" spans="1:38" x14ac:dyDescent="0.35">
      <c r="A875" t="s">
        <v>1083</v>
      </c>
      <c r="B875" t="s">
        <v>98</v>
      </c>
      <c r="C875" t="s">
        <v>148</v>
      </c>
      <c r="D875">
        <v>1.5</v>
      </c>
      <c r="E875" t="s">
        <v>67</v>
      </c>
      <c r="F875">
        <v>29</v>
      </c>
      <c r="G875" t="s">
        <v>42</v>
      </c>
      <c r="H875" t="s">
        <v>55</v>
      </c>
      <c r="I875">
        <v>2</v>
      </c>
      <c r="J875">
        <v>23.4</v>
      </c>
      <c r="K875">
        <v>13</v>
      </c>
      <c r="L875">
        <v>1</v>
      </c>
      <c r="M875">
        <v>12</v>
      </c>
      <c r="N875">
        <v>0</v>
      </c>
      <c r="O875" t="s">
        <v>70</v>
      </c>
      <c r="P875">
        <v>39700</v>
      </c>
      <c r="Q875">
        <v>0</v>
      </c>
      <c r="R875">
        <v>1.2</v>
      </c>
      <c r="S875">
        <v>0.5</v>
      </c>
      <c r="T875">
        <v>0</v>
      </c>
      <c r="U875">
        <v>3.2</v>
      </c>
      <c r="V875">
        <v>1.8</v>
      </c>
      <c r="W875">
        <v>3.6</v>
      </c>
      <c r="X875" t="s">
        <v>45</v>
      </c>
      <c r="Y875">
        <v>0</v>
      </c>
      <c r="Z875">
        <v>0</v>
      </c>
      <c r="AB875">
        <v>0</v>
      </c>
      <c r="AC875" t="s">
        <v>124</v>
      </c>
      <c r="AD875" s="2">
        <v>45548</v>
      </c>
      <c r="AE875">
        <v>1</v>
      </c>
      <c r="AF875">
        <v>0</v>
      </c>
      <c r="AG875" t="s">
        <v>75</v>
      </c>
      <c r="AH875" t="s">
        <v>48</v>
      </c>
      <c r="AI875" t="s">
        <v>57</v>
      </c>
      <c r="AJ875" s="1" t="s">
        <v>182</v>
      </c>
      <c r="AK875" s="1" t="s">
        <v>84</v>
      </c>
      <c r="AL875">
        <v>1</v>
      </c>
    </row>
    <row r="876" spans="1:38" x14ac:dyDescent="0.35">
      <c r="A876" t="s">
        <v>1084</v>
      </c>
      <c r="B876" t="s">
        <v>39</v>
      </c>
      <c r="C876" t="s">
        <v>66</v>
      </c>
      <c r="D876">
        <v>10.1</v>
      </c>
      <c r="E876" t="s">
        <v>41</v>
      </c>
      <c r="F876">
        <v>44</v>
      </c>
      <c r="G876" t="s">
        <v>42</v>
      </c>
      <c r="H876" t="s">
        <v>43</v>
      </c>
      <c r="I876">
        <v>2</v>
      </c>
      <c r="J876">
        <v>7</v>
      </c>
      <c r="K876">
        <v>12</v>
      </c>
      <c r="L876">
        <v>3</v>
      </c>
      <c r="M876">
        <v>12</v>
      </c>
      <c r="N876">
        <v>0</v>
      </c>
      <c r="O876" t="s">
        <v>56</v>
      </c>
      <c r="P876">
        <v>96200</v>
      </c>
      <c r="Q876">
        <v>12.1</v>
      </c>
      <c r="R876">
        <v>1.8</v>
      </c>
      <c r="S876">
        <v>1.2</v>
      </c>
      <c r="T876">
        <v>0</v>
      </c>
      <c r="U876">
        <v>3.7</v>
      </c>
      <c r="V876">
        <v>3.2</v>
      </c>
      <c r="W876">
        <v>2.9</v>
      </c>
      <c r="X876" t="s">
        <v>45</v>
      </c>
      <c r="Y876">
        <v>0</v>
      </c>
      <c r="Z876">
        <v>0</v>
      </c>
      <c r="AB876">
        <v>1</v>
      </c>
      <c r="AC876" t="s">
        <v>46</v>
      </c>
      <c r="AE876">
        <v>1</v>
      </c>
      <c r="AF876">
        <v>0</v>
      </c>
      <c r="AG876" t="s">
        <v>75</v>
      </c>
      <c r="AH876" t="s">
        <v>83</v>
      </c>
      <c r="AI876" t="s">
        <v>64</v>
      </c>
      <c r="AJ876" s="1" t="s">
        <v>235</v>
      </c>
      <c r="AK876" s="1" t="s">
        <v>84</v>
      </c>
      <c r="AL876">
        <v>0</v>
      </c>
    </row>
    <row r="877" spans="1:38" x14ac:dyDescent="0.35">
      <c r="A877" t="s">
        <v>1085</v>
      </c>
      <c r="B877" t="s">
        <v>60</v>
      </c>
      <c r="C877" t="s">
        <v>61</v>
      </c>
      <c r="D877">
        <v>4.9000000000000004</v>
      </c>
      <c r="E877" t="s">
        <v>67</v>
      </c>
      <c r="F877">
        <v>29</v>
      </c>
      <c r="G877" t="s">
        <v>42</v>
      </c>
      <c r="H877" t="s">
        <v>69</v>
      </c>
      <c r="I877">
        <v>4</v>
      </c>
      <c r="J877">
        <v>5.6</v>
      </c>
      <c r="K877">
        <v>14</v>
      </c>
      <c r="L877">
        <v>5</v>
      </c>
      <c r="M877">
        <v>12</v>
      </c>
      <c r="N877">
        <v>0</v>
      </c>
      <c r="O877" t="s">
        <v>70</v>
      </c>
      <c r="P877">
        <v>42300</v>
      </c>
      <c r="Q877">
        <v>9</v>
      </c>
      <c r="R877">
        <v>2</v>
      </c>
      <c r="S877">
        <v>1.5</v>
      </c>
      <c r="T877">
        <v>0</v>
      </c>
      <c r="U877">
        <v>3.7</v>
      </c>
      <c r="V877">
        <v>3.9</v>
      </c>
      <c r="W877">
        <v>2.4</v>
      </c>
      <c r="X877" t="s">
        <v>45</v>
      </c>
      <c r="Y877">
        <v>0</v>
      </c>
      <c r="Z877">
        <v>0</v>
      </c>
      <c r="AB877">
        <v>0</v>
      </c>
      <c r="AC877" t="s">
        <v>46</v>
      </c>
      <c r="AE877">
        <v>1</v>
      </c>
      <c r="AF877">
        <v>0</v>
      </c>
      <c r="AG877" t="s">
        <v>75</v>
      </c>
      <c r="AH877" t="s">
        <v>76</v>
      </c>
      <c r="AI877" t="s">
        <v>64</v>
      </c>
      <c r="AJ877" s="1" t="s">
        <v>90</v>
      </c>
      <c r="AK877" s="1" t="s">
        <v>115</v>
      </c>
      <c r="AL877">
        <v>0</v>
      </c>
    </row>
    <row r="878" spans="1:38" x14ac:dyDescent="0.35">
      <c r="A878" t="s">
        <v>1086</v>
      </c>
      <c r="B878" t="s">
        <v>98</v>
      </c>
      <c r="C878" t="s">
        <v>99</v>
      </c>
      <c r="D878">
        <v>3.6</v>
      </c>
      <c r="E878" t="s">
        <v>110</v>
      </c>
      <c r="F878">
        <v>37</v>
      </c>
      <c r="G878" t="s">
        <v>42</v>
      </c>
      <c r="H878" t="s">
        <v>55</v>
      </c>
      <c r="I878">
        <v>2</v>
      </c>
      <c r="J878">
        <v>24.2</v>
      </c>
      <c r="K878">
        <v>9</v>
      </c>
      <c r="L878">
        <v>1</v>
      </c>
      <c r="M878">
        <v>12</v>
      </c>
      <c r="N878">
        <v>0</v>
      </c>
      <c r="O878" t="s">
        <v>44</v>
      </c>
      <c r="P878">
        <v>50600</v>
      </c>
      <c r="Q878">
        <v>5.9</v>
      </c>
      <c r="R878">
        <v>3.7</v>
      </c>
      <c r="S878">
        <v>2.9</v>
      </c>
      <c r="T878">
        <v>0</v>
      </c>
      <c r="U878">
        <v>5</v>
      </c>
      <c r="V878">
        <v>1.5</v>
      </c>
      <c r="W878">
        <v>3.7</v>
      </c>
      <c r="X878" t="s">
        <v>45</v>
      </c>
      <c r="Y878">
        <v>0</v>
      </c>
      <c r="Z878">
        <v>1</v>
      </c>
      <c r="AA878">
        <v>1.6</v>
      </c>
      <c r="AB878">
        <v>2</v>
      </c>
      <c r="AC878" t="s">
        <v>46</v>
      </c>
      <c r="AE878">
        <v>0</v>
      </c>
      <c r="AF878">
        <v>0</v>
      </c>
      <c r="AG878" t="s">
        <v>47</v>
      </c>
      <c r="AH878" t="s">
        <v>76</v>
      </c>
      <c r="AI878" t="s">
        <v>57</v>
      </c>
      <c r="AJ878">
        <v>3.4</v>
      </c>
      <c r="AK878" s="1" t="s">
        <v>84</v>
      </c>
      <c r="AL878">
        <v>0</v>
      </c>
    </row>
    <row r="879" spans="1:38" x14ac:dyDescent="0.35">
      <c r="A879" t="s">
        <v>1087</v>
      </c>
      <c r="B879" t="s">
        <v>98</v>
      </c>
      <c r="C879" t="s">
        <v>151</v>
      </c>
      <c r="D879">
        <v>1.9</v>
      </c>
      <c r="E879" t="s">
        <v>81</v>
      </c>
      <c r="F879">
        <v>28</v>
      </c>
      <c r="G879" t="s">
        <v>68</v>
      </c>
      <c r="H879" t="s">
        <v>43</v>
      </c>
      <c r="I879">
        <v>4</v>
      </c>
      <c r="J879">
        <v>40.200000000000003</v>
      </c>
      <c r="K879">
        <v>10</v>
      </c>
      <c r="L879">
        <v>3</v>
      </c>
      <c r="M879">
        <v>12</v>
      </c>
      <c r="N879">
        <v>0</v>
      </c>
      <c r="O879" t="s">
        <v>82</v>
      </c>
      <c r="P879">
        <v>27000</v>
      </c>
      <c r="Q879">
        <v>6</v>
      </c>
      <c r="R879">
        <v>2.9</v>
      </c>
      <c r="S879">
        <v>1.7</v>
      </c>
      <c r="T879">
        <v>0</v>
      </c>
      <c r="U879">
        <v>4.8</v>
      </c>
      <c r="V879">
        <v>2.4</v>
      </c>
      <c r="W879">
        <v>4.5</v>
      </c>
      <c r="X879" t="s">
        <v>45</v>
      </c>
      <c r="Y879">
        <v>0</v>
      </c>
      <c r="Z879">
        <v>2</v>
      </c>
      <c r="AA879">
        <v>0</v>
      </c>
      <c r="AB879">
        <v>1</v>
      </c>
      <c r="AC879" t="s">
        <v>46</v>
      </c>
      <c r="AE879">
        <v>0</v>
      </c>
      <c r="AF879">
        <v>0</v>
      </c>
      <c r="AG879" t="s">
        <v>47</v>
      </c>
      <c r="AH879" t="s">
        <v>48</v>
      </c>
      <c r="AI879" t="s">
        <v>57</v>
      </c>
      <c r="AJ879">
        <v>3.9</v>
      </c>
      <c r="AK879" s="1" t="s">
        <v>115</v>
      </c>
      <c r="AL879">
        <v>0</v>
      </c>
    </row>
    <row r="880" spans="1:38" x14ac:dyDescent="0.35">
      <c r="A880" t="s">
        <v>1088</v>
      </c>
      <c r="B880" t="s">
        <v>39</v>
      </c>
      <c r="C880" t="s">
        <v>40</v>
      </c>
      <c r="D880">
        <v>2.9</v>
      </c>
      <c r="E880" t="s">
        <v>67</v>
      </c>
      <c r="F880">
        <v>36</v>
      </c>
      <c r="G880" t="s">
        <v>42</v>
      </c>
      <c r="H880" t="s">
        <v>69</v>
      </c>
      <c r="I880">
        <v>2</v>
      </c>
      <c r="J880">
        <v>25.5</v>
      </c>
      <c r="K880">
        <v>10</v>
      </c>
      <c r="L880">
        <v>1</v>
      </c>
      <c r="M880">
        <v>12</v>
      </c>
      <c r="N880">
        <v>0</v>
      </c>
      <c r="O880" t="s">
        <v>70</v>
      </c>
      <c r="P880">
        <v>47900</v>
      </c>
      <c r="Q880">
        <v>8.1</v>
      </c>
      <c r="R880">
        <v>2.7</v>
      </c>
      <c r="S880">
        <v>0.2</v>
      </c>
      <c r="T880">
        <v>0</v>
      </c>
      <c r="U880">
        <v>1.7</v>
      </c>
      <c r="V880">
        <v>2.5</v>
      </c>
      <c r="W880">
        <v>2.8</v>
      </c>
      <c r="X880" t="s">
        <v>45</v>
      </c>
      <c r="Y880">
        <v>0</v>
      </c>
      <c r="Z880">
        <v>1</v>
      </c>
      <c r="AA880">
        <v>0.4</v>
      </c>
      <c r="AB880">
        <v>0</v>
      </c>
      <c r="AC880" t="s">
        <v>46</v>
      </c>
      <c r="AE880">
        <v>0</v>
      </c>
      <c r="AF880">
        <v>0</v>
      </c>
      <c r="AG880" t="s">
        <v>47</v>
      </c>
      <c r="AH880" t="s">
        <v>48</v>
      </c>
      <c r="AI880" t="s">
        <v>57</v>
      </c>
      <c r="AJ880" s="1" t="s">
        <v>419</v>
      </c>
      <c r="AK880" s="1" t="s">
        <v>84</v>
      </c>
      <c r="AL880">
        <v>0</v>
      </c>
    </row>
    <row r="881" spans="1:38" x14ac:dyDescent="0.35">
      <c r="A881" t="s">
        <v>1089</v>
      </c>
      <c r="B881" t="s">
        <v>117</v>
      </c>
      <c r="C881" t="s">
        <v>189</v>
      </c>
      <c r="D881">
        <v>2.8</v>
      </c>
      <c r="E881" t="s">
        <v>110</v>
      </c>
      <c r="F881">
        <v>32</v>
      </c>
      <c r="G881" t="s">
        <v>42</v>
      </c>
      <c r="H881" t="s">
        <v>55</v>
      </c>
      <c r="I881">
        <v>1</v>
      </c>
      <c r="J881">
        <v>6.6</v>
      </c>
      <c r="K881">
        <v>11</v>
      </c>
      <c r="L881">
        <v>2</v>
      </c>
      <c r="M881">
        <v>12</v>
      </c>
      <c r="N881">
        <v>0</v>
      </c>
      <c r="O881" t="s">
        <v>44</v>
      </c>
      <c r="P881">
        <v>50400</v>
      </c>
      <c r="Q881">
        <v>6</v>
      </c>
      <c r="R881">
        <v>2.6</v>
      </c>
      <c r="S881">
        <v>2.4</v>
      </c>
      <c r="T881">
        <v>0</v>
      </c>
      <c r="U881">
        <v>3.2</v>
      </c>
      <c r="V881">
        <v>3.5</v>
      </c>
      <c r="W881">
        <v>3</v>
      </c>
      <c r="X881" t="s">
        <v>45</v>
      </c>
      <c r="Y881">
        <v>0</v>
      </c>
      <c r="Z881">
        <v>0</v>
      </c>
      <c r="AB881">
        <v>0</v>
      </c>
      <c r="AC881" t="s">
        <v>46</v>
      </c>
      <c r="AE881">
        <v>1</v>
      </c>
      <c r="AF881">
        <v>0</v>
      </c>
      <c r="AG881" t="s">
        <v>75</v>
      </c>
      <c r="AH881" t="s">
        <v>48</v>
      </c>
      <c r="AI881" t="s">
        <v>64</v>
      </c>
      <c r="AJ881" s="1" t="s">
        <v>198</v>
      </c>
      <c r="AK881">
        <v>8.3333333333333301E-2</v>
      </c>
      <c r="AL881">
        <v>0</v>
      </c>
    </row>
    <row r="882" spans="1:38" x14ac:dyDescent="0.35">
      <c r="A882" t="s">
        <v>1090</v>
      </c>
      <c r="B882" t="s">
        <v>98</v>
      </c>
      <c r="C882" t="s">
        <v>148</v>
      </c>
      <c r="D882">
        <v>1.4</v>
      </c>
      <c r="E882" t="s">
        <v>110</v>
      </c>
      <c r="F882">
        <v>29</v>
      </c>
      <c r="G882" t="s">
        <v>68</v>
      </c>
      <c r="H882" t="s">
        <v>43</v>
      </c>
      <c r="I882">
        <v>2</v>
      </c>
      <c r="J882">
        <v>10</v>
      </c>
      <c r="K882">
        <v>8</v>
      </c>
      <c r="L882">
        <v>0</v>
      </c>
      <c r="M882">
        <v>12</v>
      </c>
      <c r="N882">
        <v>0</v>
      </c>
      <c r="O882" t="s">
        <v>44</v>
      </c>
      <c r="P882">
        <v>55700</v>
      </c>
      <c r="Q882">
        <v>4.3</v>
      </c>
      <c r="R882">
        <v>2.5</v>
      </c>
      <c r="S882">
        <v>1</v>
      </c>
      <c r="T882">
        <v>0</v>
      </c>
      <c r="U882">
        <v>2.9</v>
      </c>
      <c r="V882">
        <v>3.4</v>
      </c>
      <c r="W882">
        <v>2.8</v>
      </c>
      <c r="X882" t="s">
        <v>45</v>
      </c>
      <c r="Y882">
        <v>0</v>
      </c>
      <c r="Z882">
        <v>1</v>
      </c>
      <c r="AA882">
        <v>1.3</v>
      </c>
      <c r="AB882">
        <v>0</v>
      </c>
      <c r="AC882" t="s">
        <v>46</v>
      </c>
      <c r="AE882">
        <v>0</v>
      </c>
      <c r="AF882">
        <v>0</v>
      </c>
      <c r="AG882" t="s">
        <v>47</v>
      </c>
      <c r="AH882" t="s">
        <v>48</v>
      </c>
      <c r="AI882" t="s">
        <v>64</v>
      </c>
      <c r="AJ882" s="1" t="s">
        <v>627</v>
      </c>
      <c r="AK882" s="1" t="s">
        <v>84</v>
      </c>
      <c r="AL882">
        <v>0</v>
      </c>
    </row>
    <row r="883" spans="1:38" x14ac:dyDescent="0.35">
      <c r="A883" t="s">
        <v>1091</v>
      </c>
      <c r="B883" t="s">
        <v>39</v>
      </c>
      <c r="C883" t="s">
        <v>88</v>
      </c>
      <c r="D883">
        <v>0.4</v>
      </c>
      <c r="E883" t="s">
        <v>67</v>
      </c>
      <c r="F883">
        <v>26</v>
      </c>
      <c r="G883" t="s">
        <v>68</v>
      </c>
      <c r="H883" t="s">
        <v>43</v>
      </c>
      <c r="I883">
        <v>3</v>
      </c>
      <c r="J883">
        <v>4.3</v>
      </c>
      <c r="K883">
        <v>7</v>
      </c>
      <c r="L883">
        <v>4</v>
      </c>
      <c r="M883">
        <v>12</v>
      </c>
      <c r="N883">
        <v>0</v>
      </c>
      <c r="O883" t="s">
        <v>70</v>
      </c>
      <c r="P883">
        <v>36900</v>
      </c>
      <c r="Q883">
        <v>5.2</v>
      </c>
      <c r="R883">
        <v>4</v>
      </c>
      <c r="S883">
        <v>0.2</v>
      </c>
      <c r="T883">
        <v>0</v>
      </c>
      <c r="U883">
        <v>4.5</v>
      </c>
      <c r="V883">
        <v>2.5</v>
      </c>
      <c r="W883">
        <v>4.5999999999999996</v>
      </c>
      <c r="X883" t="s">
        <v>45</v>
      </c>
      <c r="Y883">
        <v>0</v>
      </c>
      <c r="Z883">
        <v>0</v>
      </c>
      <c r="AB883">
        <v>0</v>
      </c>
      <c r="AC883" t="s">
        <v>46</v>
      </c>
      <c r="AE883">
        <v>1</v>
      </c>
      <c r="AF883">
        <v>0</v>
      </c>
      <c r="AG883" t="s">
        <v>75</v>
      </c>
      <c r="AH883" t="s">
        <v>95</v>
      </c>
      <c r="AI883" t="s">
        <v>64</v>
      </c>
      <c r="AJ883" s="1" t="s">
        <v>131</v>
      </c>
      <c r="AK883">
        <v>0.25</v>
      </c>
      <c r="AL883">
        <v>0</v>
      </c>
    </row>
    <row r="884" spans="1:38" x14ac:dyDescent="0.35">
      <c r="A884" t="s">
        <v>1092</v>
      </c>
      <c r="B884" t="s">
        <v>60</v>
      </c>
      <c r="C884" t="s">
        <v>61</v>
      </c>
      <c r="D884">
        <v>2.7</v>
      </c>
      <c r="E884" t="s">
        <v>41</v>
      </c>
      <c r="F884">
        <v>26</v>
      </c>
      <c r="G884" t="s">
        <v>54</v>
      </c>
      <c r="H884" t="s">
        <v>69</v>
      </c>
      <c r="I884">
        <v>3</v>
      </c>
      <c r="J884">
        <v>5</v>
      </c>
      <c r="K884">
        <v>9</v>
      </c>
      <c r="L884">
        <v>2</v>
      </c>
      <c r="M884">
        <v>12</v>
      </c>
      <c r="N884">
        <v>0</v>
      </c>
      <c r="O884" t="s">
        <v>56</v>
      </c>
      <c r="P884">
        <v>79900</v>
      </c>
      <c r="Q884">
        <v>3.8</v>
      </c>
      <c r="R884">
        <v>3.3</v>
      </c>
      <c r="S884">
        <v>2.4</v>
      </c>
      <c r="T884">
        <v>0</v>
      </c>
      <c r="U884">
        <v>3</v>
      </c>
      <c r="V884">
        <v>3.4</v>
      </c>
      <c r="W884">
        <v>1.9</v>
      </c>
      <c r="X884" t="s">
        <v>45</v>
      </c>
      <c r="Y884">
        <v>0</v>
      </c>
      <c r="Z884">
        <v>3</v>
      </c>
      <c r="AA884">
        <v>0.7</v>
      </c>
      <c r="AB884">
        <v>0</v>
      </c>
      <c r="AC884" t="s">
        <v>46</v>
      </c>
      <c r="AE884">
        <v>0</v>
      </c>
      <c r="AF884">
        <v>0</v>
      </c>
      <c r="AG884" t="s">
        <v>47</v>
      </c>
      <c r="AH884" t="s">
        <v>48</v>
      </c>
      <c r="AI884" t="s">
        <v>64</v>
      </c>
      <c r="AJ884" s="1" t="s">
        <v>170</v>
      </c>
      <c r="AK884">
        <v>0.25</v>
      </c>
      <c r="AL884">
        <v>0</v>
      </c>
    </row>
    <row r="885" spans="1:38" x14ac:dyDescent="0.35">
      <c r="A885" t="s">
        <v>1093</v>
      </c>
      <c r="B885" t="s">
        <v>52</v>
      </c>
      <c r="C885" t="s">
        <v>53</v>
      </c>
      <c r="D885">
        <v>6.3</v>
      </c>
      <c r="E885" t="s">
        <v>62</v>
      </c>
      <c r="F885">
        <v>33</v>
      </c>
      <c r="G885" t="s">
        <v>68</v>
      </c>
      <c r="H885" t="s">
        <v>63</v>
      </c>
      <c r="I885">
        <v>2</v>
      </c>
      <c r="J885">
        <v>4.8</v>
      </c>
      <c r="K885">
        <v>5</v>
      </c>
      <c r="L885">
        <v>1</v>
      </c>
      <c r="M885">
        <v>12</v>
      </c>
      <c r="N885">
        <v>0</v>
      </c>
      <c r="O885" t="s">
        <v>293</v>
      </c>
      <c r="P885">
        <v>114800</v>
      </c>
      <c r="Q885">
        <v>13.4</v>
      </c>
      <c r="R885">
        <v>4.0999999999999996</v>
      </c>
      <c r="S885">
        <v>2.7</v>
      </c>
      <c r="T885">
        <v>0</v>
      </c>
      <c r="U885">
        <v>3.7</v>
      </c>
      <c r="V885">
        <v>2.2000000000000002</v>
      </c>
      <c r="W885">
        <v>4.4000000000000004</v>
      </c>
      <c r="X885" t="s">
        <v>45</v>
      </c>
      <c r="Y885">
        <v>0</v>
      </c>
      <c r="Z885">
        <v>0</v>
      </c>
      <c r="AB885">
        <v>0</v>
      </c>
      <c r="AC885" t="s">
        <v>46</v>
      </c>
      <c r="AE885">
        <v>1</v>
      </c>
      <c r="AF885">
        <v>0</v>
      </c>
      <c r="AG885" t="s">
        <v>75</v>
      </c>
      <c r="AH885" t="s">
        <v>83</v>
      </c>
      <c r="AI885" t="s">
        <v>64</v>
      </c>
      <c r="AJ885" s="1" t="s">
        <v>174</v>
      </c>
      <c r="AK885" s="1" t="s">
        <v>84</v>
      </c>
      <c r="AL885">
        <v>0</v>
      </c>
    </row>
    <row r="886" spans="1:38" x14ac:dyDescent="0.35">
      <c r="A886" t="s">
        <v>1094</v>
      </c>
      <c r="B886" t="s">
        <v>73</v>
      </c>
      <c r="C886" t="s">
        <v>113</v>
      </c>
      <c r="D886">
        <v>8.6</v>
      </c>
      <c r="E886" t="s">
        <v>67</v>
      </c>
      <c r="F886">
        <v>38</v>
      </c>
      <c r="G886" t="s">
        <v>54</v>
      </c>
      <c r="H886" t="s">
        <v>94</v>
      </c>
      <c r="I886">
        <v>3</v>
      </c>
      <c r="J886">
        <v>7.1</v>
      </c>
      <c r="K886">
        <v>13</v>
      </c>
      <c r="L886">
        <v>1</v>
      </c>
      <c r="M886">
        <v>12</v>
      </c>
      <c r="N886">
        <v>0</v>
      </c>
      <c r="O886" t="s">
        <v>70</v>
      </c>
      <c r="P886">
        <v>41600</v>
      </c>
      <c r="Q886">
        <v>8.1999999999999993</v>
      </c>
      <c r="R886">
        <v>1.2</v>
      </c>
      <c r="S886">
        <v>1.5</v>
      </c>
      <c r="T886">
        <v>0</v>
      </c>
      <c r="U886">
        <v>1.2</v>
      </c>
      <c r="V886">
        <v>2.8</v>
      </c>
      <c r="W886">
        <v>3.1</v>
      </c>
      <c r="X886" t="s">
        <v>45</v>
      </c>
      <c r="Y886">
        <v>0</v>
      </c>
      <c r="Z886">
        <v>0</v>
      </c>
      <c r="AB886">
        <v>1</v>
      </c>
      <c r="AC886" t="s">
        <v>46</v>
      </c>
      <c r="AE886">
        <v>1</v>
      </c>
      <c r="AF886">
        <v>0</v>
      </c>
      <c r="AG886" t="s">
        <v>75</v>
      </c>
      <c r="AH886" t="s">
        <v>83</v>
      </c>
      <c r="AI886" t="s">
        <v>64</v>
      </c>
      <c r="AJ886" s="1" t="s">
        <v>263</v>
      </c>
      <c r="AK886">
        <v>0.25</v>
      </c>
      <c r="AL886">
        <v>0</v>
      </c>
    </row>
    <row r="887" spans="1:38" x14ac:dyDescent="0.35">
      <c r="A887" t="s">
        <v>1095</v>
      </c>
      <c r="B887" t="s">
        <v>98</v>
      </c>
      <c r="C887" t="s">
        <v>148</v>
      </c>
      <c r="D887">
        <v>7.2</v>
      </c>
      <c r="E887" t="s">
        <v>110</v>
      </c>
      <c r="F887">
        <v>33</v>
      </c>
      <c r="G887" t="s">
        <v>42</v>
      </c>
      <c r="H887" t="s">
        <v>69</v>
      </c>
      <c r="I887">
        <v>5</v>
      </c>
      <c r="J887">
        <v>11.3</v>
      </c>
      <c r="K887">
        <v>7</v>
      </c>
      <c r="L887">
        <v>4</v>
      </c>
      <c r="M887">
        <v>12</v>
      </c>
      <c r="N887">
        <v>0</v>
      </c>
      <c r="O887" t="s">
        <v>44</v>
      </c>
      <c r="P887">
        <v>53300</v>
      </c>
      <c r="Q887">
        <v>17</v>
      </c>
      <c r="R887">
        <v>3.7</v>
      </c>
      <c r="S887">
        <v>1.8</v>
      </c>
      <c r="T887">
        <v>0</v>
      </c>
      <c r="U887">
        <v>1.9</v>
      </c>
      <c r="V887">
        <v>2.1</v>
      </c>
      <c r="W887">
        <v>3.3</v>
      </c>
      <c r="X887" t="s">
        <v>45</v>
      </c>
      <c r="Y887">
        <v>0</v>
      </c>
      <c r="Z887">
        <v>0</v>
      </c>
      <c r="AB887">
        <v>0</v>
      </c>
      <c r="AC887" t="s">
        <v>46</v>
      </c>
      <c r="AE887">
        <v>1</v>
      </c>
      <c r="AF887">
        <v>0</v>
      </c>
      <c r="AG887" t="s">
        <v>75</v>
      </c>
      <c r="AH887" t="s">
        <v>83</v>
      </c>
      <c r="AI887" t="s">
        <v>49</v>
      </c>
      <c r="AJ887" s="1" t="s">
        <v>359</v>
      </c>
      <c r="AK887" s="1" t="s">
        <v>127</v>
      </c>
      <c r="AL887">
        <v>0</v>
      </c>
    </row>
    <row r="888" spans="1:38" x14ac:dyDescent="0.35">
      <c r="A888" t="s">
        <v>1096</v>
      </c>
      <c r="B888" t="s">
        <v>98</v>
      </c>
      <c r="C888" t="s">
        <v>151</v>
      </c>
      <c r="D888">
        <v>7.5</v>
      </c>
      <c r="E888" t="s">
        <v>41</v>
      </c>
      <c r="F888">
        <v>32</v>
      </c>
      <c r="G888" t="s">
        <v>42</v>
      </c>
      <c r="H888" t="s">
        <v>69</v>
      </c>
      <c r="I888">
        <v>3</v>
      </c>
      <c r="J888">
        <v>10.3</v>
      </c>
      <c r="K888">
        <v>4</v>
      </c>
      <c r="L888">
        <v>1</v>
      </c>
      <c r="M888">
        <v>12</v>
      </c>
      <c r="N888">
        <v>0</v>
      </c>
      <c r="O888" t="s">
        <v>44</v>
      </c>
      <c r="P888">
        <v>71900</v>
      </c>
      <c r="Q888">
        <v>9.5</v>
      </c>
      <c r="R888">
        <v>2.8</v>
      </c>
      <c r="S888">
        <v>1.5</v>
      </c>
      <c r="T888">
        <v>0</v>
      </c>
      <c r="U888">
        <v>5</v>
      </c>
      <c r="V888">
        <v>3.3</v>
      </c>
      <c r="W888">
        <v>3.1</v>
      </c>
      <c r="X888" t="s">
        <v>45</v>
      </c>
      <c r="Y888">
        <v>1</v>
      </c>
      <c r="Z888">
        <v>1</v>
      </c>
      <c r="AA888">
        <v>2.2000000000000002</v>
      </c>
      <c r="AB888">
        <v>0</v>
      </c>
      <c r="AC888" t="s">
        <v>46</v>
      </c>
      <c r="AE888">
        <v>0</v>
      </c>
      <c r="AF888">
        <v>0</v>
      </c>
      <c r="AG888" t="s">
        <v>47</v>
      </c>
      <c r="AH888" t="s">
        <v>83</v>
      </c>
      <c r="AI888" t="s">
        <v>49</v>
      </c>
      <c r="AJ888" s="1" t="s">
        <v>347</v>
      </c>
      <c r="AK888">
        <v>0.25</v>
      </c>
      <c r="AL888">
        <v>0</v>
      </c>
    </row>
    <row r="889" spans="1:38" x14ac:dyDescent="0.35">
      <c r="A889" t="s">
        <v>1097</v>
      </c>
      <c r="B889" t="s">
        <v>73</v>
      </c>
      <c r="C889" t="s">
        <v>177</v>
      </c>
      <c r="D889">
        <v>1.6</v>
      </c>
      <c r="E889" t="s">
        <v>67</v>
      </c>
      <c r="F889">
        <v>27</v>
      </c>
      <c r="G889" t="s">
        <v>68</v>
      </c>
      <c r="H889" t="s">
        <v>69</v>
      </c>
      <c r="I889">
        <v>6</v>
      </c>
      <c r="J889">
        <v>17.600000000000001</v>
      </c>
      <c r="K889">
        <v>4</v>
      </c>
      <c r="L889">
        <v>0</v>
      </c>
      <c r="M889">
        <v>12</v>
      </c>
      <c r="N889">
        <v>0</v>
      </c>
      <c r="O889" t="s">
        <v>82</v>
      </c>
      <c r="P889">
        <v>30100</v>
      </c>
      <c r="Q889">
        <v>10.4</v>
      </c>
      <c r="R889">
        <v>2.9</v>
      </c>
      <c r="S889">
        <v>2.2999999999999998</v>
      </c>
      <c r="T889">
        <v>0</v>
      </c>
      <c r="U889">
        <v>3.3</v>
      </c>
      <c r="V889">
        <v>2.5</v>
      </c>
      <c r="W889">
        <v>3.6</v>
      </c>
      <c r="X889" t="s">
        <v>45</v>
      </c>
      <c r="Y889">
        <v>0</v>
      </c>
      <c r="Z889">
        <v>1</v>
      </c>
      <c r="AA889">
        <v>0.5</v>
      </c>
      <c r="AB889">
        <v>3</v>
      </c>
      <c r="AC889" t="s">
        <v>46</v>
      </c>
      <c r="AE889">
        <v>0</v>
      </c>
      <c r="AF889">
        <v>0</v>
      </c>
      <c r="AG889" t="s">
        <v>47</v>
      </c>
      <c r="AH889" t="s">
        <v>48</v>
      </c>
      <c r="AI889" t="s">
        <v>49</v>
      </c>
      <c r="AJ889" s="1" t="s">
        <v>50</v>
      </c>
      <c r="AK889">
        <v>0.5</v>
      </c>
      <c r="AL889">
        <v>0</v>
      </c>
    </row>
    <row r="890" spans="1:38" x14ac:dyDescent="0.35">
      <c r="A890" t="s">
        <v>1098</v>
      </c>
      <c r="B890" t="s">
        <v>73</v>
      </c>
      <c r="C890" t="s">
        <v>177</v>
      </c>
      <c r="D890">
        <v>4.5</v>
      </c>
      <c r="E890" t="s">
        <v>41</v>
      </c>
      <c r="F890">
        <v>34</v>
      </c>
      <c r="G890" t="s">
        <v>42</v>
      </c>
      <c r="H890" t="s">
        <v>43</v>
      </c>
      <c r="I890">
        <v>2</v>
      </c>
      <c r="J890">
        <v>11.8</v>
      </c>
      <c r="K890">
        <v>9</v>
      </c>
      <c r="L890">
        <v>2</v>
      </c>
      <c r="M890">
        <v>12</v>
      </c>
      <c r="N890">
        <v>0</v>
      </c>
      <c r="O890" t="s">
        <v>44</v>
      </c>
      <c r="P890">
        <v>73500</v>
      </c>
      <c r="Q890">
        <v>3.8</v>
      </c>
      <c r="R890">
        <v>4.4000000000000004</v>
      </c>
      <c r="S890">
        <v>1.1000000000000001</v>
      </c>
      <c r="T890">
        <v>0</v>
      </c>
      <c r="U890">
        <v>2.4</v>
      </c>
      <c r="V890">
        <v>3.8</v>
      </c>
      <c r="W890">
        <v>2.8</v>
      </c>
      <c r="X890" t="s">
        <v>45</v>
      </c>
      <c r="Y890">
        <v>0</v>
      </c>
      <c r="Z890">
        <v>1</v>
      </c>
      <c r="AA890">
        <v>0.8</v>
      </c>
      <c r="AB890">
        <v>0</v>
      </c>
      <c r="AC890" t="s">
        <v>46</v>
      </c>
      <c r="AE890">
        <v>0</v>
      </c>
      <c r="AF890">
        <v>0</v>
      </c>
      <c r="AG890" t="s">
        <v>47</v>
      </c>
      <c r="AH890" t="s">
        <v>76</v>
      </c>
      <c r="AI890" t="s">
        <v>49</v>
      </c>
      <c r="AJ890">
        <v>3</v>
      </c>
      <c r="AK890" s="1" t="s">
        <v>84</v>
      </c>
      <c r="AL890">
        <v>0</v>
      </c>
    </row>
    <row r="891" spans="1:38" x14ac:dyDescent="0.35">
      <c r="A891" t="s">
        <v>1099</v>
      </c>
      <c r="B891" t="s">
        <v>39</v>
      </c>
      <c r="C891" t="s">
        <v>88</v>
      </c>
      <c r="D891">
        <v>5.5</v>
      </c>
      <c r="E891" t="s">
        <v>67</v>
      </c>
      <c r="F891">
        <v>36</v>
      </c>
      <c r="G891" t="s">
        <v>42</v>
      </c>
      <c r="H891" t="s">
        <v>55</v>
      </c>
      <c r="I891">
        <v>3</v>
      </c>
      <c r="J891">
        <v>16.399999999999999</v>
      </c>
      <c r="K891">
        <v>12</v>
      </c>
      <c r="L891">
        <v>2</v>
      </c>
      <c r="M891">
        <v>12</v>
      </c>
      <c r="N891">
        <v>0</v>
      </c>
      <c r="O891" t="s">
        <v>70</v>
      </c>
      <c r="P891">
        <v>40400</v>
      </c>
      <c r="Q891">
        <v>7.1</v>
      </c>
      <c r="R891">
        <v>2.8</v>
      </c>
      <c r="S891">
        <v>0.1</v>
      </c>
      <c r="T891">
        <v>0</v>
      </c>
      <c r="U891">
        <v>3.5</v>
      </c>
      <c r="V891">
        <v>3.3</v>
      </c>
      <c r="W891">
        <v>4.2</v>
      </c>
      <c r="X891" t="s">
        <v>89</v>
      </c>
      <c r="Y891">
        <v>1</v>
      </c>
      <c r="Z891">
        <v>0</v>
      </c>
      <c r="AB891">
        <v>0</v>
      </c>
      <c r="AC891" t="s">
        <v>46</v>
      </c>
      <c r="AE891">
        <v>1</v>
      </c>
      <c r="AF891">
        <v>0</v>
      </c>
      <c r="AG891" t="s">
        <v>75</v>
      </c>
      <c r="AH891" t="s">
        <v>83</v>
      </c>
      <c r="AI891" t="s">
        <v>49</v>
      </c>
      <c r="AJ891" s="1" t="s">
        <v>266</v>
      </c>
      <c r="AK891">
        <v>0.25</v>
      </c>
      <c r="AL891">
        <v>0</v>
      </c>
    </row>
    <row r="892" spans="1:38" x14ac:dyDescent="0.35">
      <c r="A892" t="s">
        <v>1100</v>
      </c>
      <c r="B892" t="s">
        <v>98</v>
      </c>
      <c r="C892" t="s">
        <v>148</v>
      </c>
      <c r="D892">
        <v>5.7</v>
      </c>
      <c r="E892" t="s">
        <v>41</v>
      </c>
      <c r="F892">
        <v>29</v>
      </c>
      <c r="G892" t="s">
        <v>68</v>
      </c>
      <c r="H892" t="s">
        <v>69</v>
      </c>
      <c r="I892">
        <v>5</v>
      </c>
      <c r="J892">
        <v>18.399999999999999</v>
      </c>
      <c r="K892">
        <v>12</v>
      </c>
      <c r="L892">
        <v>2</v>
      </c>
      <c r="M892">
        <v>12</v>
      </c>
      <c r="N892">
        <v>0</v>
      </c>
      <c r="O892" t="s">
        <v>44</v>
      </c>
      <c r="P892">
        <v>66600</v>
      </c>
      <c r="Q892">
        <v>8.3000000000000007</v>
      </c>
      <c r="R892">
        <v>3.6</v>
      </c>
      <c r="S892">
        <v>0.5</v>
      </c>
      <c r="T892">
        <v>0</v>
      </c>
      <c r="U892">
        <v>2.4</v>
      </c>
      <c r="V892">
        <v>3</v>
      </c>
      <c r="W892">
        <v>4.3</v>
      </c>
      <c r="X892" t="s">
        <v>45</v>
      </c>
      <c r="Y892">
        <v>0</v>
      </c>
      <c r="Z892">
        <v>0</v>
      </c>
      <c r="AB892">
        <v>0</v>
      </c>
      <c r="AC892" t="s">
        <v>46</v>
      </c>
      <c r="AE892">
        <v>1</v>
      </c>
      <c r="AF892">
        <v>0</v>
      </c>
      <c r="AG892" t="s">
        <v>75</v>
      </c>
      <c r="AH892" t="s">
        <v>83</v>
      </c>
      <c r="AI892" t="s">
        <v>49</v>
      </c>
      <c r="AJ892" s="1" t="s">
        <v>198</v>
      </c>
      <c r="AK892" s="1" t="s">
        <v>127</v>
      </c>
      <c r="AL892">
        <v>0</v>
      </c>
    </row>
    <row r="893" spans="1:38" x14ac:dyDescent="0.35">
      <c r="A893" t="s">
        <v>1101</v>
      </c>
      <c r="B893" t="s">
        <v>60</v>
      </c>
      <c r="C893" t="s">
        <v>61</v>
      </c>
      <c r="D893">
        <v>3.6</v>
      </c>
      <c r="E893" t="s">
        <v>81</v>
      </c>
      <c r="F893">
        <v>27</v>
      </c>
      <c r="G893" t="s">
        <v>42</v>
      </c>
      <c r="H893" t="s">
        <v>69</v>
      </c>
      <c r="I893">
        <v>2</v>
      </c>
      <c r="J893">
        <v>6.7</v>
      </c>
      <c r="K893">
        <v>10</v>
      </c>
      <c r="L893">
        <v>1</v>
      </c>
      <c r="M893">
        <v>12</v>
      </c>
      <c r="N893">
        <v>0</v>
      </c>
      <c r="O893" t="s">
        <v>82</v>
      </c>
      <c r="P893">
        <v>22400</v>
      </c>
      <c r="Q893">
        <v>5.5</v>
      </c>
      <c r="R893">
        <v>2.2999999999999998</v>
      </c>
      <c r="S893">
        <v>0.6</v>
      </c>
      <c r="T893">
        <v>0</v>
      </c>
      <c r="U893">
        <v>3</v>
      </c>
      <c r="V893">
        <v>4.8</v>
      </c>
      <c r="W893">
        <v>3.4</v>
      </c>
      <c r="X893" t="s">
        <v>89</v>
      </c>
      <c r="Y893">
        <v>1</v>
      </c>
      <c r="Z893">
        <v>2</v>
      </c>
      <c r="AA893">
        <v>2.2999999999999998</v>
      </c>
      <c r="AB893">
        <v>1</v>
      </c>
      <c r="AC893" t="s">
        <v>46</v>
      </c>
      <c r="AE893">
        <v>0</v>
      </c>
      <c r="AF893">
        <v>0</v>
      </c>
      <c r="AG893" t="s">
        <v>47</v>
      </c>
      <c r="AH893" t="s">
        <v>76</v>
      </c>
      <c r="AI893" t="s">
        <v>64</v>
      </c>
      <c r="AJ893" s="1" t="s">
        <v>114</v>
      </c>
      <c r="AK893" s="1" t="s">
        <v>84</v>
      </c>
      <c r="AL893">
        <v>0</v>
      </c>
    </row>
    <row r="894" spans="1:38" x14ac:dyDescent="0.35">
      <c r="A894" t="s">
        <v>1102</v>
      </c>
      <c r="B894" t="s">
        <v>98</v>
      </c>
      <c r="C894" t="s">
        <v>99</v>
      </c>
      <c r="D894">
        <v>4.2</v>
      </c>
      <c r="E894" t="s">
        <v>67</v>
      </c>
      <c r="F894">
        <v>32</v>
      </c>
      <c r="G894" t="s">
        <v>42</v>
      </c>
      <c r="H894" t="s">
        <v>43</v>
      </c>
      <c r="I894">
        <v>1</v>
      </c>
      <c r="J894">
        <v>9</v>
      </c>
      <c r="K894">
        <v>12</v>
      </c>
      <c r="L894">
        <v>2</v>
      </c>
      <c r="M894">
        <v>12</v>
      </c>
      <c r="N894">
        <v>0</v>
      </c>
      <c r="O894" t="s">
        <v>70</v>
      </c>
      <c r="P894">
        <v>40200</v>
      </c>
      <c r="Q894">
        <v>6.1</v>
      </c>
      <c r="R894">
        <v>3.2</v>
      </c>
      <c r="S894">
        <v>1</v>
      </c>
      <c r="T894">
        <v>0</v>
      </c>
      <c r="U894">
        <v>2</v>
      </c>
      <c r="V894">
        <v>3.5</v>
      </c>
      <c r="W894">
        <v>3.9</v>
      </c>
      <c r="X894" t="s">
        <v>45</v>
      </c>
      <c r="Y894">
        <v>0</v>
      </c>
      <c r="Z894">
        <v>0</v>
      </c>
      <c r="AB894">
        <v>0</v>
      </c>
      <c r="AC894" t="s">
        <v>46</v>
      </c>
      <c r="AE894">
        <v>1</v>
      </c>
      <c r="AF894">
        <v>0</v>
      </c>
      <c r="AG894" t="s">
        <v>75</v>
      </c>
      <c r="AH894" t="s">
        <v>76</v>
      </c>
      <c r="AI894" t="s">
        <v>64</v>
      </c>
      <c r="AJ894" s="1" t="s">
        <v>50</v>
      </c>
      <c r="AK894">
        <v>8.3333333333333301E-2</v>
      </c>
      <c r="AL894">
        <v>0</v>
      </c>
    </row>
    <row r="895" spans="1:38" x14ac:dyDescent="0.35">
      <c r="A895" t="s">
        <v>1103</v>
      </c>
      <c r="B895" t="s">
        <v>73</v>
      </c>
      <c r="C895" t="s">
        <v>74</v>
      </c>
      <c r="D895">
        <v>7.1</v>
      </c>
      <c r="E895" t="s">
        <v>110</v>
      </c>
      <c r="F895">
        <v>39</v>
      </c>
      <c r="G895" t="s">
        <v>68</v>
      </c>
      <c r="H895" t="s">
        <v>94</v>
      </c>
      <c r="I895">
        <v>2</v>
      </c>
      <c r="J895">
        <v>45</v>
      </c>
      <c r="K895">
        <v>8</v>
      </c>
      <c r="L895">
        <v>4</v>
      </c>
      <c r="M895">
        <v>12</v>
      </c>
      <c r="N895">
        <v>0</v>
      </c>
      <c r="O895" t="s">
        <v>44</v>
      </c>
      <c r="P895">
        <v>58200</v>
      </c>
      <c r="Q895">
        <v>9.6999999999999993</v>
      </c>
      <c r="R895">
        <v>1.8</v>
      </c>
      <c r="S895">
        <v>1.1000000000000001</v>
      </c>
      <c r="T895">
        <v>0</v>
      </c>
      <c r="U895">
        <v>2.6</v>
      </c>
      <c r="V895">
        <v>2.9</v>
      </c>
      <c r="W895">
        <v>3.1</v>
      </c>
      <c r="X895" t="s">
        <v>45</v>
      </c>
      <c r="Y895">
        <v>0</v>
      </c>
      <c r="Z895">
        <v>1</v>
      </c>
      <c r="AA895">
        <v>1.8</v>
      </c>
      <c r="AB895">
        <v>0</v>
      </c>
      <c r="AC895" t="s">
        <v>124</v>
      </c>
      <c r="AD895" s="2">
        <v>45649</v>
      </c>
      <c r="AE895">
        <v>0</v>
      </c>
      <c r="AF895">
        <v>0</v>
      </c>
      <c r="AG895" t="s">
        <v>47</v>
      </c>
      <c r="AH895" t="s">
        <v>83</v>
      </c>
      <c r="AI895" t="s">
        <v>57</v>
      </c>
      <c r="AJ895" s="1" t="s">
        <v>182</v>
      </c>
      <c r="AK895" s="1" t="s">
        <v>84</v>
      </c>
      <c r="AL895">
        <v>1</v>
      </c>
    </row>
    <row r="896" spans="1:38" x14ac:dyDescent="0.35">
      <c r="A896" t="s">
        <v>1104</v>
      </c>
      <c r="B896" t="s">
        <v>39</v>
      </c>
      <c r="C896" t="s">
        <v>88</v>
      </c>
      <c r="D896">
        <v>5.3</v>
      </c>
      <c r="E896" t="s">
        <v>110</v>
      </c>
      <c r="F896">
        <v>36</v>
      </c>
      <c r="G896" t="s">
        <v>42</v>
      </c>
      <c r="H896" t="s">
        <v>69</v>
      </c>
      <c r="I896">
        <v>5</v>
      </c>
      <c r="J896">
        <v>6.2</v>
      </c>
      <c r="K896">
        <v>10</v>
      </c>
      <c r="L896">
        <v>1</v>
      </c>
      <c r="M896">
        <v>12</v>
      </c>
      <c r="N896">
        <v>0</v>
      </c>
      <c r="O896" t="s">
        <v>44</v>
      </c>
      <c r="P896">
        <v>57200</v>
      </c>
      <c r="Q896">
        <v>9.8000000000000007</v>
      </c>
      <c r="R896">
        <v>3.1</v>
      </c>
      <c r="S896">
        <v>4.2</v>
      </c>
      <c r="T896">
        <v>0</v>
      </c>
      <c r="U896">
        <v>2.9</v>
      </c>
      <c r="V896">
        <v>2.7</v>
      </c>
      <c r="W896">
        <v>3.4</v>
      </c>
      <c r="X896" t="s">
        <v>45</v>
      </c>
      <c r="Y896">
        <v>0</v>
      </c>
      <c r="Z896">
        <v>0</v>
      </c>
      <c r="AB896">
        <v>1</v>
      </c>
      <c r="AC896" t="s">
        <v>46</v>
      </c>
      <c r="AE896">
        <v>1</v>
      </c>
      <c r="AF896">
        <v>0</v>
      </c>
      <c r="AG896" t="s">
        <v>75</v>
      </c>
      <c r="AH896" t="s">
        <v>83</v>
      </c>
      <c r="AI896" t="s">
        <v>64</v>
      </c>
      <c r="AJ896">
        <v>3</v>
      </c>
      <c r="AK896" s="1" t="s">
        <v>127</v>
      </c>
      <c r="AL896">
        <v>0</v>
      </c>
    </row>
    <row r="897" spans="1:38" x14ac:dyDescent="0.35">
      <c r="A897" t="s">
        <v>1105</v>
      </c>
      <c r="B897" t="s">
        <v>60</v>
      </c>
      <c r="C897" t="s">
        <v>61</v>
      </c>
      <c r="D897">
        <v>6</v>
      </c>
      <c r="E897" t="s">
        <v>41</v>
      </c>
      <c r="F897">
        <v>27</v>
      </c>
      <c r="G897" t="s">
        <v>42</v>
      </c>
      <c r="H897" t="s">
        <v>43</v>
      </c>
      <c r="I897">
        <v>1</v>
      </c>
      <c r="J897">
        <v>17.100000000000001</v>
      </c>
      <c r="K897">
        <v>10</v>
      </c>
      <c r="L897">
        <v>0</v>
      </c>
      <c r="M897">
        <v>12</v>
      </c>
      <c r="N897">
        <v>0</v>
      </c>
      <c r="O897" t="s">
        <v>44</v>
      </c>
      <c r="P897">
        <v>65400</v>
      </c>
      <c r="Q897">
        <v>2.7</v>
      </c>
      <c r="R897">
        <v>3.5</v>
      </c>
      <c r="S897">
        <v>1.3</v>
      </c>
      <c r="T897">
        <v>0</v>
      </c>
      <c r="U897">
        <v>4.3</v>
      </c>
      <c r="V897">
        <v>2.1</v>
      </c>
      <c r="W897">
        <v>4.5999999999999996</v>
      </c>
      <c r="X897" t="s">
        <v>45</v>
      </c>
      <c r="Y897">
        <v>0</v>
      </c>
      <c r="Z897">
        <v>4</v>
      </c>
      <c r="AA897">
        <v>5.4</v>
      </c>
      <c r="AB897">
        <v>2</v>
      </c>
      <c r="AC897" t="s">
        <v>46</v>
      </c>
      <c r="AE897">
        <v>0</v>
      </c>
      <c r="AF897">
        <v>0</v>
      </c>
      <c r="AG897" t="s">
        <v>47</v>
      </c>
      <c r="AH897" t="s">
        <v>83</v>
      </c>
      <c r="AI897" t="s">
        <v>49</v>
      </c>
      <c r="AJ897" s="1" t="s">
        <v>266</v>
      </c>
      <c r="AK897">
        <v>8.3333333333333301E-2</v>
      </c>
      <c r="AL897">
        <v>0</v>
      </c>
    </row>
    <row r="898" spans="1:38" x14ac:dyDescent="0.35">
      <c r="A898" t="s">
        <v>1106</v>
      </c>
      <c r="B898" t="s">
        <v>98</v>
      </c>
      <c r="C898" t="s">
        <v>99</v>
      </c>
      <c r="D898">
        <v>2.6</v>
      </c>
      <c r="E898" t="s">
        <v>62</v>
      </c>
      <c r="F898">
        <v>28</v>
      </c>
      <c r="G898" t="s">
        <v>42</v>
      </c>
      <c r="H898" t="s">
        <v>55</v>
      </c>
      <c r="I898">
        <v>3</v>
      </c>
      <c r="J898">
        <v>2.9</v>
      </c>
      <c r="K898">
        <v>10</v>
      </c>
      <c r="L898">
        <v>0</v>
      </c>
      <c r="M898">
        <v>12</v>
      </c>
      <c r="N898">
        <v>0</v>
      </c>
      <c r="O898" t="s">
        <v>56</v>
      </c>
      <c r="P898">
        <v>100400</v>
      </c>
      <c r="Q898">
        <v>9.1</v>
      </c>
      <c r="R898">
        <v>4.2</v>
      </c>
      <c r="S898">
        <v>1.8</v>
      </c>
      <c r="T898">
        <v>0</v>
      </c>
      <c r="U898">
        <v>3.7</v>
      </c>
      <c r="V898">
        <v>3.1</v>
      </c>
      <c r="W898">
        <v>2.9</v>
      </c>
      <c r="X898" t="s">
        <v>89</v>
      </c>
      <c r="Y898">
        <v>0</v>
      </c>
      <c r="Z898">
        <v>0</v>
      </c>
      <c r="AB898">
        <v>1</v>
      </c>
      <c r="AC898" t="s">
        <v>46</v>
      </c>
      <c r="AE898">
        <v>1</v>
      </c>
      <c r="AF898">
        <v>0</v>
      </c>
      <c r="AG898" t="s">
        <v>75</v>
      </c>
      <c r="AH898" t="s">
        <v>48</v>
      </c>
      <c r="AI898" t="s">
        <v>64</v>
      </c>
      <c r="AJ898" s="1" t="s">
        <v>227</v>
      </c>
      <c r="AK898">
        <v>0.25</v>
      </c>
      <c r="AL898">
        <v>0</v>
      </c>
    </row>
    <row r="899" spans="1:38" x14ac:dyDescent="0.35">
      <c r="A899" t="s">
        <v>1107</v>
      </c>
      <c r="B899" t="s">
        <v>73</v>
      </c>
      <c r="C899" t="s">
        <v>121</v>
      </c>
      <c r="D899">
        <v>5.8</v>
      </c>
      <c r="E899" t="s">
        <v>81</v>
      </c>
      <c r="F899">
        <v>28</v>
      </c>
      <c r="G899" t="s">
        <v>234</v>
      </c>
      <c r="H899" t="s">
        <v>55</v>
      </c>
      <c r="I899">
        <v>2</v>
      </c>
      <c r="J899">
        <v>18.7</v>
      </c>
      <c r="K899">
        <v>6</v>
      </c>
      <c r="L899">
        <v>1</v>
      </c>
      <c r="M899">
        <v>12</v>
      </c>
      <c r="N899">
        <v>0</v>
      </c>
      <c r="O899" t="s">
        <v>82</v>
      </c>
      <c r="P899">
        <v>29000</v>
      </c>
      <c r="Q899">
        <v>10.199999999999999</v>
      </c>
      <c r="R899">
        <v>2.5</v>
      </c>
      <c r="S899">
        <v>1.2</v>
      </c>
      <c r="T899">
        <v>0</v>
      </c>
      <c r="U899">
        <v>3.9</v>
      </c>
      <c r="V899">
        <v>3.5</v>
      </c>
      <c r="W899">
        <v>4.0999999999999996</v>
      </c>
      <c r="X899" t="s">
        <v>45</v>
      </c>
      <c r="Y899">
        <v>0</v>
      </c>
      <c r="Z899">
        <v>0</v>
      </c>
      <c r="AB899">
        <v>0</v>
      </c>
      <c r="AC899" t="s">
        <v>46</v>
      </c>
      <c r="AE899">
        <v>1</v>
      </c>
      <c r="AF899">
        <v>0</v>
      </c>
      <c r="AG899" t="s">
        <v>75</v>
      </c>
      <c r="AH899" t="s">
        <v>83</v>
      </c>
      <c r="AI899" t="s">
        <v>49</v>
      </c>
      <c r="AJ899" s="1" t="s">
        <v>180</v>
      </c>
      <c r="AK899" s="1" t="s">
        <v>84</v>
      </c>
      <c r="AL899">
        <v>0</v>
      </c>
    </row>
    <row r="900" spans="1:38" x14ac:dyDescent="0.35">
      <c r="A900" t="s">
        <v>1108</v>
      </c>
      <c r="B900" t="s">
        <v>73</v>
      </c>
      <c r="C900" t="s">
        <v>74</v>
      </c>
      <c r="D900">
        <v>4.0999999999999996</v>
      </c>
      <c r="E900" t="s">
        <v>67</v>
      </c>
      <c r="F900">
        <v>29</v>
      </c>
      <c r="G900" t="s">
        <v>42</v>
      </c>
      <c r="H900" t="s">
        <v>55</v>
      </c>
      <c r="I900">
        <v>3</v>
      </c>
      <c r="J900">
        <v>5.3</v>
      </c>
      <c r="K900">
        <v>8</v>
      </c>
      <c r="L900">
        <v>2</v>
      </c>
      <c r="M900">
        <v>12</v>
      </c>
      <c r="N900">
        <v>0</v>
      </c>
      <c r="O900" t="s">
        <v>70</v>
      </c>
      <c r="P900">
        <v>43300</v>
      </c>
      <c r="Q900">
        <v>5.6</v>
      </c>
      <c r="R900">
        <v>2.7</v>
      </c>
      <c r="S900">
        <v>1.5</v>
      </c>
      <c r="T900">
        <v>0</v>
      </c>
      <c r="U900">
        <v>3.3</v>
      </c>
      <c r="V900">
        <v>1.5</v>
      </c>
      <c r="W900">
        <v>3.8</v>
      </c>
      <c r="X900" t="s">
        <v>45</v>
      </c>
      <c r="Y900">
        <v>0</v>
      </c>
      <c r="Z900">
        <v>0</v>
      </c>
      <c r="AB900">
        <v>0</v>
      </c>
      <c r="AC900" t="s">
        <v>46</v>
      </c>
      <c r="AE900">
        <v>1</v>
      </c>
      <c r="AF900">
        <v>0</v>
      </c>
      <c r="AG900" t="s">
        <v>75</v>
      </c>
      <c r="AH900" t="s">
        <v>76</v>
      </c>
      <c r="AI900" t="s">
        <v>64</v>
      </c>
      <c r="AJ900" s="1" t="s">
        <v>182</v>
      </c>
      <c r="AK900">
        <v>0.25</v>
      </c>
      <c r="AL900">
        <v>0</v>
      </c>
    </row>
    <row r="901" spans="1:38" x14ac:dyDescent="0.35">
      <c r="A901" t="s">
        <v>1109</v>
      </c>
      <c r="B901" t="s">
        <v>117</v>
      </c>
      <c r="C901" t="s">
        <v>197</v>
      </c>
      <c r="D901">
        <v>6.6</v>
      </c>
      <c r="E901" t="s">
        <v>67</v>
      </c>
      <c r="F901">
        <v>39</v>
      </c>
      <c r="G901" t="s">
        <v>54</v>
      </c>
      <c r="H901" t="s">
        <v>43</v>
      </c>
      <c r="I901">
        <v>2</v>
      </c>
      <c r="J901">
        <v>10.6</v>
      </c>
      <c r="K901">
        <v>11</v>
      </c>
      <c r="L901">
        <v>1</v>
      </c>
      <c r="M901">
        <v>12</v>
      </c>
      <c r="N901">
        <v>0</v>
      </c>
      <c r="O901" t="s">
        <v>70</v>
      </c>
      <c r="P901">
        <v>35900</v>
      </c>
      <c r="Q901">
        <v>5.2</v>
      </c>
      <c r="R901">
        <v>2.6</v>
      </c>
      <c r="S901">
        <v>1.8</v>
      </c>
      <c r="T901">
        <v>0</v>
      </c>
      <c r="U901">
        <v>4</v>
      </c>
      <c r="V901">
        <v>2</v>
      </c>
      <c r="W901">
        <v>3.4</v>
      </c>
      <c r="X901" t="s">
        <v>45</v>
      </c>
      <c r="Y901">
        <v>1</v>
      </c>
      <c r="Z901">
        <v>0</v>
      </c>
      <c r="AB901">
        <v>0</v>
      </c>
      <c r="AC901" t="s">
        <v>46</v>
      </c>
      <c r="AE901">
        <v>1</v>
      </c>
      <c r="AF901">
        <v>0</v>
      </c>
      <c r="AG901" t="s">
        <v>75</v>
      </c>
      <c r="AH901" t="s">
        <v>83</v>
      </c>
      <c r="AI901" t="s">
        <v>49</v>
      </c>
      <c r="AJ901" s="1" t="s">
        <v>50</v>
      </c>
      <c r="AK901" s="1" t="s">
        <v>84</v>
      </c>
      <c r="AL901">
        <v>0</v>
      </c>
    </row>
    <row r="902" spans="1:38" x14ac:dyDescent="0.35">
      <c r="A902" t="s">
        <v>1110</v>
      </c>
      <c r="B902" t="s">
        <v>52</v>
      </c>
      <c r="C902" t="s">
        <v>93</v>
      </c>
      <c r="D902">
        <v>2.2000000000000002</v>
      </c>
      <c r="E902" t="s">
        <v>67</v>
      </c>
      <c r="F902">
        <v>23</v>
      </c>
      <c r="G902" t="s">
        <v>42</v>
      </c>
      <c r="H902" t="s">
        <v>55</v>
      </c>
      <c r="I902">
        <v>4</v>
      </c>
      <c r="J902">
        <v>9.8000000000000007</v>
      </c>
      <c r="K902">
        <v>13</v>
      </c>
      <c r="L902">
        <v>0</v>
      </c>
      <c r="M902">
        <v>12</v>
      </c>
      <c r="N902">
        <v>0</v>
      </c>
      <c r="O902" t="s">
        <v>70</v>
      </c>
      <c r="P902">
        <v>43400</v>
      </c>
      <c r="Q902">
        <v>9.8000000000000007</v>
      </c>
      <c r="R902">
        <v>3</v>
      </c>
      <c r="S902">
        <v>3.2</v>
      </c>
      <c r="T902">
        <v>0</v>
      </c>
      <c r="U902">
        <v>2.5</v>
      </c>
      <c r="V902">
        <v>2.7</v>
      </c>
      <c r="W902">
        <v>3.7</v>
      </c>
      <c r="X902" t="s">
        <v>45</v>
      </c>
      <c r="Y902">
        <v>0</v>
      </c>
      <c r="Z902">
        <v>0</v>
      </c>
      <c r="AB902">
        <v>0</v>
      </c>
      <c r="AC902" t="s">
        <v>124</v>
      </c>
      <c r="AD902" s="2">
        <v>46052</v>
      </c>
      <c r="AE902">
        <v>1</v>
      </c>
      <c r="AF902">
        <v>0</v>
      </c>
      <c r="AG902" t="s">
        <v>75</v>
      </c>
      <c r="AH902" t="s">
        <v>48</v>
      </c>
      <c r="AI902" t="s">
        <v>64</v>
      </c>
      <c r="AJ902" s="1" t="s">
        <v>268</v>
      </c>
      <c r="AK902" s="1" t="s">
        <v>115</v>
      </c>
      <c r="AL902">
        <v>1</v>
      </c>
    </row>
    <row r="903" spans="1:38" x14ac:dyDescent="0.35">
      <c r="A903" t="s">
        <v>1111</v>
      </c>
      <c r="B903" t="s">
        <v>98</v>
      </c>
      <c r="C903" t="s">
        <v>151</v>
      </c>
      <c r="D903">
        <v>6.3</v>
      </c>
      <c r="E903" t="s">
        <v>67</v>
      </c>
      <c r="F903">
        <v>26</v>
      </c>
      <c r="G903" t="s">
        <v>42</v>
      </c>
      <c r="H903" t="s">
        <v>55</v>
      </c>
      <c r="I903">
        <v>5</v>
      </c>
      <c r="J903">
        <v>9.9</v>
      </c>
      <c r="K903">
        <v>7</v>
      </c>
      <c r="L903">
        <v>1</v>
      </c>
      <c r="M903">
        <v>12</v>
      </c>
      <c r="N903">
        <v>0</v>
      </c>
      <c r="O903" t="s">
        <v>70</v>
      </c>
      <c r="P903">
        <v>47800</v>
      </c>
      <c r="Q903">
        <v>0</v>
      </c>
      <c r="R903">
        <v>2.2999999999999998</v>
      </c>
      <c r="S903">
        <v>3.1</v>
      </c>
      <c r="T903">
        <v>0</v>
      </c>
      <c r="U903">
        <v>2.6</v>
      </c>
      <c r="V903">
        <v>2.2000000000000002</v>
      </c>
      <c r="W903">
        <v>3.6</v>
      </c>
      <c r="X903" t="s">
        <v>45</v>
      </c>
      <c r="Y903">
        <v>0</v>
      </c>
      <c r="Z903">
        <v>1</v>
      </c>
      <c r="AA903">
        <v>2.4</v>
      </c>
      <c r="AB903">
        <v>1</v>
      </c>
      <c r="AC903" t="s">
        <v>46</v>
      </c>
      <c r="AE903">
        <v>0</v>
      </c>
      <c r="AF903">
        <v>0</v>
      </c>
      <c r="AG903" t="s">
        <v>47</v>
      </c>
      <c r="AH903" t="s">
        <v>83</v>
      </c>
      <c r="AI903" t="s">
        <v>64</v>
      </c>
      <c r="AJ903" s="1" t="s">
        <v>144</v>
      </c>
      <c r="AK903" s="1" t="s">
        <v>127</v>
      </c>
      <c r="AL903">
        <v>0</v>
      </c>
    </row>
    <row r="904" spans="1:38" x14ac:dyDescent="0.35">
      <c r="A904" t="s">
        <v>1112</v>
      </c>
      <c r="B904" t="s">
        <v>73</v>
      </c>
      <c r="C904" t="s">
        <v>74</v>
      </c>
      <c r="D904">
        <v>2.9</v>
      </c>
      <c r="E904" t="s">
        <v>41</v>
      </c>
      <c r="F904">
        <v>26</v>
      </c>
      <c r="G904" t="s">
        <v>234</v>
      </c>
      <c r="H904" t="s">
        <v>55</v>
      </c>
      <c r="I904">
        <v>4</v>
      </c>
      <c r="J904">
        <v>8.6999999999999993</v>
      </c>
      <c r="K904">
        <v>3</v>
      </c>
      <c r="L904">
        <v>1</v>
      </c>
      <c r="M904">
        <v>12</v>
      </c>
      <c r="N904">
        <v>0</v>
      </c>
      <c r="O904" t="s">
        <v>44</v>
      </c>
      <c r="P904">
        <v>71900</v>
      </c>
      <c r="Q904">
        <v>8</v>
      </c>
      <c r="R904">
        <v>1.3</v>
      </c>
      <c r="S904">
        <v>0.2</v>
      </c>
      <c r="T904">
        <v>0</v>
      </c>
      <c r="U904">
        <v>3.7</v>
      </c>
      <c r="V904">
        <v>3.2</v>
      </c>
      <c r="W904">
        <v>2.5</v>
      </c>
      <c r="X904" t="s">
        <v>45</v>
      </c>
      <c r="Y904">
        <v>0</v>
      </c>
      <c r="Z904">
        <v>2</v>
      </c>
      <c r="AA904">
        <v>2.7</v>
      </c>
      <c r="AB904">
        <v>0</v>
      </c>
      <c r="AC904" t="s">
        <v>46</v>
      </c>
      <c r="AE904">
        <v>0</v>
      </c>
      <c r="AF904">
        <v>0</v>
      </c>
      <c r="AG904" t="s">
        <v>47</v>
      </c>
      <c r="AH904" t="s">
        <v>48</v>
      </c>
      <c r="AI904" t="s">
        <v>64</v>
      </c>
      <c r="AJ904" s="1" t="s">
        <v>50</v>
      </c>
      <c r="AK904" s="1" t="s">
        <v>115</v>
      </c>
      <c r="AL904">
        <v>0</v>
      </c>
    </row>
    <row r="905" spans="1:38" x14ac:dyDescent="0.35">
      <c r="A905" t="s">
        <v>1113</v>
      </c>
      <c r="B905" t="s">
        <v>52</v>
      </c>
      <c r="C905" t="s">
        <v>93</v>
      </c>
      <c r="D905">
        <v>6.3</v>
      </c>
      <c r="E905" t="s">
        <v>41</v>
      </c>
      <c r="F905">
        <v>33</v>
      </c>
      <c r="G905" t="s">
        <v>42</v>
      </c>
      <c r="H905" t="s">
        <v>94</v>
      </c>
      <c r="I905">
        <v>9</v>
      </c>
      <c r="J905">
        <v>14.4</v>
      </c>
      <c r="K905">
        <v>10</v>
      </c>
      <c r="L905">
        <v>3</v>
      </c>
      <c r="M905">
        <v>12</v>
      </c>
      <c r="N905">
        <v>0</v>
      </c>
      <c r="O905" t="s">
        <v>56</v>
      </c>
      <c r="P905">
        <v>78100</v>
      </c>
      <c r="Q905">
        <v>14.5</v>
      </c>
      <c r="R905">
        <v>2.2999999999999998</v>
      </c>
      <c r="S905">
        <v>0.6</v>
      </c>
      <c r="T905">
        <v>0</v>
      </c>
      <c r="U905">
        <v>3</v>
      </c>
      <c r="V905">
        <v>3.4</v>
      </c>
      <c r="W905">
        <v>3.4</v>
      </c>
      <c r="X905" t="s">
        <v>89</v>
      </c>
      <c r="Y905">
        <v>1</v>
      </c>
      <c r="Z905">
        <v>0</v>
      </c>
      <c r="AB905">
        <v>0</v>
      </c>
      <c r="AC905" t="s">
        <v>46</v>
      </c>
      <c r="AE905">
        <v>1</v>
      </c>
      <c r="AF905">
        <v>0</v>
      </c>
      <c r="AG905" t="s">
        <v>75</v>
      </c>
      <c r="AH905" t="s">
        <v>83</v>
      </c>
      <c r="AI905" t="s">
        <v>49</v>
      </c>
      <c r="AJ905" s="1" t="s">
        <v>235</v>
      </c>
      <c r="AK905">
        <v>0.75</v>
      </c>
      <c r="AL905">
        <v>0</v>
      </c>
    </row>
    <row r="906" spans="1:38" x14ac:dyDescent="0.35">
      <c r="A906" t="s">
        <v>1114</v>
      </c>
      <c r="B906" t="s">
        <v>60</v>
      </c>
      <c r="C906" t="s">
        <v>61</v>
      </c>
      <c r="D906">
        <v>4.5999999999999996</v>
      </c>
      <c r="E906" t="s">
        <v>81</v>
      </c>
      <c r="F906">
        <v>33</v>
      </c>
      <c r="G906" t="s">
        <v>54</v>
      </c>
      <c r="H906" t="s">
        <v>94</v>
      </c>
      <c r="I906">
        <v>2</v>
      </c>
      <c r="J906">
        <v>22.8</v>
      </c>
      <c r="K906">
        <v>12</v>
      </c>
      <c r="L906">
        <v>4</v>
      </c>
      <c r="M906">
        <v>12</v>
      </c>
      <c r="N906">
        <v>0</v>
      </c>
      <c r="O906" t="s">
        <v>82</v>
      </c>
      <c r="P906">
        <v>31800</v>
      </c>
      <c r="Q906">
        <v>0</v>
      </c>
      <c r="R906">
        <v>3.2</v>
      </c>
      <c r="S906">
        <v>1</v>
      </c>
      <c r="T906">
        <v>0</v>
      </c>
      <c r="U906">
        <v>3.3</v>
      </c>
      <c r="V906">
        <v>3.1</v>
      </c>
      <c r="W906">
        <v>2.6</v>
      </c>
      <c r="X906" t="s">
        <v>45</v>
      </c>
      <c r="Y906">
        <v>0</v>
      </c>
      <c r="Z906">
        <v>1</v>
      </c>
      <c r="AA906">
        <v>0.3</v>
      </c>
      <c r="AB906">
        <v>0</v>
      </c>
      <c r="AC906" t="s">
        <v>46</v>
      </c>
      <c r="AE906">
        <v>0</v>
      </c>
      <c r="AF906">
        <v>0</v>
      </c>
      <c r="AG906" t="s">
        <v>47</v>
      </c>
      <c r="AH906" t="s">
        <v>76</v>
      </c>
      <c r="AI906" t="s">
        <v>57</v>
      </c>
      <c r="AJ906">
        <v>3</v>
      </c>
      <c r="AK906" s="1" t="s">
        <v>84</v>
      </c>
      <c r="AL906">
        <v>0</v>
      </c>
    </row>
    <row r="907" spans="1:38" x14ac:dyDescent="0.35">
      <c r="A907" t="s">
        <v>1115</v>
      </c>
      <c r="B907" t="s">
        <v>39</v>
      </c>
      <c r="C907" t="s">
        <v>40</v>
      </c>
      <c r="D907">
        <v>3.9</v>
      </c>
      <c r="E907" t="s">
        <v>67</v>
      </c>
      <c r="F907">
        <v>32</v>
      </c>
      <c r="G907" t="s">
        <v>42</v>
      </c>
      <c r="H907" t="s">
        <v>43</v>
      </c>
      <c r="I907">
        <v>2</v>
      </c>
      <c r="J907">
        <v>4.0999999999999996</v>
      </c>
      <c r="K907">
        <v>15</v>
      </c>
      <c r="L907">
        <v>4</v>
      </c>
      <c r="M907">
        <v>12</v>
      </c>
      <c r="N907">
        <v>0</v>
      </c>
      <c r="O907" t="s">
        <v>82</v>
      </c>
      <c r="P907">
        <v>34300</v>
      </c>
      <c r="Q907">
        <v>11.3</v>
      </c>
      <c r="R907">
        <v>3.1</v>
      </c>
      <c r="S907">
        <v>2.9</v>
      </c>
      <c r="T907">
        <v>0</v>
      </c>
      <c r="U907">
        <v>3.2</v>
      </c>
      <c r="V907">
        <v>3.7</v>
      </c>
      <c r="W907">
        <v>3.2</v>
      </c>
      <c r="X907" t="s">
        <v>45</v>
      </c>
      <c r="Y907">
        <v>0</v>
      </c>
      <c r="Z907">
        <v>0</v>
      </c>
      <c r="AB907">
        <v>0</v>
      </c>
      <c r="AC907" t="s">
        <v>46</v>
      </c>
      <c r="AE907">
        <v>1</v>
      </c>
      <c r="AF907">
        <v>0</v>
      </c>
      <c r="AG907" t="s">
        <v>75</v>
      </c>
      <c r="AH907" t="s">
        <v>76</v>
      </c>
      <c r="AI907" t="s">
        <v>64</v>
      </c>
      <c r="AJ907" s="1" t="s">
        <v>510</v>
      </c>
      <c r="AK907" s="1" t="s">
        <v>84</v>
      </c>
      <c r="AL907">
        <v>0</v>
      </c>
    </row>
    <row r="908" spans="1:38" x14ac:dyDescent="0.35">
      <c r="A908" t="s">
        <v>1116</v>
      </c>
      <c r="B908" t="s">
        <v>52</v>
      </c>
      <c r="C908" t="s">
        <v>93</v>
      </c>
      <c r="D908">
        <v>3.1</v>
      </c>
      <c r="E908" t="s">
        <v>110</v>
      </c>
      <c r="F908">
        <v>34</v>
      </c>
      <c r="G908" t="s">
        <v>54</v>
      </c>
      <c r="H908" t="s">
        <v>55</v>
      </c>
      <c r="I908">
        <v>7</v>
      </c>
      <c r="J908">
        <v>8.9</v>
      </c>
      <c r="K908">
        <v>7</v>
      </c>
      <c r="L908">
        <v>5</v>
      </c>
      <c r="M908">
        <v>12</v>
      </c>
      <c r="N908">
        <v>0</v>
      </c>
      <c r="O908" t="s">
        <v>70</v>
      </c>
      <c r="P908">
        <v>49800</v>
      </c>
      <c r="Q908">
        <v>10.199999999999999</v>
      </c>
      <c r="R908">
        <v>3.7</v>
      </c>
      <c r="S908">
        <v>1.7</v>
      </c>
      <c r="T908">
        <v>0</v>
      </c>
      <c r="U908">
        <v>4.4000000000000004</v>
      </c>
      <c r="V908">
        <v>2.7</v>
      </c>
      <c r="W908">
        <v>4.5</v>
      </c>
      <c r="X908" t="s">
        <v>45</v>
      </c>
      <c r="Y908">
        <v>0</v>
      </c>
      <c r="Z908">
        <v>1</v>
      </c>
      <c r="AA908">
        <v>0.3</v>
      </c>
      <c r="AB908">
        <v>1</v>
      </c>
      <c r="AC908" t="s">
        <v>46</v>
      </c>
      <c r="AE908">
        <v>0</v>
      </c>
      <c r="AF908">
        <v>0</v>
      </c>
      <c r="AG908" t="s">
        <v>47</v>
      </c>
      <c r="AH908" t="s">
        <v>76</v>
      </c>
      <c r="AI908" t="s">
        <v>64</v>
      </c>
      <c r="AJ908" s="1" t="s">
        <v>475</v>
      </c>
      <c r="AK908" s="1" t="s">
        <v>105</v>
      </c>
      <c r="AL908">
        <v>0</v>
      </c>
    </row>
    <row r="909" spans="1:38" x14ac:dyDescent="0.35">
      <c r="A909" t="s">
        <v>1117</v>
      </c>
      <c r="B909" t="s">
        <v>73</v>
      </c>
      <c r="C909" t="s">
        <v>74</v>
      </c>
      <c r="D909">
        <v>3.6</v>
      </c>
      <c r="E909" t="s">
        <v>67</v>
      </c>
      <c r="F909">
        <v>23</v>
      </c>
      <c r="G909" t="s">
        <v>42</v>
      </c>
      <c r="H909" t="s">
        <v>55</v>
      </c>
      <c r="I909">
        <v>2</v>
      </c>
      <c r="J909">
        <v>1.4</v>
      </c>
      <c r="K909">
        <v>5</v>
      </c>
      <c r="L909">
        <v>1</v>
      </c>
      <c r="M909">
        <v>12</v>
      </c>
      <c r="N909">
        <v>0</v>
      </c>
      <c r="O909" t="s">
        <v>70</v>
      </c>
      <c r="P909">
        <v>39800</v>
      </c>
      <c r="Q909">
        <v>2.2000000000000002</v>
      </c>
      <c r="R909">
        <v>4</v>
      </c>
      <c r="S909">
        <v>1.1000000000000001</v>
      </c>
      <c r="T909">
        <v>0</v>
      </c>
      <c r="U909">
        <v>4.5</v>
      </c>
      <c r="V909">
        <v>3.2</v>
      </c>
      <c r="W909">
        <v>3.9</v>
      </c>
      <c r="X909" t="s">
        <v>89</v>
      </c>
      <c r="Y909">
        <v>0</v>
      </c>
      <c r="Z909">
        <v>2</v>
      </c>
      <c r="AA909">
        <v>1.9</v>
      </c>
      <c r="AB909">
        <v>1</v>
      </c>
      <c r="AC909" t="s">
        <v>46</v>
      </c>
      <c r="AE909">
        <v>0</v>
      </c>
      <c r="AF909">
        <v>0</v>
      </c>
      <c r="AG909" t="s">
        <v>47</v>
      </c>
      <c r="AH909" t="s">
        <v>76</v>
      </c>
      <c r="AI909" t="s">
        <v>64</v>
      </c>
      <c r="AJ909" s="1" t="s">
        <v>131</v>
      </c>
      <c r="AK909" s="1" t="s">
        <v>84</v>
      </c>
      <c r="AL909">
        <v>0</v>
      </c>
    </row>
    <row r="910" spans="1:38" x14ac:dyDescent="0.35">
      <c r="A910" t="s">
        <v>1118</v>
      </c>
      <c r="B910" t="s">
        <v>98</v>
      </c>
      <c r="C910" t="s">
        <v>148</v>
      </c>
      <c r="D910">
        <v>2.7</v>
      </c>
      <c r="E910" t="s">
        <v>81</v>
      </c>
      <c r="F910">
        <v>33</v>
      </c>
      <c r="G910" t="s">
        <v>234</v>
      </c>
      <c r="H910" t="s">
        <v>55</v>
      </c>
      <c r="I910">
        <v>3</v>
      </c>
      <c r="J910">
        <v>11.7</v>
      </c>
      <c r="K910">
        <v>15</v>
      </c>
      <c r="L910">
        <v>3</v>
      </c>
      <c r="M910">
        <v>12</v>
      </c>
      <c r="N910">
        <v>0</v>
      </c>
      <c r="O910" t="s">
        <v>70</v>
      </c>
      <c r="P910">
        <v>35200</v>
      </c>
      <c r="Q910">
        <v>10.1</v>
      </c>
      <c r="R910">
        <v>2.8</v>
      </c>
      <c r="S910">
        <v>0.3</v>
      </c>
      <c r="T910">
        <v>0</v>
      </c>
      <c r="U910">
        <v>2.7</v>
      </c>
      <c r="V910">
        <v>2.2999999999999998</v>
      </c>
      <c r="W910">
        <v>2.2999999999999998</v>
      </c>
      <c r="X910" t="s">
        <v>89</v>
      </c>
      <c r="Y910">
        <v>0</v>
      </c>
      <c r="Z910">
        <v>1</v>
      </c>
      <c r="AB910">
        <v>0</v>
      </c>
      <c r="AC910" t="s">
        <v>124</v>
      </c>
      <c r="AD910" s="2">
        <v>45596</v>
      </c>
      <c r="AE910">
        <v>1</v>
      </c>
      <c r="AF910">
        <v>0</v>
      </c>
      <c r="AG910" t="s">
        <v>47</v>
      </c>
      <c r="AH910" t="s">
        <v>48</v>
      </c>
      <c r="AI910" t="s">
        <v>49</v>
      </c>
      <c r="AJ910" s="1" t="s">
        <v>359</v>
      </c>
      <c r="AK910">
        <v>0.25</v>
      </c>
      <c r="AL910">
        <v>1</v>
      </c>
    </row>
    <row r="911" spans="1:38" x14ac:dyDescent="0.35">
      <c r="A911" t="s">
        <v>1119</v>
      </c>
      <c r="B911" t="s">
        <v>98</v>
      </c>
      <c r="C911" t="s">
        <v>99</v>
      </c>
      <c r="D911">
        <v>3</v>
      </c>
      <c r="E911" t="s">
        <v>67</v>
      </c>
      <c r="F911">
        <v>28</v>
      </c>
      <c r="G911" t="s">
        <v>68</v>
      </c>
      <c r="H911" t="s">
        <v>43</v>
      </c>
      <c r="I911">
        <v>2</v>
      </c>
      <c r="J911">
        <v>3.8</v>
      </c>
      <c r="K911">
        <v>9</v>
      </c>
      <c r="L911">
        <v>1</v>
      </c>
      <c r="M911">
        <v>12</v>
      </c>
      <c r="N911">
        <v>0</v>
      </c>
      <c r="O911" t="s">
        <v>82</v>
      </c>
      <c r="P911">
        <v>33000</v>
      </c>
      <c r="Q911">
        <v>12</v>
      </c>
      <c r="R911">
        <v>1.8</v>
      </c>
      <c r="S911">
        <v>2.5</v>
      </c>
      <c r="T911">
        <v>0</v>
      </c>
      <c r="U911">
        <v>1.7</v>
      </c>
      <c r="V911">
        <v>3.5</v>
      </c>
      <c r="W911">
        <v>3.2</v>
      </c>
      <c r="X911" t="s">
        <v>89</v>
      </c>
      <c r="Y911">
        <v>0</v>
      </c>
      <c r="Z911">
        <v>0</v>
      </c>
      <c r="AB911">
        <v>0</v>
      </c>
      <c r="AC911" t="s">
        <v>46</v>
      </c>
      <c r="AE911">
        <v>1</v>
      </c>
      <c r="AF911">
        <v>0</v>
      </c>
      <c r="AG911" t="s">
        <v>75</v>
      </c>
      <c r="AH911" t="s">
        <v>48</v>
      </c>
      <c r="AI911" t="s">
        <v>64</v>
      </c>
      <c r="AJ911" s="1" t="s">
        <v>144</v>
      </c>
      <c r="AK911" s="1" t="s">
        <v>84</v>
      </c>
      <c r="AL911">
        <v>0</v>
      </c>
    </row>
    <row r="912" spans="1:38" x14ac:dyDescent="0.35">
      <c r="A912" t="s">
        <v>1120</v>
      </c>
      <c r="B912" t="s">
        <v>39</v>
      </c>
      <c r="C912" t="s">
        <v>88</v>
      </c>
      <c r="D912">
        <v>5.2</v>
      </c>
      <c r="E912" t="s">
        <v>67</v>
      </c>
      <c r="F912">
        <v>34</v>
      </c>
      <c r="G912" t="s">
        <v>54</v>
      </c>
      <c r="H912" t="s">
        <v>55</v>
      </c>
      <c r="I912">
        <v>3</v>
      </c>
      <c r="J912">
        <v>10.199999999999999</v>
      </c>
      <c r="K912">
        <v>14</v>
      </c>
      <c r="L912">
        <v>4</v>
      </c>
      <c r="M912">
        <v>12</v>
      </c>
      <c r="N912">
        <v>0</v>
      </c>
      <c r="O912" t="s">
        <v>70</v>
      </c>
      <c r="P912">
        <v>47700</v>
      </c>
      <c r="Q912">
        <v>3.3</v>
      </c>
      <c r="R912">
        <v>3.6</v>
      </c>
      <c r="S912">
        <v>3.3</v>
      </c>
      <c r="T912">
        <v>0</v>
      </c>
      <c r="U912">
        <v>2.7</v>
      </c>
      <c r="V912">
        <v>3.3</v>
      </c>
      <c r="W912">
        <v>3.6</v>
      </c>
      <c r="X912" t="s">
        <v>45</v>
      </c>
      <c r="Y912">
        <v>0</v>
      </c>
      <c r="Z912">
        <v>0</v>
      </c>
      <c r="AB912">
        <v>1</v>
      </c>
      <c r="AC912" t="s">
        <v>46</v>
      </c>
      <c r="AE912">
        <v>1</v>
      </c>
      <c r="AF912">
        <v>0</v>
      </c>
      <c r="AG912" t="s">
        <v>75</v>
      </c>
      <c r="AH912" t="s">
        <v>83</v>
      </c>
      <c r="AI912" t="s">
        <v>49</v>
      </c>
      <c r="AJ912" s="1" t="s">
        <v>162</v>
      </c>
      <c r="AK912">
        <v>0.25</v>
      </c>
      <c r="AL912">
        <v>0</v>
      </c>
    </row>
    <row r="913" spans="1:38" x14ac:dyDescent="0.35">
      <c r="A913" t="s">
        <v>1121</v>
      </c>
      <c r="B913" t="s">
        <v>60</v>
      </c>
      <c r="C913" t="s">
        <v>80</v>
      </c>
      <c r="D913">
        <v>0.8</v>
      </c>
      <c r="E913" t="s">
        <v>81</v>
      </c>
      <c r="F913">
        <v>22</v>
      </c>
      <c r="G913" t="s">
        <v>42</v>
      </c>
      <c r="H913" t="s">
        <v>55</v>
      </c>
      <c r="I913">
        <v>1</v>
      </c>
      <c r="J913">
        <v>12.1</v>
      </c>
      <c r="K913">
        <v>7</v>
      </c>
      <c r="L913">
        <v>3</v>
      </c>
      <c r="M913">
        <v>12</v>
      </c>
      <c r="N913">
        <v>0</v>
      </c>
      <c r="O913" t="s">
        <v>82</v>
      </c>
      <c r="P913">
        <v>27400</v>
      </c>
      <c r="Q913">
        <v>5.2</v>
      </c>
      <c r="R913">
        <v>3.2</v>
      </c>
      <c r="S913">
        <v>0.5</v>
      </c>
      <c r="T913">
        <v>0</v>
      </c>
      <c r="U913">
        <v>2.5</v>
      </c>
      <c r="V913">
        <v>3.3</v>
      </c>
      <c r="W913">
        <v>4</v>
      </c>
      <c r="X913" t="s">
        <v>45</v>
      </c>
      <c r="Y913">
        <v>1</v>
      </c>
      <c r="Z913">
        <v>1</v>
      </c>
      <c r="AA913">
        <v>0.4</v>
      </c>
      <c r="AB913">
        <v>0</v>
      </c>
      <c r="AC913" t="s">
        <v>46</v>
      </c>
      <c r="AE913">
        <v>0</v>
      </c>
      <c r="AF913">
        <v>0</v>
      </c>
      <c r="AG913" t="s">
        <v>47</v>
      </c>
      <c r="AH913" t="s">
        <v>95</v>
      </c>
      <c r="AI913" t="s">
        <v>49</v>
      </c>
      <c r="AJ913" s="1" t="s">
        <v>235</v>
      </c>
      <c r="AK913">
        <v>8.3333333333333301E-2</v>
      </c>
      <c r="AL913">
        <v>0</v>
      </c>
    </row>
    <row r="914" spans="1:38" x14ac:dyDescent="0.35">
      <c r="A914" t="s">
        <v>1122</v>
      </c>
      <c r="B914" t="s">
        <v>60</v>
      </c>
      <c r="C914" t="s">
        <v>61</v>
      </c>
      <c r="D914">
        <v>6.2</v>
      </c>
      <c r="E914" t="s">
        <v>110</v>
      </c>
      <c r="F914">
        <v>32</v>
      </c>
      <c r="G914" t="s">
        <v>42</v>
      </c>
      <c r="H914" t="s">
        <v>63</v>
      </c>
      <c r="I914">
        <v>6</v>
      </c>
      <c r="J914">
        <v>1.7</v>
      </c>
      <c r="K914">
        <v>9</v>
      </c>
      <c r="L914">
        <v>1</v>
      </c>
      <c r="M914">
        <v>12</v>
      </c>
      <c r="N914">
        <v>0</v>
      </c>
      <c r="O914" t="s">
        <v>44</v>
      </c>
      <c r="P914">
        <v>55000</v>
      </c>
      <c r="Q914">
        <v>8.1</v>
      </c>
      <c r="R914">
        <v>3</v>
      </c>
      <c r="S914">
        <v>0.2</v>
      </c>
      <c r="T914">
        <v>0</v>
      </c>
      <c r="U914">
        <v>4</v>
      </c>
      <c r="V914">
        <v>3.1</v>
      </c>
      <c r="W914">
        <v>2.9</v>
      </c>
      <c r="X914" t="s">
        <v>45</v>
      </c>
      <c r="Y914">
        <v>0</v>
      </c>
      <c r="Z914">
        <v>2</v>
      </c>
      <c r="AA914">
        <v>4</v>
      </c>
      <c r="AB914">
        <v>1</v>
      </c>
      <c r="AC914" t="s">
        <v>46</v>
      </c>
      <c r="AE914">
        <v>0</v>
      </c>
      <c r="AF914">
        <v>0</v>
      </c>
      <c r="AG914" t="s">
        <v>47</v>
      </c>
      <c r="AH914" t="s">
        <v>83</v>
      </c>
      <c r="AI914" t="s">
        <v>64</v>
      </c>
      <c r="AJ914" s="1" t="s">
        <v>90</v>
      </c>
      <c r="AK914">
        <v>0.5</v>
      </c>
      <c r="AL914">
        <v>0</v>
      </c>
    </row>
    <row r="915" spans="1:38" x14ac:dyDescent="0.35">
      <c r="A915" t="s">
        <v>1123</v>
      </c>
      <c r="B915" t="s">
        <v>60</v>
      </c>
      <c r="C915" t="s">
        <v>80</v>
      </c>
      <c r="D915">
        <v>6.3</v>
      </c>
      <c r="E915" t="s">
        <v>67</v>
      </c>
      <c r="F915">
        <v>33</v>
      </c>
      <c r="G915" t="s">
        <v>42</v>
      </c>
      <c r="H915" t="s">
        <v>43</v>
      </c>
      <c r="I915">
        <v>3</v>
      </c>
      <c r="J915">
        <v>13.5</v>
      </c>
      <c r="K915">
        <v>6</v>
      </c>
      <c r="L915">
        <v>2</v>
      </c>
      <c r="M915">
        <v>12</v>
      </c>
      <c r="N915">
        <v>0</v>
      </c>
      <c r="O915" t="s">
        <v>70</v>
      </c>
      <c r="P915">
        <v>46400</v>
      </c>
      <c r="Q915">
        <v>11.9</v>
      </c>
      <c r="R915">
        <v>4.3</v>
      </c>
      <c r="S915">
        <v>1.2</v>
      </c>
      <c r="T915">
        <v>0</v>
      </c>
      <c r="U915">
        <v>4.0999999999999996</v>
      </c>
      <c r="V915">
        <v>3.2</v>
      </c>
      <c r="W915">
        <v>2.4</v>
      </c>
      <c r="X915" t="s">
        <v>45</v>
      </c>
      <c r="Y915">
        <v>0</v>
      </c>
      <c r="Z915">
        <v>1</v>
      </c>
      <c r="AA915">
        <v>1.6</v>
      </c>
      <c r="AB915">
        <v>1</v>
      </c>
      <c r="AC915" t="s">
        <v>46</v>
      </c>
      <c r="AE915">
        <v>0</v>
      </c>
      <c r="AF915">
        <v>0</v>
      </c>
      <c r="AG915" t="s">
        <v>47</v>
      </c>
      <c r="AH915" t="s">
        <v>83</v>
      </c>
      <c r="AI915" t="s">
        <v>49</v>
      </c>
      <c r="AJ915" s="1" t="s">
        <v>198</v>
      </c>
      <c r="AK915">
        <v>0.25</v>
      </c>
      <c r="AL915">
        <v>0</v>
      </c>
    </row>
    <row r="916" spans="1:38" x14ac:dyDescent="0.35">
      <c r="A916" t="s">
        <v>1124</v>
      </c>
      <c r="B916" t="s">
        <v>60</v>
      </c>
      <c r="C916" t="s">
        <v>61</v>
      </c>
      <c r="D916">
        <v>3.1</v>
      </c>
      <c r="E916" t="s">
        <v>110</v>
      </c>
      <c r="F916">
        <v>34</v>
      </c>
      <c r="G916" t="s">
        <v>42</v>
      </c>
      <c r="H916" t="s">
        <v>94</v>
      </c>
      <c r="I916">
        <v>3</v>
      </c>
      <c r="J916">
        <v>22</v>
      </c>
      <c r="K916">
        <v>10</v>
      </c>
      <c r="L916">
        <v>2</v>
      </c>
      <c r="M916">
        <v>12</v>
      </c>
      <c r="N916">
        <v>0</v>
      </c>
      <c r="O916" t="s">
        <v>44</v>
      </c>
      <c r="P916">
        <v>65700</v>
      </c>
      <c r="Q916">
        <v>5.8</v>
      </c>
      <c r="R916">
        <v>3.6</v>
      </c>
      <c r="S916">
        <v>1.3</v>
      </c>
      <c r="T916">
        <v>0</v>
      </c>
      <c r="U916">
        <v>2.4</v>
      </c>
      <c r="V916">
        <v>3.5</v>
      </c>
      <c r="W916">
        <v>3.4</v>
      </c>
      <c r="X916" t="s">
        <v>45</v>
      </c>
      <c r="Y916">
        <v>0</v>
      </c>
      <c r="Z916">
        <v>1</v>
      </c>
      <c r="AA916">
        <v>1</v>
      </c>
      <c r="AB916">
        <v>1</v>
      </c>
      <c r="AC916" t="s">
        <v>124</v>
      </c>
      <c r="AD916" s="2">
        <v>45982</v>
      </c>
      <c r="AE916">
        <v>0</v>
      </c>
      <c r="AF916">
        <v>0</v>
      </c>
      <c r="AG916" t="s">
        <v>47</v>
      </c>
      <c r="AH916" t="s">
        <v>76</v>
      </c>
      <c r="AI916" t="s">
        <v>57</v>
      </c>
      <c r="AJ916">
        <v>3.1</v>
      </c>
      <c r="AK916">
        <v>0.25</v>
      </c>
      <c r="AL916">
        <v>1</v>
      </c>
    </row>
    <row r="917" spans="1:38" x14ac:dyDescent="0.35">
      <c r="A917" t="s">
        <v>1125</v>
      </c>
      <c r="B917" t="s">
        <v>60</v>
      </c>
      <c r="C917" t="s">
        <v>1126</v>
      </c>
      <c r="D917">
        <v>4.2</v>
      </c>
      <c r="E917" t="s">
        <v>67</v>
      </c>
      <c r="F917">
        <v>24</v>
      </c>
      <c r="G917" t="s">
        <v>42</v>
      </c>
      <c r="H917" t="s">
        <v>55</v>
      </c>
      <c r="I917">
        <v>2</v>
      </c>
      <c r="J917">
        <v>15.9</v>
      </c>
      <c r="K917">
        <v>9</v>
      </c>
      <c r="L917">
        <v>3</v>
      </c>
      <c r="M917">
        <v>12</v>
      </c>
      <c r="N917">
        <v>0</v>
      </c>
      <c r="O917" t="s">
        <v>70</v>
      </c>
      <c r="P917">
        <v>41200</v>
      </c>
      <c r="Q917">
        <v>7.8</v>
      </c>
      <c r="R917">
        <v>3.3</v>
      </c>
      <c r="S917">
        <v>4</v>
      </c>
      <c r="T917">
        <v>0</v>
      </c>
      <c r="U917">
        <v>2.6</v>
      </c>
      <c r="V917">
        <v>3.5</v>
      </c>
      <c r="W917">
        <v>3.9</v>
      </c>
      <c r="X917" t="s">
        <v>89</v>
      </c>
      <c r="Y917">
        <v>0</v>
      </c>
      <c r="Z917">
        <v>2</v>
      </c>
      <c r="AA917">
        <v>2</v>
      </c>
      <c r="AB917">
        <v>0</v>
      </c>
      <c r="AC917" t="s">
        <v>46</v>
      </c>
      <c r="AE917">
        <v>0</v>
      </c>
      <c r="AF917">
        <v>0</v>
      </c>
      <c r="AG917" t="s">
        <v>47</v>
      </c>
      <c r="AH917" t="s">
        <v>76</v>
      </c>
      <c r="AI917" t="s">
        <v>49</v>
      </c>
      <c r="AJ917" s="1" t="s">
        <v>90</v>
      </c>
      <c r="AK917" s="1" t="s">
        <v>84</v>
      </c>
      <c r="AL917">
        <v>0</v>
      </c>
    </row>
    <row r="918" spans="1:38" x14ac:dyDescent="0.35">
      <c r="A918" t="s">
        <v>1127</v>
      </c>
      <c r="B918" t="s">
        <v>73</v>
      </c>
      <c r="C918" t="s">
        <v>121</v>
      </c>
      <c r="D918">
        <v>1.7</v>
      </c>
      <c r="E918" t="s">
        <v>41</v>
      </c>
      <c r="F918">
        <v>28</v>
      </c>
      <c r="G918" t="s">
        <v>68</v>
      </c>
      <c r="H918" t="s">
        <v>55</v>
      </c>
      <c r="I918">
        <v>1</v>
      </c>
      <c r="J918">
        <v>4.2</v>
      </c>
      <c r="K918">
        <v>8</v>
      </c>
      <c r="L918">
        <v>0</v>
      </c>
      <c r="M918">
        <v>12</v>
      </c>
      <c r="N918">
        <v>0</v>
      </c>
      <c r="O918" t="s">
        <v>56</v>
      </c>
      <c r="P918">
        <v>79800</v>
      </c>
      <c r="Q918">
        <v>5.3</v>
      </c>
      <c r="R918">
        <v>3.3</v>
      </c>
      <c r="S918">
        <v>0.7</v>
      </c>
      <c r="T918">
        <v>0</v>
      </c>
      <c r="U918">
        <v>2</v>
      </c>
      <c r="V918">
        <v>2.6</v>
      </c>
      <c r="W918">
        <v>3.6</v>
      </c>
      <c r="X918" t="s">
        <v>45</v>
      </c>
      <c r="Y918">
        <v>0</v>
      </c>
      <c r="Z918">
        <v>1</v>
      </c>
      <c r="AA918">
        <v>1</v>
      </c>
      <c r="AB918">
        <v>1</v>
      </c>
      <c r="AC918" t="s">
        <v>46</v>
      </c>
      <c r="AE918">
        <v>0</v>
      </c>
      <c r="AF918">
        <v>0</v>
      </c>
      <c r="AG918" t="s">
        <v>47</v>
      </c>
      <c r="AH918" t="s">
        <v>48</v>
      </c>
      <c r="AI918" t="s">
        <v>64</v>
      </c>
      <c r="AJ918" s="1" t="s">
        <v>168</v>
      </c>
      <c r="AK918">
        <v>8.3333333333333301E-2</v>
      </c>
      <c r="AL918">
        <v>0</v>
      </c>
    </row>
    <row r="919" spans="1:38" x14ac:dyDescent="0.35">
      <c r="A919" t="s">
        <v>1128</v>
      </c>
      <c r="B919" t="s">
        <v>73</v>
      </c>
      <c r="C919" t="s">
        <v>74</v>
      </c>
      <c r="D919">
        <v>5</v>
      </c>
      <c r="E919" t="s">
        <v>81</v>
      </c>
      <c r="F919">
        <v>27</v>
      </c>
      <c r="G919" t="s">
        <v>68</v>
      </c>
      <c r="H919" t="s">
        <v>63</v>
      </c>
      <c r="I919">
        <v>1</v>
      </c>
      <c r="J919">
        <v>9.6999999999999993</v>
      </c>
      <c r="K919">
        <v>5</v>
      </c>
      <c r="L919">
        <v>0</v>
      </c>
      <c r="M919">
        <v>12</v>
      </c>
      <c r="N919">
        <v>0</v>
      </c>
      <c r="O919" t="s">
        <v>82</v>
      </c>
      <c r="P919">
        <v>26000</v>
      </c>
      <c r="Q919">
        <v>8.1</v>
      </c>
      <c r="R919">
        <v>4</v>
      </c>
      <c r="S919">
        <v>0.6</v>
      </c>
      <c r="T919">
        <v>0</v>
      </c>
      <c r="U919">
        <v>3.4</v>
      </c>
      <c r="V919">
        <v>3.9</v>
      </c>
      <c r="W919">
        <v>2.7</v>
      </c>
      <c r="X919" t="s">
        <v>45</v>
      </c>
      <c r="Y919">
        <v>0</v>
      </c>
      <c r="Z919">
        <v>0</v>
      </c>
      <c r="AB919">
        <v>1</v>
      </c>
      <c r="AC919" t="s">
        <v>46</v>
      </c>
      <c r="AE919">
        <v>1</v>
      </c>
      <c r="AF919">
        <v>0</v>
      </c>
      <c r="AG919" t="s">
        <v>75</v>
      </c>
      <c r="AH919" t="s">
        <v>76</v>
      </c>
      <c r="AI919" t="s">
        <v>64</v>
      </c>
      <c r="AJ919" s="1" t="s">
        <v>90</v>
      </c>
      <c r="AK919">
        <v>8.3333333333333301E-2</v>
      </c>
      <c r="AL919">
        <v>0</v>
      </c>
    </row>
    <row r="920" spans="1:38" x14ac:dyDescent="0.35">
      <c r="A920" t="s">
        <v>1129</v>
      </c>
      <c r="B920" t="s">
        <v>98</v>
      </c>
      <c r="C920" t="s">
        <v>151</v>
      </c>
      <c r="D920">
        <v>1.9</v>
      </c>
      <c r="E920" t="s">
        <v>81</v>
      </c>
      <c r="F920">
        <v>30</v>
      </c>
      <c r="G920" t="s">
        <v>42</v>
      </c>
      <c r="H920" t="s">
        <v>43</v>
      </c>
      <c r="I920">
        <v>5</v>
      </c>
      <c r="J920">
        <v>10.6</v>
      </c>
      <c r="K920">
        <v>8</v>
      </c>
      <c r="L920">
        <v>3</v>
      </c>
      <c r="M920">
        <v>12</v>
      </c>
      <c r="N920">
        <v>0</v>
      </c>
      <c r="O920" t="s">
        <v>82</v>
      </c>
      <c r="P920">
        <v>26200</v>
      </c>
      <c r="Q920">
        <v>12.2</v>
      </c>
      <c r="R920">
        <v>2.6</v>
      </c>
      <c r="S920">
        <v>0.6</v>
      </c>
      <c r="T920">
        <v>0</v>
      </c>
      <c r="U920">
        <v>3.3</v>
      </c>
      <c r="V920">
        <v>3.7</v>
      </c>
      <c r="W920">
        <v>4.8</v>
      </c>
      <c r="X920" t="s">
        <v>45</v>
      </c>
      <c r="Y920">
        <v>1</v>
      </c>
      <c r="Z920">
        <v>0</v>
      </c>
      <c r="AB920">
        <v>0</v>
      </c>
      <c r="AC920" t="s">
        <v>46</v>
      </c>
      <c r="AE920">
        <v>1</v>
      </c>
      <c r="AF920">
        <v>0</v>
      </c>
      <c r="AG920" t="s">
        <v>75</v>
      </c>
      <c r="AH920" t="s">
        <v>48</v>
      </c>
      <c r="AI920" t="s">
        <v>49</v>
      </c>
      <c r="AJ920" s="1" t="s">
        <v>219</v>
      </c>
      <c r="AK920" s="1" t="s">
        <v>127</v>
      </c>
      <c r="AL920">
        <v>0</v>
      </c>
    </row>
    <row r="921" spans="1:38" x14ac:dyDescent="0.35">
      <c r="A921" t="s">
        <v>1130</v>
      </c>
      <c r="B921" t="s">
        <v>117</v>
      </c>
      <c r="C921" t="s">
        <v>118</v>
      </c>
      <c r="D921">
        <v>0.1</v>
      </c>
      <c r="E921" t="s">
        <v>67</v>
      </c>
      <c r="F921">
        <v>29</v>
      </c>
      <c r="G921" t="s">
        <v>68</v>
      </c>
      <c r="H921" t="s">
        <v>69</v>
      </c>
      <c r="I921">
        <v>6</v>
      </c>
      <c r="J921">
        <v>9</v>
      </c>
      <c r="K921">
        <v>12</v>
      </c>
      <c r="L921">
        <v>3</v>
      </c>
      <c r="M921">
        <v>12</v>
      </c>
      <c r="N921">
        <v>0</v>
      </c>
      <c r="O921" t="s">
        <v>82</v>
      </c>
      <c r="P921">
        <v>31800</v>
      </c>
      <c r="Q921">
        <v>8.4</v>
      </c>
      <c r="R921">
        <v>2.4</v>
      </c>
      <c r="S921">
        <v>0.4</v>
      </c>
      <c r="T921">
        <v>0</v>
      </c>
      <c r="U921">
        <v>4</v>
      </c>
      <c r="V921">
        <v>2.5</v>
      </c>
      <c r="W921">
        <v>3.3</v>
      </c>
      <c r="X921" t="s">
        <v>45</v>
      </c>
      <c r="Y921">
        <v>0</v>
      </c>
      <c r="Z921">
        <v>1</v>
      </c>
      <c r="AA921">
        <v>0.3</v>
      </c>
      <c r="AB921">
        <v>1</v>
      </c>
      <c r="AC921" t="s">
        <v>46</v>
      </c>
      <c r="AE921">
        <v>0</v>
      </c>
      <c r="AF921">
        <v>0</v>
      </c>
      <c r="AG921" t="s">
        <v>47</v>
      </c>
      <c r="AH921" t="s">
        <v>95</v>
      </c>
      <c r="AI921" t="s">
        <v>64</v>
      </c>
      <c r="AJ921" s="1" t="s">
        <v>235</v>
      </c>
      <c r="AK921">
        <v>0.5</v>
      </c>
      <c r="AL921">
        <v>0</v>
      </c>
    </row>
    <row r="922" spans="1:38" x14ac:dyDescent="0.35">
      <c r="A922" t="s">
        <v>1131</v>
      </c>
      <c r="B922" t="s">
        <v>73</v>
      </c>
      <c r="C922" t="s">
        <v>113</v>
      </c>
      <c r="D922">
        <v>8.3000000000000007</v>
      </c>
      <c r="E922" t="s">
        <v>67</v>
      </c>
      <c r="F922">
        <v>39</v>
      </c>
      <c r="G922" t="s">
        <v>42</v>
      </c>
      <c r="H922" t="s">
        <v>63</v>
      </c>
      <c r="I922">
        <v>1</v>
      </c>
      <c r="J922">
        <v>2.7</v>
      </c>
      <c r="K922">
        <v>6</v>
      </c>
      <c r="L922">
        <v>3</v>
      </c>
      <c r="M922">
        <v>12</v>
      </c>
      <c r="N922">
        <v>0</v>
      </c>
      <c r="O922" t="s">
        <v>70</v>
      </c>
      <c r="P922">
        <v>39000</v>
      </c>
      <c r="Q922">
        <v>6.6</v>
      </c>
      <c r="R922">
        <v>3</v>
      </c>
      <c r="S922">
        <v>1.1000000000000001</v>
      </c>
      <c r="T922">
        <v>0</v>
      </c>
      <c r="U922">
        <v>3.7</v>
      </c>
      <c r="V922">
        <v>2.2000000000000002</v>
      </c>
      <c r="W922">
        <v>3.6</v>
      </c>
      <c r="X922" t="s">
        <v>89</v>
      </c>
      <c r="Y922">
        <v>0</v>
      </c>
      <c r="Z922">
        <v>0</v>
      </c>
      <c r="AB922">
        <v>0</v>
      </c>
      <c r="AC922" t="s">
        <v>46</v>
      </c>
      <c r="AE922">
        <v>1</v>
      </c>
      <c r="AF922">
        <v>0</v>
      </c>
      <c r="AG922" t="s">
        <v>75</v>
      </c>
      <c r="AH922" t="s">
        <v>83</v>
      </c>
      <c r="AI922" t="s">
        <v>64</v>
      </c>
      <c r="AJ922" s="1" t="s">
        <v>100</v>
      </c>
      <c r="AK922">
        <v>8.3333333333333301E-2</v>
      </c>
      <c r="AL922">
        <v>0</v>
      </c>
    </row>
    <row r="923" spans="1:38" x14ac:dyDescent="0.35">
      <c r="A923" t="s">
        <v>1132</v>
      </c>
      <c r="B923" t="s">
        <v>60</v>
      </c>
      <c r="C923" t="s">
        <v>107</v>
      </c>
      <c r="D923">
        <v>1.6</v>
      </c>
      <c r="E923" t="s">
        <v>67</v>
      </c>
      <c r="F923">
        <v>25</v>
      </c>
      <c r="G923" t="s">
        <v>42</v>
      </c>
      <c r="H923" t="s">
        <v>43</v>
      </c>
      <c r="I923">
        <v>1</v>
      </c>
      <c r="J923">
        <v>4.9000000000000004</v>
      </c>
      <c r="K923">
        <v>6</v>
      </c>
      <c r="L923">
        <v>0</v>
      </c>
      <c r="M923">
        <v>12</v>
      </c>
      <c r="N923">
        <v>0</v>
      </c>
      <c r="O923" t="s">
        <v>70</v>
      </c>
      <c r="P923">
        <v>40600</v>
      </c>
      <c r="Q923">
        <v>7.9</v>
      </c>
      <c r="R923">
        <v>2.1</v>
      </c>
      <c r="S923">
        <v>2.6</v>
      </c>
      <c r="T923">
        <v>0</v>
      </c>
      <c r="U923">
        <v>3.8</v>
      </c>
      <c r="V923">
        <v>2.6</v>
      </c>
      <c r="W923">
        <v>2.9</v>
      </c>
      <c r="X923" t="s">
        <v>45</v>
      </c>
      <c r="Y923">
        <v>0</v>
      </c>
      <c r="Z923">
        <v>1</v>
      </c>
      <c r="AA923">
        <v>1.1000000000000001</v>
      </c>
      <c r="AB923">
        <v>0</v>
      </c>
      <c r="AC923" t="s">
        <v>46</v>
      </c>
      <c r="AE923">
        <v>0</v>
      </c>
      <c r="AF923">
        <v>0</v>
      </c>
      <c r="AG923" t="s">
        <v>47</v>
      </c>
      <c r="AH923" t="s">
        <v>48</v>
      </c>
      <c r="AI923" t="s">
        <v>64</v>
      </c>
      <c r="AJ923">
        <v>3.1</v>
      </c>
      <c r="AK923">
        <v>8.3333333333333301E-2</v>
      </c>
      <c r="AL923">
        <v>0</v>
      </c>
    </row>
    <row r="924" spans="1:38" x14ac:dyDescent="0.35">
      <c r="A924" t="s">
        <v>1133</v>
      </c>
      <c r="B924" t="s">
        <v>39</v>
      </c>
      <c r="C924" t="s">
        <v>88</v>
      </c>
      <c r="D924">
        <v>3.6</v>
      </c>
      <c r="E924" t="s">
        <v>110</v>
      </c>
      <c r="F924">
        <v>33</v>
      </c>
      <c r="G924" t="s">
        <v>68</v>
      </c>
      <c r="H924" t="s">
        <v>55</v>
      </c>
      <c r="I924">
        <v>0</v>
      </c>
      <c r="J924">
        <v>8.4</v>
      </c>
      <c r="K924">
        <v>9</v>
      </c>
      <c r="L924">
        <v>2</v>
      </c>
      <c r="M924">
        <v>12</v>
      </c>
      <c r="N924">
        <v>0</v>
      </c>
      <c r="O924" t="s">
        <v>44</v>
      </c>
      <c r="P924">
        <v>54600</v>
      </c>
      <c r="Q924">
        <v>4.8</v>
      </c>
      <c r="R924">
        <v>3.2</v>
      </c>
      <c r="S924">
        <v>2.7</v>
      </c>
      <c r="T924">
        <v>0</v>
      </c>
      <c r="U924">
        <v>1.9</v>
      </c>
      <c r="V924">
        <v>1.9</v>
      </c>
      <c r="W924">
        <v>4.3</v>
      </c>
      <c r="X924" t="s">
        <v>45</v>
      </c>
      <c r="Y924">
        <v>0</v>
      </c>
      <c r="Z924">
        <v>0</v>
      </c>
      <c r="AB924">
        <v>0</v>
      </c>
      <c r="AC924" t="s">
        <v>46</v>
      </c>
      <c r="AE924">
        <v>1</v>
      </c>
      <c r="AF924">
        <v>0</v>
      </c>
      <c r="AG924" t="s">
        <v>75</v>
      </c>
      <c r="AH924" t="s">
        <v>76</v>
      </c>
      <c r="AI924" t="s">
        <v>64</v>
      </c>
      <c r="AJ924" s="1" t="s">
        <v>96</v>
      </c>
      <c r="AK924">
        <v>0</v>
      </c>
      <c r="AL924">
        <v>0</v>
      </c>
    </row>
    <row r="925" spans="1:38" x14ac:dyDescent="0.35">
      <c r="A925" t="s">
        <v>1134</v>
      </c>
      <c r="B925" t="s">
        <v>117</v>
      </c>
      <c r="C925" t="s">
        <v>118</v>
      </c>
      <c r="D925">
        <v>4.4000000000000004</v>
      </c>
      <c r="E925" t="s">
        <v>67</v>
      </c>
      <c r="F925">
        <v>36</v>
      </c>
      <c r="G925" t="s">
        <v>54</v>
      </c>
      <c r="H925" t="s">
        <v>43</v>
      </c>
      <c r="I925">
        <v>3</v>
      </c>
      <c r="J925">
        <v>78</v>
      </c>
      <c r="K925">
        <v>6</v>
      </c>
      <c r="L925">
        <v>2</v>
      </c>
      <c r="M925">
        <v>12</v>
      </c>
      <c r="N925">
        <v>1</v>
      </c>
      <c r="O925" t="s">
        <v>70</v>
      </c>
      <c r="P925">
        <v>47500</v>
      </c>
      <c r="Q925">
        <v>4</v>
      </c>
      <c r="R925">
        <v>3.3</v>
      </c>
      <c r="S925">
        <v>0.4</v>
      </c>
      <c r="T925">
        <v>0</v>
      </c>
      <c r="U925">
        <v>2.7</v>
      </c>
      <c r="V925">
        <v>3.4</v>
      </c>
      <c r="W925">
        <v>3.9</v>
      </c>
      <c r="X925" t="s">
        <v>45</v>
      </c>
      <c r="Y925">
        <v>0</v>
      </c>
      <c r="Z925">
        <v>3</v>
      </c>
      <c r="AA925">
        <v>1.8</v>
      </c>
      <c r="AB925">
        <v>0</v>
      </c>
      <c r="AC925" t="s">
        <v>46</v>
      </c>
      <c r="AE925">
        <v>0</v>
      </c>
      <c r="AF925">
        <v>0</v>
      </c>
      <c r="AG925" t="s">
        <v>47</v>
      </c>
      <c r="AH925" t="s">
        <v>76</v>
      </c>
      <c r="AI925" t="s">
        <v>207</v>
      </c>
      <c r="AJ925" s="1" t="s">
        <v>90</v>
      </c>
      <c r="AK925">
        <v>0.25</v>
      </c>
      <c r="AL925">
        <v>0</v>
      </c>
    </row>
    <row r="926" spans="1:38" x14ac:dyDescent="0.35">
      <c r="A926" t="s">
        <v>1135</v>
      </c>
      <c r="B926" t="s">
        <v>73</v>
      </c>
      <c r="C926" t="s">
        <v>113</v>
      </c>
      <c r="D926">
        <v>5.2</v>
      </c>
      <c r="E926" t="s">
        <v>81</v>
      </c>
      <c r="F926">
        <v>25</v>
      </c>
      <c r="G926" t="s">
        <v>42</v>
      </c>
      <c r="H926" t="s">
        <v>55</v>
      </c>
      <c r="I926">
        <v>4</v>
      </c>
      <c r="J926">
        <v>6.1</v>
      </c>
      <c r="K926">
        <v>7</v>
      </c>
      <c r="L926">
        <v>2</v>
      </c>
      <c r="M926">
        <v>12</v>
      </c>
      <c r="N926">
        <v>0</v>
      </c>
      <c r="O926" t="s">
        <v>70</v>
      </c>
      <c r="P926">
        <v>36600</v>
      </c>
      <c r="Q926">
        <v>12.8</v>
      </c>
      <c r="R926">
        <v>3.1</v>
      </c>
      <c r="S926">
        <v>3</v>
      </c>
      <c r="T926">
        <v>0</v>
      </c>
      <c r="U926">
        <v>4.2</v>
      </c>
      <c r="V926">
        <v>4.3</v>
      </c>
      <c r="W926">
        <v>3.7</v>
      </c>
      <c r="X926" t="s">
        <v>45</v>
      </c>
      <c r="Y926">
        <v>0</v>
      </c>
      <c r="Z926">
        <v>0</v>
      </c>
      <c r="AB926">
        <v>0</v>
      </c>
      <c r="AC926" t="s">
        <v>46</v>
      </c>
      <c r="AE926">
        <v>1</v>
      </c>
      <c r="AF926">
        <v>0</v>
      </c>
      <c r="AG926" t="s">
        <v>75</v>
      </c>
      <c r="AH926" t="s">
        <v>83</v>
      </c>
      <c r="AI926" t="s">
        <v>64</v>
      </c>
      <c r="AJ926" s="1" t="s">
        <v>222</v>
      </c>
      <c r="AK926" s="1" t="s">
        <v>115</v>
      </c>
      <c r="AL926">
        <v>0</v>
      </c>
    </row>
    <row r="927" spans="1:38" x14ac:dyDescent="0.35">
      <c r="A927" t="s">
        <v>1136</v>
      </c>
      <c r="B927" t="s">
        <v>98</v>
      </c>
      <c r="C927" t="s">
        <v>148</v>
      </c>
      <c r="D927">
        <v>3.8</v>
      </c>
      <c r="E927" t="s">
        <v>67</v>
      </c>
      <c r="F927">
        <v>32</v>
      </c>
      <c r="G927" t="s">
        <v>68</v>
      </c>
      <c r="H927" t="s">
        <v>55</v>
      </c>
      <c r="I927">
        <v>1</v>
      </c>
      <c r="J927">
        <v>1.2</v>
      </c>
      <c r="K927">
        <v>8</v>
      </c>
      <c r="L927">
        <v>1</v>
      </c>
      <c r="M927">
        <v>12</v>
      </c>
      <c r="N927">
        <v>0</v>
      </c>
      <c r="O927" t="s">
        <v>70</v>
      </c>
      <c r="P927">
        <v>38400</v>
      </c>
      <c r="Q927">
        <v>14.6</v>
      </c>
      <c r="R927">
        <v>2.9</v>
      </c>
      <c r="S927">
        <v>1.4</v>
      </c>
      <c r="T927">
        <v>0</v>
      </c>
      <c r="U927">
        <v>2.8</v>
      </c>
      <c r="V927">
        <v>4.5</v>
      </c>
      <c r="W927">
        <v>2.5</v>
      </c>
      <c r="X927" t="s">
        <v>45</v>
      </c>
      <c r="Y927">
        <v>0</v>
      </c>
      <c r="Z927">
        <v>0</v>
      </c>
      <c r="AB927">
        <v>2</v>
      </c>
      <c r="AC927" t="s">
        <v>46</v>
      </c>
      <c r="AE927">
        <v>1</v>
      </c>
      <c r="AF927">
        <v>0</v>
      </c>
      <c r="AG927" t="s">
        <v>75</v>
      </c>
      <c r="AH927" t="s">
        <v>76</v>
      </c>
      <c r="AI927" t="s">
        <v>64</v>
      </c>
      <c r="AJ927" s="1" t="s">
        <v>235</v>
      </c>
      <c r="AK927">
        <v>8.3333333333333301E-2</v>
      </c>
      <c r="AL927">
        <v>0</v>
      </c>
    </row>
    <row r="928" spans="1:38" x14ac:dyDescent="0.35">
      <c r="A928" t="s">
        <v>1137</v>
      </c>
      <c r="B928" t="s">
        <v>73</v>
      </c>
      <c r="C928" t="s">
        <v>121</v>
      </c>
      <c r="D928">
        <v>4.5999999999999996</v>
      </c>
      <c r="E928" t="s">
        <v>41</v>
      </c>
      <c r="F928">
        <v>34</v>
      </c>
      <c r="G928" t="s">
        <v>42</v>
      </c>
      <c r="H928" t="s">
        <v>55</v>
      </c>
      <c r="I928">
        <v>7</v>
      </c>
      <c r="J928">
        <v>6.5</v>
      </c>
      <c r="K928">
        <v>5</v>
      </c>
      <c r="L928">
        <v>4</v>
      </c>
      <c r="M928">
        <v>12</v>
      </c>
      <c r="N928">
        <v>0</v>
      </c>
      <c r="O928" t="s">
        <v>44</v>
      </c>
      <c r="P928">
        <v>66800</v>
      </c>
      <c r="Q928">
        <v>0.8</v>
      </c>
      <c r="R928">
        <v>4.7</v>
      </c>
      <c r="S928">
        <v>2.4</v>
      </c>
      <c r="T928">
        <v>0</v>
      </c>
      <c r="U928">
        <v>1.8</v>
      </c>
      <c r="V928">
        <v>2.2000000000000002</v>
      </c>
      <c r="W928">
        <v>4.3</v>
      </c>
      <c r="X928" t="s">
        <v>45</v>
      </c>
      <c r="Y928">
        <v>0</v>
      </c>
      <c r="Z928">
        <v>3</v>
      </c>
      <c r="AA928">
        <v>1.2</v>
      </c>
      <c r="AB928">
        <v>1</v>
      </c>
      <c r="AC928" t="s">
        <v>46</v>
      </c>
      <c r="AE928">
        <v>0</v>
      </c>
      <c r="AF928">
        <v>0</v>
      </c>
      <c r="AG928" t="s">
        <v>47</v>
      </c>
      <c r="AH928" t="s">
        <v>76</v>
      </c>
      <c r="AI928" t="s">
        <v>64</v>
      </c>
      <c r="AJ928" s="1" t="s">
        <v>170</v>
      </c>
      <c r="AK928" s="1" t="s">
        <v>105</v>
      </c>
      <c r="AL928">
        <v>0</v>
      </c>
    </row>
    <row r="929" spans="1:38" x14ac:dyDescent="0.35">
      <c r="A929" t="s">
        <v>1138</v>
      </c>
      <c r="B929" t="s">
        <v>60</v>
      </c>
      <c r="C929" t="s">
        <v>80</v>
      </c>
      <c r="D929">
        <v>3.1</v>
      </c>
      <c r="E929" t="s">
        <v>41</v>
      </c>
      <c r="F929">
        <v>28</v>
      </c>
      <c r="G929" t="s">
        <v>68</v>
      </c>
      <c r="H929" t="s">
        <v>94</v>
      </c>
      <c r="I929">
        <v>2</v>
      </c>
      <c r="J929">
        <v>32.1</v>
      </c>
      <c r="K929">
        <v>12</v>
      </c>
      <c r="L929">
        <v>3</v>
      </c>
      <c r="M929">
        <v>12</v>
      </c>
      <c r="N929">
        <v>0</v>
      </c>
      <c r="O929" t="s">
        <v>56</v>
      </c>
      <c r="P929">
        <v>81100</v>
      </c>
      <c r="Q929">
        <v>10.3</v>
      </c>
      <c r="R929">
        <v>4</v>
      </c>
      <c r="S929">
        <v>0.8</v>
      </c>
      <c r="T929">
        <v>0</v>
      </c>
      <c r="U929">
        <v>4</v>
      </c>
      <c r="V929">
        <v>3.9</v>
      </c>
      <c r="W929">
        <v>4</v>
      </c>
      <c r="X929" t="s">
        <v>45</v>
      </c>
      <c r="Y929">
        <v>0</v>
      </c>
      <c r="Z929">
        <v>0</v>
      </c>
      <c r="AB929">
        <v>0</v>
      </c>
      <c r="AC929" t="s">
        <v>46</v>
      </c>
      <c r="AE929">
        <v>1</v>
      </c>
      <c r="AF929">
        <v>0</v>
      </c>
      <c r="AG929" t="s">
        <v>75</v>
      </c>
      <c r="AH929" t="s">
        <v>76</v>
      </c>
      <c r="AI929" t="s">
        <v>57</v>
      </c>
      <c r="AJ929" s="1" t="s">
        <v>243</v>
      </c>
      <c r="AK929" s="1" t="s">
        <v>84</v>
      </c>
      <c r="AL929">
        <v>0</v>
      </c>
    </row>
    <row r="930" spans="1:38" x14ac:dyDescent="0.35">
      <c r="A930" t="s">
        <v>1139</v>
      </c>
      <c r="B930" t="s">
        <v>117</v>
      </c>
      <c r="C930" t="s">
        <v>197</v>
      </c>
      <c r="D930">
        <v>1</v>
      </c>
      <c r="E930" t="s">
        <v>110</v>
      </c>
      <c r="F930">
        <v>22</v>
      </c>
      <c r="G930" t="s">
        <v>42</v>
      </c>
      <c r="H930" t="s">
        <v>69</v>
      </c>
      <c r="I930">
        <v>4</v>
      </c>
      <c r="J930">
        <v>13.6</v>
      </c>
      <c r="K930">
        <v>8</v>
      </c>
      <c r="L930">
        <v>2</v>
      </c>
      <c r="M930">
        <v>12</v>
      </c>
      <c r="N930">
        <v>0</v>
      </c>
      <c r="O930" t="s">
        <v>44</v>
      </c>
      <c r="P930">
        <v>59900</v>
      </c>
      <c r="Q930">
        <v>11.4</v>
      </c>
      <c r="R930">
        <v>3.1</v>
      </c>
      <c r="S930">
        <v>1.3</v>
      </c>
      <c r="T930">
        <v>0</v>
      </c>
      <c r="U930">
        <v>2.8</v>
      </c>
      <c r="V930">
        <v>3.3</v>
      </c>
      <c r="W930">
        <v>4.2</v>
      </c>
      <c r="X930" t="s">
        <v>45</v>
      </c>
      <c r="Y930">
        <v>0</v>
      </c>
      <c r="Z930">
        <v>1</v>
      </c>
      <c r="AA930">
        <v>0.2</v>
      </c>
      <c r="AB930">
        <v>1</v>
      </c>
      <c r="AC930" t="s">
        <v>46</v>
      </c>
      <c r="AE930">
        <v>0</v>
      </c>
      <c r="AF930">
        <v>0</v>
      </c>
      <c r="AG930" t="s">
        <v>47</v>
      </c>
      <c r="AH930" t="s">
        <v>95</v>
      </c>
      <c r="AI930" t="s">
        <v>49</v>
      </c>
      <c r="AJ930" s="1" t="s">
        <v>174</v>
      </c>
      <c r="AK930" s="1" t="s">
        <v>115</v>
      </c>
      <c r="AL930">
        <v>0</v>
      </c>
    </row>
    <row r="931" spans="1:38" x14ac:dyDescent="0.35">
      <c r="A931" t="s">
        <v>1140</v>
      </c>
      <c r="B931" t="s">
        <v>39</v>
      </c>
      <c r="C931" t="s">
        <v>66</v>
      </c>
      <c r="D931">
        <v>3.7</v>
      </c>
      <c r="E931" t="s">
        <v>110</v>
      </c>
      <c r="F931">
        <v>33</v>
      </c>
      <c r="G931" t="s">
        <v>68</v>
      </c>
      <c r="H931" t="s">
        <v>55</v>
      </c>
      <c r="I931">
        <v>5</v>
      </c>
      <c r="J931">
        <v>11.7</v>
      </c>
      <c r="K931">
        <v>11</v>
      </c>
      <c r="L931">
        <v>2</v>
      </c>
      <c r="M931">
        <v>12</v>
      </c>
      <c r="N931">
        <v>0</v>
      </c>
      <c r="O931" t="s">
        <v>44</v>
      </c>
      <c r="P931">
        <v>56100</v>
      </c>
      <c r="Q931">
        <v>3.2</v>
      </c>
      <c r="R931">
        <v>3.3</v>
      </c>
      <c r="S931">
        <v>1.1000000000000001</v>
      </c>
      <c r="T931">
        <v>0</v>
      </c>
      <c r="U931">
        <v>4.3</v>
      </c>
      <c r="V931">
        <v>1</v>
      </c>
      <c r="W931">
        <v>3.4</v>
      </c>
      <c r="X931" t="s">
        <v>45</v>
      </c>
      <c r="Y931">
        <v>0</v>
      </c>
      <c r="Z931">
        <v>1</v>
      </c>
      <c r="AA931">
        <v>2.2000000000000002</v>
      </c>
      <c r="AB931">
        <v>1</v>
      </c>
      <c r="AC931" t="s">
        <v>46</v>
      </c>
      <c r="AE931">
        <v>0</v>
      </c>
      <c r="AF931">
        <v>0</v>
      </c>
      <c r="AG931" t="s">
        <v>47</v>
      </c>
      <c r="AH931" t="s">
        <v>76</v>
      </c>
      <c r="AI931" t="s">
        <v>49</v>
      </c>
      <c r="AJ931">
        <v>2.9</v>
      </c>
      <c r="AK931" s="1" t="s">
        <v>127</v>
      </c>
      <c r="AL931">
        <v>0</v>
      </c>
    </row>
    <row r="932" spans="1:38" x14ac:dyDescent="0.35">
      <c r="A932" t="s">
        <v>1141</v>
      </c>
      <c r="B932" t="s">
        <v>98</v>
      </c>
      <c r="C932" t="s">
        <v>148</v>
      </c>
      <c r="D932">
        <v>5.7</v>
      </c>
      <c r="E932" t="s">
        <v>110</v>
      </c>
      <c r="F932">
        <v>27</v>
      </c>
      <c r="G932" t="s">
        <v>54</v>
      </c>
      <c r="H932" t="s">
        <v>55</v>
      </c>
      <c r="I932">
        <v>2</v>
      </c>
      <c r="J932">
        <v>4.8</v>
      </c>
      <c r="K932">
        <v>13</v>
      </c>
      <c r="L932">
        <v>1</v>
      </c>
      <c r="M932">
        <v>12</v>
      </c>
      <c r="N932">
        <v>0</v>
      </c>
      <c r="O932" t="s">
        <v>44</v>
      </c>
      <c r="P932">
        <v>59500</v>
      </c>
      <c r="Q932">
        <v>6.1</v>
      </c>
      <c r="R932">
        <v>4.4000000000000004</v>
      </c>
      <c r="S932">
        <v>1.4</v>
      </c>
      <c r="T932">
        <v>0</v>
      </c>
      <c r="U932">
        <v>3.3</v>
      </c>
      <c r="V932">
        <v>2.9</v>
      </c>
      <c r="W932">
        <v>3.3</v>
      </c>
      <c r="X932" t="s">
        <v>45</v>
      </c>
      <c r="Y932">
        <v>0</v>
      </c>
      <c r="Z932">
        <v>1</v>
      </c>
      <c r="AA932">
        <v>5.7</v>
      </c>
      <c r="AB932">
        <v>0</v>
      </c>
      <c r="AC932" t="s">
        <v>46</v>
      </c>
      <c r="AE932">
        <v>0</v>
      </c>
      <c r="AF932">
        <v>0</v>
      </c>
      <c r="AG932" t="s">
        <v>47</v>
      </c>
      <c r="AH932" t="s">
        <v>83</v>
      </c>
      <c r="AI932" t="s">
        <v>64</v>
      </c>
      <c r="AJ932" s="1" t="s">
        <v>100</v>
      </c>
      <c r="AK932" s="1" t="s">
        <v>84</v>
      </c>
      <c r="AL932">
        <v>0</v>
      </c>
    </row>
    <row r="933" spans="1:38" x14ac:dyDescent="0.35">
      <c r="A933" t="s">
        <v>1142</v>
      </c>
      <c r="B933" t="s">
        <v>98</v>
      </c>
      <c r="C933" t="s">
        <v>151</v>
      </c>
      <c r="D933">
        <v>1.7</v>
      </c>
      <c r="E933" t="s">
        <v>110</v>
      </c>
      <c r="F933">
        <v>27</v>
      </c>
      <c r="G933" t="s">
        <v>42</v>
      </c>
      <c r="H933" t="s">
        <v>69</v>
      </c>
      <c r="I933">
        <v>2</v>
      </c>
      <c r="J933">
        <v>6.8</v>
      </c>
      <c r="K933">
        <v>9</v>
      </c>
      <c r="L933">
        <v>3</v>
      </c>
      <c r="M933">
        <v>12</v>
      </c>
      <c r="N933">
        <v>0</v>
      </c>
      <c r="O933" t="s">
        <v>44</v>
      </c>
      <c r="P933">
        <v>55400</v>
      </c>
      <c r="Q933">
        <v>5.7</v>
      </c>
      <c r="R933">
        <v>2.7</v>
      </c>
      <c r="S933">
        <v>1</v>
      </c>
      <c r="T933">
        <v>0</v>
      </c>
      <c r="U933">
        <v>3.1</v>
      </c>
      <c r="V933">
        <v>2.8</v>
      </c>
      <c r="W933">
        <v>3.3</v>
      </c>
      <c r="X933" t="s">
        <v>89</v>
      </c>
      <c r="Y933">
        <v>0</v>
      </c>
      <c r="Z933">
        <v>1</v>
      </c>
      <c r="AA933">
        <v>1.6</v>
      </c>
      <c r="AB933">
        <v>0</v>
      </c>
      <c r="AC933" t="s">
        <v>46</v>
      </c>
      <c r="AE933">
        <v>0</v>
      </c>
      <c r="AF933">
        <v>0</v>
      </c>
      <c r="AG933" t="s">
        <v>47</v>
      </c>
      <c r="AH933" t="s">
        <v>48</v>
      </c>
      <c r="AI933" t="s">
        <v>64</v>
      </c>
      <c r="AJ933" s="1" t="s">
        <v>159</v>
      </c>
      <c r="AK933" s="1" t="s">
        <v>84</v>
      </c>
      <c r="AL933">
        <v>0</v>
      </c>
    </row>
    <row r="934" spans="1:38" x14ac:dyDescent="0.35">
      <c r="A934" t="s">
        <v>1143</v>
      </c>
      <c r="B934" t="s">
        <v>98</v>
      </c>
      <c r="C934" t="s">
        <v>148</v>
      </c>
      <c r="D934">
        <v>4.4000000000000004</v>
      </c>
      <c r="E934" t="s">
        <v>67</v>
      </c>
      <c r="F934">
        <v>30</v>
      </c>
      <c r="G934" t="s">
        <v>42</v>
      </c>
      <c r="H934" t="s">
        <v>63</v>
      </c>
      <c r="I934">
        <v>3</v>
      </c>
      <c r="J934">
        <v>1</v>
      </c>
      <c r="K934">
        <v>9</v>
      </c>
      <c r="L934">
        <v>0</v>
      </c>
      <c r="M934">
        <v>12</v>
      </c>
      <c r="N934">
        <v>0</v>
      </c>
      <c r="O934" t="s">
        <v>82</v>
      </c>
      <c r="P934">
        <v>34700</v>
      </c>
      <c r="Q934">
        <v>15.6</v>
      </c>
      <c r="R934">
        <v>2.2999999999999998</v>
      </c>
      <c r="S934">
        <v>1.6</v>
      </c>
      <c r="T934">
        <v>0</v>
      </c>
      <c r="U934">
        <v>4.5</v>
      </c>
      <c r="V934">
        <v>4.3</v>
      </c>
      <c r="W934">
        <v>5</v>
      </c>
      <c r="X934" t="s">
        <v>45</v>
      </c>
      <c r="Y934">
        <v>0</v>
      </c>
      <c r="Z934">
        <v>0</v>
      </c>
      <c r="AB934">
        <v>1</v>
      </c>
      <c r="AC934" t="s">
        <v>46</v>
      </c>
      <c r="AE934">
        <v>1</v>
      </c>
      <c r="AF934">
        <v>0</v>
      </c>
      <c r="AG934" t="s">
        <v>75</v>
      </c>
      <c r="AH934" t="s">
        <v>76</v>
      </c>
      <c r="AI934" t="s">
        <v>64</v>
      </c>
      <c r="AJ934" s="1" t="s">
        <v>463</v>
      </c>
      <c r="AK934">
        <v>0.25</v>
      </c>
      <c r="AL934">
        <v>0</v>
      </c>
    </row>
    <row r="935" spans="1:38" x14ac:dyDescent="0.35">
      <c r="A935" t="s">
        <v>1144</v>
      </c>
      <c r="B935" t="s">
        <v>39</v>
      </c>
      <c r="C935" t="s">
        <v>66</v>
      </c>
      <c r="D935">
        <v>11.6</v>
      </c>
      <c r="E935" t="s">
        <v>110</v>
      </c>
      <c r="F935">
        <v>40</v>
      </c>
      <c r="G935" t="s">
        <v>68</v>
      </c>
      <c r="H935" t="s">
        <v>55</v>
      </c>
      <c r="I935">
        <v>3</v>
      </c>
      <c r="J935">
        <v>4.5</v>
      </c>
      <c r="K935">
        <v>9</v>
      </c>
      <c r="L935">
        <v>1</v>
      </c>
      <c r="M935">
        <v>12</v>
      </c>
      <c r="N935">
        <v>0</v>
      </c>
      <c r="O935" t="s">
        <v>44</v>
      </c>
      <c r="P935">
        <v>50800</v>
      </c>
      <c r="Q935">
        <v>14.6</v>
      </c>
      <c r="R935">
        <v>3.4</v>
      </c>
      <c r="S935">
        <v>0</v>
      </c>
      <c r="T935">
        <v>0</v>
      </c>
      <c r="U935">
        <v>2.1</v>
      </c>
      <c r="V935">
        <v>2.4</v>
      </c>
      <c r="W935">
        <v>3</v>
      </c>
      <c r="X935" t="s">
        <v>45</v>
      </c>
      <c r="Y935">
        <v>0</v>
      </c>
      <c r="Z935">
        <v>0</v>
      </c>
      <c r="AB935">
        <v>0</v>
      </c>
      <c r="AC935" t="s">
        <v>46</v>
      </c>
      <c r="AE935">
        <v>1</v>
      </c>
      <c r="AF935">
        <v>0</v>
      </c>
      <c r="AG935" t="s">
        <v>75</v>
      </c>
      <c r="AH935" t="s">
        <v>83</v>
      </c>
      <c r="AI935" t="s">
        <v>64</v>
      </c>
      <c r="AJ935">
        <v>2.5</v>
      </c>
      <c r="AK935">
        <v>0.25</v>
      </c>
      <c r="AL935">
        <v>0</v>
      </c>
    </row>
    <row r="936" spans="1:38" x14ac:dyDescent="0.35">
      <c r="A936" t="s">
        <v>1145</v>
      </c>
      <c r="B936" t="s">
        <v>39</v>
      </c>
      <c r="C936" t="s">
        <v>40</v>
      </c>
      <c r="D936">
        <v>3.5</v>
      </c>
      <c r="E936" t="s">
        <v>41</v>
      </c>
      <c r="F936">
        <v>27</v>
      </c>
      <c r="G936" t="s">
        <v>42</v>
      </c>
      <c r="H936" t="s">
        <v>55</v>
      </c>
      <c r="I936">
        <v>2</v>
      </c>
      <c r="J936">
        <v>13.1</v>
      </c>
      <c r="K936">
        <v>11</v>
      </c>
      <c r="L936">
        <v>0</v>
      </c>
      <c r="M936">
        <v>12</v>
      </c>
      <c r="N936">
        <v>0</v>
      </c>
      <c r="O936" t="s">
        <v>44</v>
      </c>
      <c r="P936">
        <v>71100</v>
      </c>
      <c r="Q936">
        <v>4.3</v>
      </c>
      <c r="R936">
        <v>3.6</v>
      </c>
      <c r="S936">
        <v>0.7</v>
      </c>
      <c r="T936">
        <v>0</v>
      </c>
      <c r="U936">
        <v>4.5999999999999996</v>
      </c>
      <c r="V936">
        <v>3.7</v>
      </c>
      <c r="W936">
        <v>2.5</v>
      </c>
      <c r="X936" t="s">
        <v>45</v>
      </c>
      <c r="Y936">
        <v>0</v>
      </c>
      <c r="Z936">
        <v>0</v>
      </c>
      <c r="AB936">
        <v>0</v>
      </c>
      <c r="AC936" t="s">
        <v>46</v>
      </c>
      <c r="AE936">
        <v>1</v>
      </c>
      <c r="AF936">
        <v>0</v>
      </c>
      <c r="AG936" t="s">
        <v>75</v>
      </c>
      <c r="AH936" t="s">
        <v>76</v>
      </c>
      <c r="AI936" t="s">
        <v>49</v>
      </c>
      <c r="AJ936">
        <v>3.6</v>
      </c>
      <c r="AK936" s="1" t="s">
        <v>84</v>
      </c>
      <c r="AL936">
        <v>0</v>
      </c>
    </row>
    <row r="937" spans="1:38" x14ac:dyDescent="0.35">
      <c r="A937" t="s">
        <v>1146</v>
      </c>
      <c r="B937" t="s">
        <v>73</v>
      </c>
      <c r="C937" t="s">
        <v>177</v>
      </c>
      <c r="D937">
        <v>3.7</v>
      </c>
      <c r="E937" t="s">
        <v>67</v>
      </c>
      <c r="F937">
        <v>27</v>
      </c>
      <c r="G937" t="s">
        <v>68</v>
      </c>
      <c r="H937" t="s">
        <v>94</v>
      </c>
      <c r="I937">
        <v>2</v>
      </c>
      <c r="J937">
        <v>11.7</v>
      </c>
      <c r="K937">
        <v>4</v>
      </c>
      <c r="L937">
        <v>2</v>
      </c>
      <c r="M937">
        <v>12</v>
      </c>
      <c r="N937">
        <v>0</v>
      </c>
      <c r="O937" t="s">
        <v>70</v>
      </c>
      <c r="P937">
        <v>38000</v>
      </c>
      <c r="Q937">
        <v>2.2000000000000002</v>
      </c>
      <c r="R937">
        <v>3.6</v>
      </c>
      <c r="S937">
        <v>1.2</v>
      </c>
      <c r="T937">
        <v>0</v>
      </c>
      <c r="U937">
        <v>2.7</v>
      </c>
      <c r="V937">
        <v>3.1</v>
      </c>
      <c r="W937">
        <v>3.1</v>
      </c>
      <c r="X937" t="s">
        <v>45</v>
      </c>
      <c r="Y937">
        <v>0</v>
      </c>
      <c r="Z937">
        <v>0</v>
      </c>
      <c r="AB937">
        <v>0</v>
      </c>
      <c r="AC937" t="s">
        <v>46</v>
      </c>
      <c r="AE937">
        <v>1</v>
      </c>
      <c r="AF937">
        <v>0</v>
      </c>
      <c r="AG937" t="s">
        <v>75</v>
      </c>
      <c r="AH937" t="s">
        <v>76</v>
      </c>
      <c r="AI937" t="s">
        <v>49</v>
      </c>
      <c r="AJ937" s="1" t="s">
        <v>268</v>
      </c>
      <c r="AK937" s="1" t="s">
        <v>84</v>
      </c>
      <c r="AL937">
        <v>0</v>
      </c>
    </row>
    <row r="938" spans="1:38" x14ac:dyDescent="0.35">
      <c r="A938" t="s">
        <v>1147</v>
      </c>
      <c r="B938" t="s">
        <v>60</v>
      </c>
      <c r="C938" t="s">
        <v>107</v>
      </c>
      <c r="D938">
        <v>0.9</v>
      </c>
      <c r="E938" t="s">
        <v>110</v>
      </c>
      <c r="F938">
        <v>27</v>
      </c>
      <c r="G938" t="s">
        <v>42</v>
      </c>
      <c r="H938" t="s">
        <v>94</v>
      </c>
      <c r="I938">
        <v>3</v>
      </c>
      <c r="J938">
        <v>5.6</v>
      </c>
      <c r="K938">
        <v>9</v>
      </c>
      <c r="L938">
        <v>1</v>
      </c>
      <c r="M938">
        <v>12</v>
      </c>
      <c r="N938">
        <v>0</v>
      </c>
      <c r="O938" t="s">
        <v>44</v>
      </c>
      <c r="P938">
        <v>53700</v>
      </c>
      <c r="Q938">
        <v>11.1</v>
      </c>
      <c r="R938">
        <v>3.9</v>
      </c>
      <c r="S938">
        <v>2.1</v>
      </c>
      <c r="T938">
        <v>0</v>
      </c>
      <c r="U938">
        <v>3.4</v>
      </c>
      <c r="V938">
        <v>1.9</v>
      </c>
      <c r="W938">
        <v>3</v>
      </c>
      <c r="X938" t="s">
        <v>45</v>
      </c>
      <c r="Y938">
        <v>0</v>
      </c>
      <c r="Z938">
        <v>0</v>
      </c>
      <c r="AB938">
        <v>0</v>
      </c>
      <c r="AC938" t="s">
        <v>46</v>
      </c>
      <c r="AE938">
        <v>1</v>
      </c>
      <c r="AF938">
        <v>0</v>
      </c>
      <c r="AG938" t="s">
        <v>75</v>
      </c>
      <c r="AH938" t="s">
        <v>95</v>
      </c>
      <c r="AI938" t="s">
        <v>64</v>
      </c>
      <c r="AJ938" s="1" t="s">
        <v>170</v>
      </c>
      <c r="AK938">
        <v>0.25</v>
      </c>
      <c r="AL938">
        <v>0</v>
      </c>
    </row>
    <row r="939" spans="1:38" x14ac:dyDescent="0.35">
      <c r="A939" t="s">
        <v>1148</v>
      </c>
      <c r="B939" t="s">
        <v>73</v>
      </c>
      <c r="C939" t="s">
        <v>121</v>
      </c>
      <c r="D939">
        <v>1.5</v>
      </c>
      <c r="E939" t="s">
        <v>67</v>
      </c>
      <c r="F939">
        <v>32</v>
      </c>
      <c r="G939" t="s">
        <v>42</v>
      </c>
      <c r="H939" t="s">
        <v>63</v>
      </c>
      <c r="I939">
        <v>5</v>
      </c>
      <c r="J939">
        <v>9</v>
      </c>
      <c r="K939">
        <v>8</v>
      </c>
      <c r="L939">
        <v>2</v>
      </c>
      <c r="M939">
        <v>12</v>
      </c>
      <c r="N939">
        <v>0</v>
      </c>
      <c r="O939" t="s">
        <v>70</v>
      </c>
      <c r="P939">
        <v>37400</v>
      </c>
      <c r="Q939">
        <v>10.199999999999999</v>
      </c>
      <c r="R939">
        <v>2.5</v>
      </c>
      <c r="S939">
        <v>0</v>
      </c>
      <c r="T939">
        <v>0</v>
      </c>
      <c r="U939">
        <v>3.5</v>
      </c>
      <c r="V939">
        <v>2.7</v>
      </c>
      <c r="W939">
        <v>4.4000000000000004</v>
      </c>
      <c r="X939" t="s">
        <v>45</v>
      </c>
      <c r="Y939">
        <v>0</v>
      </c>
      <c r="Z939">
        <v>0</v>
      </c>
      <c r="AB939">
        <v>1</v>
      </c>
      <c r="AC939" t="s">
        <v>46</v>
      </c>
      <c r="AE939">
        <v>1</v>
      </c>
      <c r="AF939">
        <v>0</v>
      </c>
      <c r="AG939" t="s">
        <v>75</v>
      </c>
      <c r="AH939" t="s">
        <v>48</v>
      </c>
      <c r="AI939" t="s">
        <v>64</v>
      </c>
      <c r="AJ939" s="1" t="s">
        <v>149</v>
      </c>
      <c r="AK939" s="1" t="s">
        <v>127</v>
      </c>
      <c r="AL939">
        <v>0</v>
      </c>
    </row>
    <row r="940" spans="1:38" x14ac:dyDescent="0.35">
      <c r="A940" t="s">
        <v>1149</v>
      </c>
      <c r="B940" t="s">
        <v>60</v>
      </c>
      <c r="C940" t="s">
        <v>107</v>
      </c>
      <c r="D940">
        <v>2</v>
      </c>
      <c r="E940" t="s">
        <v>67</v>
      </c>
      <c r="F940">
        <v>37</v>
      </c>
      <c r="G940" t="s">
        <v>42</v>
      </c>
      <c r="H940" t="s">
        <v>55</v>
      </c>
      <c r="I940">
        <v>3</v>
      </c>
      <c r="J940">
        <v>10.3</v>
      </c>
      <c r="K940">
        <v>8</v>
      </c>
      <c r="L940">
        <v>2</v>
      </c>
      <c r="M940">
        <v>12</v>
      </c>
      <c r="N940">
        <v>0</v>
      </c>
      <c r="O940" t="s">
        <v>82</v>
      </c>
      <c r="P940">
        <v>30200</v>
      </c>
      <c r="Q940">
        <v>13</v>
      </c>
      <c r="R940">
        <v>1.9</v>
      </c>
      <c r="S940">
        <v>3.1</v>
      </c>
      <c r="T940">
        <v>0</v>
      </c>
      <c r="U940">
        <v>2.9</v>
      </c>
      <c r="V940">
        <v>4.5999999999999996</v>
      </c>
      <c r="W940">
        <v>2.2999999999999998</v>
      </c>
      <c r="X940" t="s">
        <v>89</v>
      </c>
      <c r="Y940">
        <v>0</v>
      </c>
      <c r="Z940">
        <v>0</v>
      </c>
      <c r="AB940">
        <v>0</v>
      </c>
      <c r="AC940" t="s">
        <v>46</v>
      </c>
      <c r="AE940">
        <v>1</v>
      </c>
      <c r="AF940">
        <v>0</v>
      </c>
      <c r="AG940" t="s">
        <v>75</v>
      </c>
      <c r="AH940" t="s">
        <v>48</v>
      </c>
      <c r="AI940" t="s">
        <v>49</v>
      </c>
      <c r="AJ940" s="1" t="s">
        <v>235</v>
      </c>
      <c r="AK940">
        <v>0.25</v>
      </c>
      <c r="AL940">
        <v>0</v>
      </c>
    </row>
    <row r="941" spans="1:38" x14ac:dyDescent="0.35">
      <c r="A941" t="s">
        <v>1150</v>
      </c>
      <c r="B941" t="s">
        <v>73</v>
      </c>
      <c r="C941" t="s">
        <v>177</v>
      </c>
      <c r="D941">
        <v>5.6</v>
      </c>
      <c r="E941" t="s">
        <v>81</v>
      </c>
      <c r="F941">
        <v>26</v>
      </c>
      <c r="G941" t="s">
        <v>54</v>
      </c>
      <c r="H941" t="s">
        <v>55</v>
      </c>
      <c r="I941">
        <v>6</v>
      </c>
      <c r="J941">
        <v>5.9</v>
      </c>
      <c r="K941">
        <v>12</v>
      </c>
      <c r="L941">
        <v>5</v>
      </c>
      <c r="M941">
        <v>12</v>
      </c>
      <c r="N941">
        <v>0</v>
      </c>
      <c r="O941" t="s">
        <v>82</v>
      </c>
      <c r="P941">
        <v>22000</v>
      </c>
      <c r="Q941">
        <v>3.8</v>
      </c>
      <c r="R941">
        <v>2.7</v>
      </c>
      <c r="S941">
        <v>1.3</v>
      </c>
      <c r="T941">
        <v>0</v>
      </c>
      <c r="U941">
        <v>2.6</v>
      </c>
      <c r="V941">
        <v>3</v>
      </c>
      <c r="W941">
        <v>3</v>
      </c>
      <c r="X941" t="s">
        <v>45</v>
      </c>
      <c r="Y941">
        <v>0</v>
      </c>
      <c r="Z941">
        <v>0</v>
      </c>
      <c r="AB941">
        <v>1</v>
      </c>
      <c r="AC941" t="s">
        <v>46</v>
      </c>
      <c r="AE941">
        <v>1</v>
      </c>
      <c r="AF941">
        <v>0</v>
      </c>
      <c r="AG941" t="s">
        <v>75</v>
      </c>
      <c r="AH941" t="s">
        <v>83</v>
      </c>
      <c r="AI941" t="s">
        <v>64</v>
      </c>
      <c r="AJ941" s="1" t="s">
        <v>182</v>
      </c>
      <c r="AK941">
        <v>0.5</v>
      </c>
      <c r="AL941">
        <v>0</v>
      </c>
    </row>
    <row r="942" spans="1:38" x14ac:dyDescent="0.35">
      <c r="A942" t="s">
        <v>1151</v>
      </c>
      <c r="B942" t="s">
        <v>98</v>
      </c>
      <c r="C942" t="s">
        <v>151</v>
      </c>
      <c r="D942">
        <v>1.8</v>
      </c>
      <c r="E942" t="s">
        <v>110</v>
      </c>
      <c r="F942">
        <v>29</v>
      </c>
      <c r="G942" t="s">
        <v>68</v>
      </c>
      <c r="H942" t="s">
        <v>43</v>
      </c>
      <c r="I942">
        <v>2</v>
      </c>
      <c r="J942">
        <v>14.2</v>
      </c>
      <c r="K942">
        <v>7</v>
      </c>
      <c r="L942">
        <v>4</v>
      </c>
      <c r="M942">
        <v>12</v>
      </c>
      <c r="N942">
        <v>0</v>
      </c>
      <c r="O942" t="s">
        <v>44</v>
      </c>
      <c r="P942">
        <v>56600</v>
      </c>
      <c r="Q942">
        <v>10.9</v>
      </c>
      <c r="R942">
        <v>3.7</v>
      </c>
      <c r="S942">
        <v>2.9</v>
      </c>
      <c r="T942">
        <v>0</v>
      </c>
      <c r="U942">
        <v>3</v>
      </c>
      <c r="V942">
        <v>4</v>
      </c>
      <c r="W942">
        <v>3.6</v>
      </c>
      <c r="X942" t="s">
        <v>45</v>
      </c>
      <c r="Y942">
        <v>0</v>
      </c>
      <c r="Z942">
        <v>1</v>
      </c>
      <c r="AA942">
        <v>0.1</v>
      </c>
      <c r="AB942">
        <v>0</v>
      </c>
      <c r="AC942" t="s">
        <v>46</v>
      </c>
      <c r="AE942">
        <v>0</v>
      </c>
      <c r="AF942">
        <v>0</v>
      </c>
      <c r="AG942" t="s">
        <v>47</v>
      </c>
      <c r="AH942" t="s">
        <v>48</v>
      </c>
      <c r="AI942" t="s">
        <v>49</v>
      </c>
      <c r="AJ942" s="1" t="s">
        <v>122</v>
      </c>
      <c r="AK942" s="1" t="s">
        <v>84</v>
      </c>
      <c r="AL942">
        <v>0</v>
      </c>
    </row>
    <row r="943" spans="1:38" x14ac:dyDescent="0.35">
      <c r="A943" t="s">
        <v>1152</v>
      </c>
      <c r="B943" t="s">
        <v>60</v>
      </c>
      <c r="C943" t="s">
        <v>107</v>
      </c>
      <c r="D943">
        <v>0.6</v>
      </c>
      <c r="E943" t="s">
        <v>41</v>
      </c>
      <c r="F943">
        <v>22</v>
      </c>
      <c r="G943" t="s">
        <v>42</v>
      </c>
      <c r="H943" t="s">
        <v>55</v>
      </c>
      <c r="I943">
        <v>2</v>
      </c>
      <c r="J943">
        <v>11.6</v>
      </c>
      <c r="K943">
        <v>7</v>
      </c>
      <c r="L943">
        <v>3</v>
      </c>
      <c r="M943">
        <v>12</v>
      </c>
      <c r="N943">
        <v>0</v>
      </c>
      <c r="O943" t="s">
        <v>44</v>
      </c>
      <c r="P943">
        <v>64400</v>
      </c>
      <c r="Q943">
        <v>5.0999999999999996</v>
      </c>
      <c r="R943">
        <v>2.4</v>
      </c>
      <c r="S943">
        <v>1.8</v>
      </c>
      <c r="T943">
        <v>0</v>
      </c>
      <c r="U943">
        <v>2.4</v>
      </c>
      <c r="V943">
        <v>4</v>
      </c>
      <c r="W943">
        <v>4.4000000000000004</v>
      </c>
      <c r="X943" t="s">
        <v>89</v>
      </c>
      <c r="Y943">
        <v>0</v>
      </c>
      <c r="Z943">
        <v>0</v>
      </c>
      <c r="AB943">
        <v>0</v>
      </c>
      <c r="AC943" t="s">
        <v>46</v>
      </c>
      <c r="AE943">
        <v>1</v>
      </c>
      <c r="AF943">
        <v>0</v>
      </c>
      <c r="AG943" t="s">
        <v>75</v>
      </c>
      <c r="AH943" t="s">
        <v>95</v>
      </c>
      <c r="AI943" t="s">
        <v>49</v>
      </c>
      <c r="AJ943">
        <v>3.6</v>
      </c>
      <c r="AK943" s="1" t="s">
        <v>84</v>
      </c>
      <c r="AL943">
        <v>0</v>
      </c>
    </row>
    <row r="944" spans="1:38" x14ac:dyDescent="0.35">
      <c r="A944" t="s">
        <v>1153</v>
      </c>
      <c r="B944" t="s">
        <v>73</v>
      </c>
      <c r="C944" t="s">
        <v>74</v>
      </c>
      <c r="D944">
        <v>4.9000000000000004</v>
      </c>
      <c r="E944" t="s">
        <v>81</v>
      </c>
      <c r="F944">
        <v>35</v>
      </c>
      <c r="G944" t="s">
        <v>68</v>
      </c>
      <c r="H944" t="s">
        <v>94</v>
      </c>
      <c r="I944">
        <v>3</v>
      </c>
      <c r="J944">
        <v>7</v>
      </c>
      <c r="K944">
        <v>12</v>
      </c>
      <c r="L944">
        <v>2</v>
      </c>
      <c r="M944">
        <v>12</v>
      </c>
      <c r="N944">
        <v>0</v>
      </c>
      <c r="O944" t="s">
        <v>82</v>
      </c>
      <c r="P944">
        <v>28400</v>
      </c>
      <c r="Q944">
        <v>10.5</v>
      </c>
      <c r="R944">
        <v>1.5</v>
      </c>
      <c r="S944">
        <v>3.8</v>
      </c>
      <c r="T944">
        <v>0</v>
      </c>
      <c r="U944">
        <v>5</v>
      </c>
      <c r="V944">
        <v>2.8</v>
      </c>
      <c r="W944">
        <v>4</v>
      </c>
      <c r="X944" t="s">
        <v>45</v>
      </c>
      <c r="Y944">
        <v>0</v>
      </c>
      <c r="Z944">
        <v>0</v>
      </c>
      <c r="AB944">
        <v>0</v>
      </c>
      <c r="AC944" t="s">
        <v>46</v>
      </c>
      <c r="AE944">
        <v>1</v>
      </c>
      <c r="AF944">
        <v>0</v>
      </c>
      <c r="AG944" t="s">
        <v>75</v>
      </c>
      <c r="AH944" t="s">
        <v>76</v>
      </c>
      <c r="AI944" t="s">
        <v>64</v>
      </c>
      <c r="AJ944" s="1" t="s">
        <v>219</v>
      </c>
      <c r="AK944">
        <v>0.25</v>
      </c>
      <c r="AL944">
        <v>0</v>
      </c>
    </row>
    <row r="945" spans="1:38" x14ac:dyDescent="0.35">
      <c r="A945" t="s">
        <v>1154</v>
      </c>
      <c r="B945" t="s">
        <v>98</v>
      </c>
      <c r="C945" t="s">
        <v>148</v>
      </c>
      <c r="D945">
        <v>2.1</v>
      </c>
      <c r="E945" t="s">
        <v>67</v>
      </c>
      <c r="F945">
        <v>24</v>
      </c>
      <c r="G945" t="s">
        <v>42</v>
      </c>
      <c r="H945" t="s">
        <v>55</v>
      </c>
      <c r="I945">
        <v>3</v>
      </c>
      <c r="J945">
        <v>2.9</v>
      </c>
      <c r="K945">
        <v>11</v>
      </c>
      <c r="L945">
        <v>7</v>
      </c>
      <c r="M945">
        <v>12</v>
      </c>
      <c r="N945">
        <v>0</v>
      </c>
      <c r="O945" t="s">
        <v>70</v>
      </c>
      <c r="P945">
        <v>35500</v>
      </c>
      <c r="Q945">
        <v>7.9</v>
      </c>
      <c r="R945">
        <v>3.3</v>
      </c>
      <c r="S945">
        <v>1.9</v>
      </c>
      <c r="T945">
        <v>0</v>
      </c>
      <c r="U945">
        <v>2.9</v>
      </c>
      <c r="V945">
        <v>2</v>
      </c>
      <c r="W945">
        <v>4.7</v>
      </c>
      <c r="X945" t="s">
        <v>45</v>
      </c>
      <c r="Y945">
        <v>0</v>
      </c>
      <c r="Z945">
        <v>0</v>
      </c>
      <c r="AB945">
        <v>1</v>
      </c>
      <c r="AC945" t="s">
        <v>46</v>
      </c>
      <c r="AE945">
        <v>1</v>
      </c>
      <c r="AF945">
        <v>0</v>
      </c>
      <c r="AG945" t="s">
        <v>75</v>
      </c>
      <c r="AH945" t="s">
        <v>48</v>
      </c>
      <c r="AI945" t="s">
        <v>64</v>
      </c>
      <c r="AJ945" s="1" t="s">
        <v>249</v>
      </c>
      <c r="AK945">
        <v>0.25</v>
      </c>
      <c r="AL945">
        <v>0</v>
      </c>
    </row>
    <row r="946" spans="1:38" x14ac:dyDescent="0.35">
      <c r="A946" t="s">
        <v>1155</v>
      </c>
      <c r="B946" t="s">
        <v>52</v>
      </c>
      <c r="C946" t="s">
        <v>153</v>
      </c>
      <c r="D946">
        <v>0.9</v>
      </c>
      <c r="E946" t="s">
        <v>81</v>
      </c>
      <c r="F946">
        <v>24</v>
      </c>
      <c r="G946" t="s">
        <v>42</v>
      </c>
      <c r="H946" t="s">
        <v>69</v>
      </c>
      <c r="I946">
        <v>4</v>
      </c>
      <c r="J946">
        <v>6.5</v>
      </c>
      <c r="K946">
        <v>7</v>
      </c>
      <c r="L946">
        <v>3</v>
      </c>
      <c r="M946">
        <v>12</v>
      </c>
      <c r="N946">
        <v>0</v>
      </c>
      <c r="O946" t="s">
        <v>82</v>
      </c>
      <c r="P946">
        <v>24900</v>
      </c>
      <c r="Q946">
        <v>15.6</v>
      </c>
      <c r="R946">
        <v>2.7</v>
      </c>
      <c r="S946">
        <v>0.2</v>
      </c>
      <c r="T946">
        <v>0</v>
      </c>
      <c r="U946">
        <v>4.3</v>
      </c>
      <c r="V946">
        <v>2.2000000000000002</v>
      </c>
      <c r="W946">
        <v>3.7</v>
      </c>
      <c r="X946" t="s">
        <v>45</v>
      </c>
      <c r="Y946">
        <v>0</v>
      </c>
      <c r="Z946">
        <v>2</v>
      </c>
      <c r="AA946">
        <v>0.8</v>
      </c>
      <c r="AB946">
        <v>1</v>
      </c>
      <c r="AC946" t="s">
        <v>46</v>
      </c>
      <c r="AE946">
        <v>0</v>
      </c>
      <c r="AF946">
        <v>0</v>
      </c>
      <c r="AG946" t="s">
        <v>47</v>
      </c>
      <c r="AH946" t="s">
        <v>95</v>
      </c>
      <c r="AI946" t="s">
        <v>64</v>
      </c>
      <c r="AJ946">
        <v>3.4</v>
      </c>
      <c r="AK946" s="1" t="s">
        <v>115</v>
      </c>
      <c r="AL946">
        <v>0</v>
      </c>
    </row>
    <row r="947" spans="1:38" x14ac:dyDescent="0.35">
      <c r="A947" t="s">
        <v>1156</v>
      </c>
      <c r="B947" t="s">
        <v>98</v>
      </c>
      <c r="C947" t="s">
        <v>148</v>
      </c>
      <c r="D947">
        <v>6</v>
      </c>
      <c r="E947" t="s">
        <v>81</v>
      </c>
      <c r="F947">
        <v>30</v>
      </c>
      <c r="G947" t="s">
        <v>42</v>
      </c>
      <c r="H947" t="s">
        <v>63</v>
      </c>
      <c r="I947">
        <v>3</v>
      </c>
      <c r="J947">
        <v>6.2</v>
      </c>
      <c r="K947">
        <v>14</v>
      </c>
      <c r="L947">
        <v>2</v>
      </c>
      <c r="M947">
        <v>12</v>
      </c>
      <c r="N947">
        <v>0</v>
      </c>
      <c r="O947" t="s">
        <v>82</v>
      </c>
      <c r="P947">
        <v>26300</v>
      </c>
      <c r="Q947">
        <v>9.8000000000000007</v>
      </c>
      <c r="R947">
        <v>1.6</v>
      </c>
      <c r="S947">
        <v>2.2000000000000002</v>
      </c>
      <c r="T947">
        <v>0</v>
      </c>
      <c r="U947">
        <v>4.2</v>
      </c>
      <c r="V947">
        <v>4.5</v>
      </c>
      <c r="W947">
        <v>3.2</v>
      </c>
      <c r="X947" t="s">
        <v>45</v>
      </c>
      <c r="Y947">
        <v>0</v>
      </c>
      <c r="Z947">
        <v>0</v>
      </c>
      <c r="AB947">
        <v>0</v>
      </c>
      <c r="AC947" t="s">
        <v>46</v>
      </c>
      <c r="AE947">
        <v>1</v>
      </c>
      <c r="AF947">
        <v>0</v>
      </c>
      <c r="AG947" t="s">
        <v>75</v>
      </c>
      <c r="AH947" t="s">
        <v>83</v>
      </c>
      <c r="AI947" t="s">
        <v>64</v>
      </c>
      <c r="AJ947" s="1" t="s">
        <v>402</v>
      </c>
      <c r="AK947">
        <v>0.25</v>
      </c>
      <c r="AL947">
        <v>0</v>
      </c>
    </row>
    <row r="948" spans="1:38" x14ac:dyDescent="0.35">
      <c r="A948" t="s">
        <v>1157</v>
      </c>
      <c r="B948" t="s">
        <v>39</v>
      </c>
      <c r="C948" t="s">
        <v>66</v>
      </c>
      <c r="D948">
        <v>2.8</v>
      </c>
      <c r="E948" t="s">
        <v>62</v>
      </c>
      <c r="F948">
        <v>28</v>
      </c>
      <c r="G948" t="s">
        <v>68</v>
      </c>
      <c r="H948" t="s">
        <v>63</v>
      </c>
      <c r="I948">
        <v>1</v>
      </c>
      <c r="J948">
        <v>5.6</v>
      </c>
      <c r="K948">
        <v>8</v>
      </c>
      <c r="L948">
        <v>1</v>
      </c>
      <c r="M948">
        <v>12</v>
      </c>
      <c r="N948">
        <v>0</v>
      </c>
      <c r="O948" t="s">
        <v>56</v>
      </c>
      <c r="P948">
        <v>107900</v>
      </c>
      <c r="Q948">
        <v>6.7</v>
      </c>
      <c r="R948">
        <v>3.3</v>
      </c>
      <c r="S948">
        <v>1.5</v>
      </c>
      <c r="T948">
        <v>0</v>
      </c>
      <c r="U948">
        <v>3.6</v>
      </c>
      <c r="V948">
        <v>3.3</v>
      </c>
      <c r="W948">
        <v>4.0999999999999996</v>
      </c>
      <c r="X948" t="s">
        <v>89</v>
      </c>
      <c r="Y948">
        <v>0</v>
      </c>
      <c r="Z948">
        <v>0</v>
      </c>
      <c r="AB948">
        <v>0</v>
      </c>
      <c r="AC948" t="s">
        <v>46</v>
      </c>
      <c r="AE948">
        <v>1</v>
      </c>
      <c r="AF948">
        <v>0</v>
      </c>
      <c r="AG948" t="s">
        <v>75</v>
      </c>
      <c r="AH948" t="s">
        <v>48</v>
      </c>
      <c r="AI948" t="s">
        <v>64</v>
      </c>
      <c r="AJ948" s="1" t="s">
        <v>266</v>
      </c>
      <c r="AK948">
        <v>8.3333333333333301E-2</v>
      </c>
      <c r="AL948">
        <v>0</v>
      </c>
    </row>
    <row r="949" spans="1:38" x14ac:dyDescent="0.35">
      <c r="A949" t="s">
        <v>1158</v>
      </c>
      <c r="B949" t="s">
        <v>60</v>
      </c>
      <c r="C949" t="s">
        <v>1126</v>
      </c>
      <c r="D949">
        <v>5.3</v>
      </c>
      <c r="E949" t="s">
        <v>67</v>
      </c>
      <c r="F949">
        <v>33</v>
      </c>
      <c r="G949" t="s">
        <v>68</v>
      </c>
      <c r="H949" t="s">
        <v>69</v>
      </c>
      <c r="I949">
        <v>4</v>
      </c>
      <c r="J949">
        <v>1.8</v>
      </c>
      <c r="K949">
        <v>9</v>
      </c>
      <c r="L949">
        <v>0</v>
      </c>
      <c r="M949">
        <v>12</v>
      </c>
      <c r="N949">
        <v>0</v>
      </c>
      <c r="O949" t="s">
        <v>70</v>
      </c>
      <c r="P949">
        <v>38700</v>
      </c>
      <c r="Q949">
        <v>8.6</v>
      </c>
      <c r="R949">
        <v>2.9</v>
      </c>
      <c r="S949">
        <v>0.7</v>
      </c>
      <c r="T949">
        <v>0</v>
      </c>
      <c r="U949">
        <v>3.2</v>
      </c>
      <c r="V949">
        <v>1.6</v>
      </c>
      <c r="W949">
        <v>2.2999999999999998</v>
      </c>
      <c r="X949" t="s">
        <v>45</v>
      </c>
      <c r="Y949">
        <v>0</v>
      </c>
      <c r="Z949">
        <v>0</v>
      </c>
      <c r="AB949">
        <v>0</v>
      </c>
      <c r="AC949" t="s">
        <v>46</v>
      </c>
      <c r="AE949">
        <v>1</v>
      </c>
      <c r="AF949">
        <v>0</v>
      </c>
      <c r="AG949" t="s">
        <v>75</v>
      </c>
      <c r="AH949" t="s">
        <v>83</v>
      </c>
      <c r="AI949" t="s">
        <v>64</v>
      </c>
      <c r="AJ949" s="1" t="s">
        <v>263</v>
      </c>
      <c r="AK949" s="1" t="s">
        <v>115</v>
      </c>
      <c r="AL949">
        <v>0</v>
      </c>
    </row>
    <row r="950" spans="1:38" x14ac:dyDescent="0.35">
      <c r="A950" t="s">
        <v>1159</v>
      </c>
      <c r="B950" t="s">
        <v>60</v>
      </c>
      <c r="C950" t="s">
        <v>61</v>
      </c>
      <c r="D950">
        <v>0.9</v>
      </c>
      <c r="E950" t="s">
        <v>67</v>
      </c>
      <c r="F950">
        <v>29</v>
      </c>
      <c r="G950" t="s">
        <v>42</v>
      </c>
      <c r="H950" t="s">
        <v>63</v>
      </c>
      <c r="I950">
        <v>2</v>
      </c>
      <c r="J950">
        <v>26.3</v>
      </c>
      <c r="K950">
        <v>16</v>
      </c>
      <c r="L950">
        <v>3</v>
      </c>
      <c r="M950">
        <v>12</v>
      </c>
      <c r="N950">
        <v>0</v>
      </c>
      <c r="O950" t="s">
        <v>70</v>
      </c>
      <c r="P950">
        <v>40900</v>
      </c>
      <c r="Q950">
        <v>7.6</v>
      </c>
      <c r="R950">
        <v>4.7</v>
      </c>
      <c r="S950">
        <v>1.5</v>
      </c>
      <c r="T950">
        <v>0</v>
      </c>
      <c r="U950">
        <v>3.5</v>
      </c>
      <c r="V950">
        <v>4</v>
      </c>
      <c r="W950">
        <v>2</v>
      </c>
      <c r="X950" t="s">
        <v>45</v>
      </c>
      <c r="Y950">
        <v>0</v>
      </c>
      <c r="Z950">
        <v>2</v>
      </c>
      <c r="AA950">
        <v>0.6</v>
      </c>
      <c r="AB950">
        <v>0</v>
      </c>
      <c r="AC950" t="s">
        <v>46</v>
      </c>
      <c r="AE950">
        <v>0</v>
      </c>
      <c r="AF950">
        <v>0</v>
      </c>
      <c r="AG950" t="s">
        <v>47</v>
      </c>
      <c r="AH950" t="s">
        <v>95</v>
      </c>
      <c r="AI950" t="s">
        <v>57</v>
      </c>
      <c r="AJ950" s="1" t="s">
        <v>100</v>
      </c>
      <c r="AK950" s="1" t="s">
        <v>84</v>
      </c>
      <c r="AL950">
        <v>0</v>
      </c>
    </row>
    <row r="951" spans="1:38" x14ac:dyDescent="0.35">
      <c r="A951" t="s">
        <v>1160</v>
      </c>
      <c r="B951" t="s">
        <v>98</v>
      </c>
      <c r="C951" t="s">
        <v>99</v>
      </c>
      <c r="D951">
        <v>0.4</v>
      </c>
      <c r="E951" t="s">
        <v>67</v>
      </c>
      <c r="F951">
        <v>26</v>
      </c>
      <c r="G951" t="s">
        <v>42</v>
      </c>
      <c r="H951" t="s">
        <v>55</v>
      </c>
      <c r="I951">
        <v>3</v>
      </c>
      <c r="J951">
        <v>25.4</v>
      </c>
      <c r="K951">
        <v>11</v>
      </c>
      <c r="L951">
        <v>1</v>
      </c>
      <c r="M951">
        <v>12</v>
      </c>
      <c r="N951">
        <v>0</v>
      </c>
      <c r="O951" t="s">
        <v>70</v>
      </c>
      <c r="P951">
        <v>41500</v>
      </c>
      <c r="Q951">
        <v>3.4</v>
      </c>
      <c r="R951">
        <v>3.3</v>
      </c>
      <c r="S951">
        <v>1.9</v>
      </c>
      <c r="T951">
        <v>0</v>
      </c>
      <c r="U951">
        <v>3.8</v>
      </c>
      <c r="V951">
        <v>1.6</v>
      </c>
      <c r="W951">
        <v>3.4</v>
      </c>
      <c r="X951" t="s">
        <v>45</v>
      </c>
      <c r="Y951">
        <v>1</v>
      </c>
      <c r="Z951">
        <v>2</v>
      </c>
      <c r="AA951">
        <v>0</v>
      </c>
      <c r="AB951">
        <v>0</v>
      </c>
      <c r="AC951" t="s">
        <v>46</v>
      </c>
      <c r="AE951">
        <v>0</v>
      </c>
      <c r="AF951">
        <v>0</v>
      </c>
      <c r="AG951" t="s">
        <v>47</v>
      </c>
      <c r="AH951" t="s">
        <v>95</v>
      </c>
      <c r="AI951" t="s">
        <v>57</v>
      </c>
      <c r="AJ951" s="1" t="s">
        <v>141</v>
      </c>
      <c r="AK951">
        <v>0.25</v>
      </c>
      <c r="AL951">
        <v>0</v>
      </c>
    </row>
    <row r="952" spans="1:38" x14ac:dyDescent="0.35">
      <c r="A952" t="s">
        <v>1161</v>
      </c>
      <c r="B952" t="s">
        <v>117</v>
      </c>
      <c r="C952" t="s">
        <v>197</v>
      </c>
      <c r="D952">
        <v>4.0999999999999996</v>
      </c>
      <c r="E952" t="s">
        <v>62</v>
      </c>
      <c r="F952">
        <v>25</v>
      </c>
      <c r="G952" t="s">
        <v>42</v>
      </c>
      <c r="H952" t="s">
        <v>55</v>
      </c>
      <c r="I952">
        <v>2</v>
      </c>
      <c r="J952">
        <v>8.6999999999999993</v>
      </c>
      <c r="K952">
        <v>5</v>
      </c>
      <c r="L952">
        <v>4</v>
      </c>
      <c r="M952">
        <v>12</v>
      </c>
      <c r="N952">
        <v>0</v>
      </c>
      <c r="O952" t="s">
        <v>56</v>
      </c>
      <c r="P952">
        <v>101700</v>
      </c>
      <c r="Q952">
        <v>15.7</v>
      </c>
      <c r="R952">
        <v>3.7</v>
      </c>
      <c r="S952">
        <v>1.6</v>
      </c>
      <c r="T952">
        <v>0</v>
      </c>
      <c r="U952">
        <v>3.4</v>
      </c>
      <c r="V952">
        <v>2.5</v>
      </c>
      <c r="W952">
        <v>3.6</v>
      </c>
      <c r="X952" t="s">
        <v>89</v>
      </c>
      <c r="Y952">
        <v>0</v>
      </c>
      <c r="Z952">
        <v>2</v>
      </c>
      <c r="AA952">
        <v>3.3</v>
      </c>
      <c r="AB952">
        <v>0</v>
      </c>
      <c r="AC952" t="s">
        <v>46</v>
      </c>
      <c r="AE952">
        <v>0</v>
      </c>
      <c r="AF952">
        <v>0</v>
      </c>
      <c r="AG952" t="s">
        <v>47</v>
      </c>
      <c r="AH952" t="s">
        <v>76</v>
      </c>
      <c r="AI952" t="s">
        <v>64</v>
      </c>
      <c r="AJ952" s="1" t="s">
        <v>100</v>
      </c>
      <c r="AK952" s="1" t="s">
        <v>84</v>
      </c>
      <c r="AL952">
        <v>0</v>
      </c>
    </row>
    <row r="953" spans="1:38" x14ac:dyDescent="0.35">
      <c r="A953" t="s">
        <v>1162</v>
      </c>
      <c r="B953" t="s">
        <v>98</v>
      </c>
      <c r="C953" t="s">
        <v>99</v>
      </c>
      <c r="D953">
        <v>1.5</v>
      </c>
      <c r="E953" t="s">
        <v>67</v>
      </c>
      <c r="F953">
        <v>30</v>
      </c>
      <c r="G953" t="s">
        <v>42</v>
      </c>
      <c r="H953" t="s">
        <v>55</v>
      </c>
      <c r="I953">
        <v>5</v>
      </c>
      <c r="J953">
        <v>11.9</v>
      </c>
      <c r="K953">
        <v>14</v>
      </c>
      <c r="L953">
        <v>2</v>
      </c>
      <c r="M953">
        <v>12</v>
      </c>
      <c r="N953">
        <v>0</v>
      </c>
      <c r="O953" t="s">
        <v>70</v>
      </c>
      <c r="P953">
        <v>41700</v>
      </c>
      <c r="Q953">
        <v>14.4</v>
      </c>
      <c r="R953">
        <v>3.2</v>
      </c>
      <c r="S953">
        <v>0.2</v>
      </c>
      <c r="T953">
        <v>0</v>
      </c>
      <c r="U953">
        <v>1.9</v>
      </c>
      <c r="V953">
        <v>3.3</v>
      </c>
      <c r="W953">
        <v>4.2</v>
      </c>
      <c r="X953" t="s">
        <v>45</v>
      </c>
      <c r="Y953">
        <v>0</v>
      </c>
      <c r="Z953">
        <v>1</v>
      </c>
      <c r="AA953">
        <v>1</v>
      </c>
      <c r="AB953">
        <v>0</v>
      </c>
      <c r="AC953" t="s">
        <v>46</v>
      </c>
      <c r="AE953">
        <v>0</v>
      </c>
      <c r="AF953">
        <v>0</v>
      </c>
      <c r="AG953" t="s">
        <v>47</v>
      </c>
      <c r="AH953" t="s">
        <v>48</v>
      </c>
      <c r="AI953" t="s">
        <v>49</v>
      </c>
      <c r="AJ953" s="1" t="s">
        <v>487</v>
      </c>
      <c r="AK953" s="1" t="s">
        <v>127</v>
      </c>
      <c r="AL953">
        <v>0</v>
      </c>
    </row>
    <row r="954" spans="1:38" x14ac:dyDescent="0.35">
      <c r="A954" t="s">
        <v>1163</v>
      </c>
      <c r="B954" t="s">
        <v>98</v>
      </c>
      <c r="C954" t="s">
        <v>151</v>
      </c>
      <c r="D954">
        <v>4.0999999999999996</v>
      </c>
      <c r="E954" t="s">
        <v>110</v>
      </c>
      <c r="F954">
        <v>30</v>
      </c>
      <c r="G954" t="s">
        <v>42</v>
      </c>
      <c r="H954" t="s">
        <v>63</v>
      </c>
      <c r="I954">
        <v>1</v>
      </c>
      <c r="J954">
        <v>14</v>
      </c>
      <c r="K954">
        <v>3</v>
      </c>
      <c r="L954">
        <v>2</v>
      </c>
      <c r="M954">
        <v>12</v>
      </c>
      <c r="N954">
        <v>0</v>
      </c>
      <c r="O954" t="s">
        <v>44</v>
      </c>
      <c r="P954">
        <v>53700</v>
      </c>
      <c r="Q954">
        <v>7.3</v>
      </c>
      <c r="R954">
        <v>2.7</v>
      </c>
      <c r="S954">
        <v>4.0999999999999996</v>
      </c>
      <c r="T954">
        <v>0</v>
      </c>
      <c r="U954">
        <v>3.3</v>
      </c>
      <c r="V954">
        <v>5</v>
      </c>
      <c r="W954">
        <v>2.7</v>
      </c>
      <c r="X954" t="s">
        <v>89</v>
      </c>
      <c r="Y954">
        <v>1</v>
      </c>
      <c r="Z954">
        <v>0</v>
      </c>
      <c r="AB954">
        <v>0</v>
      </c>
      <c r="AC954" t="s">
        <v>46</v>
      </c>
      <c r="AE954">
        <v>1</v>
      </c>
      <c r="AF954">
        <v>0</v>
      </c>
      <c r="AG954" t="s">
        <v>75</v>
      </c>
      <c r="AH954" t="s">
        <v>76</v>
      </c>
      <c r="AI954" t="s">
        <v>49</v>
      </c>
      <c r="AJ954" s="1" t="s">
        <v>266</v>
      </c>
      <c r="AK954">
        <v>8.3333333333333301E-2</v>
      </c>
      <c r="AL954">
        <v>0</v>
      </c>
    </row>
    <row r="955" spans="1:38" x14ac:dyDescent="0.35">
      <c r="A955" t="s">
        <v>1164</v>
      </c>
      <c r="B955" t="s">
        <v>73</v>
      </c>
      <c r="C955" t="s">
        <v>113</v>
      </c>
      <c r="D955">
        <v>4.0999999999999996</v>
      </c>
      <c r="E955" t="s">
        <v>67</v>
      </c>
      <c r="F955">
        <v>35</v>
      </c>
      <c r="G955" t="s">
        <v>42</v>
      </c>
      <c r="H955" t="s">
        <v>63</v>
      </c>
      <c r="I955">
        <v>3</v>
      </c>
      <c r="J955">
        <v>8.9</v>
      </c>
      <c r="K955">
        <v>10</v>
      </c>
      <c r="L955">
        <v>1</v>
      </c>
      <c r="M955">
        <v>12</v>
      </c>
      <c r="N955">
        <v>0</v>
      </c>
      <c r="O955" t="s">
        <v>70</v>
      </c>
      <c r="P955">
        <v>45600</v>
      </c>
      <c r="Q955">
        <v>10.8</v>
      </c>
      <c r="R955">
        <v>2.8</v>
      </c>
      <c r="S955">
        <v>2.5</v>
      </c>
      <c r="T955">
        <v>0</v>
      </c>
      <c r="U955">
        <v>4.7</v>
      </c>
      <c r="V955">
        <v>3.9</v>
      </c>
      <c r="W955">
        <v>4.4000000000000004</v>
      </c>
      <c r="X955" t="s">
        <v>45</v>
      </c>
      <c r="Y955">
        <v>0</v>
      </c>
      <c r="Z955">
        <v>1</v>
      </c>
      <c r="AA955">
        <v>2.6</v>
      </c>
      <c r="AB955">
        <v>0</v>
      </c>
      <c r="AC955" t="s">
        <v>46</v>
      </c>
      <c r="AE955">
        <v>0</v>
      </c>
      <c r="AF955">
        <v>0</v>
      </c>
      <c r="AG955" t="s">
        <v>47</v>
      </c>
      <c r="AH955" t="s">
        <v>76</v>
      </c>
      <c r="AI955" t="s">
        <v>64</v>
      </c>
      <c r="AJ955" s="1" t="s">
        <v>1165</v>
      </c>
      <c r="AK955">
        <v>0.25</v>
      </c>
      <c r="AL955">
        <v>0</v>
      </c>
    </row>
    <row r="956" spans="1:38" x14ac:dyDescent="0.35">
      <c r="A956" t="s">
        <v>1166</v>
      </c>
      <c r="B956" t="s">
        <v>60</v>
      </c>
      <c r="C956" t="s">
        <v>80</v>
      </c>
      <c r="D956">
        <v>3.8</v>
      </c>
      <c r="E956" t="s">
        <v>81</v>
      </c>
      <c r="F956">
        <v>27</v>
      </c>
      <c r="G956" t="s">
        <v>68</v>
      </c>
      <c r="H956" t="s">
        <v>55</v>
      </c>
      <c r="I956">
        <v>5</v>
      </c>
      <c r="J956">
        <v>12.5</v>
      </c>
      <c r="K956">
        <v>9</v>
      </c>
      <c r="L956">
        <v>1</v>
      </c>
      <c r="M956">
        <v>12</v>
      </c>
      <c r="N956">
        <v>0</v>
      </c>
      <c r="O956" t="s">
        <v>82</v>
      </c>
      <c r="P956">
        <v>31600</v>
      </c>
      <c r="Q956">
        <v>16.2</v>
      </c>
      <c r="R956">
        <v>4.2</v>
      </c>
      <c r="S956">
        <v>1.3</v>
      </c>
      <c r="T956">
        <v>0</v>
      </c>
      <c r="U956">
        <v>1</v>
      </c>
      <c r="V956">
        <v>2.8</v>
      </c>
      <c r="W956">
        <v>3.9</v>
      </c>
      <c r="X956" t="s">
        <v>89</v>
      </c>
      <c r="Y956">
        <v>0</v>
      </c>
      <c r="Z956">
        <v>0</v>
      </c>
      <c r="AB956">
        <v>0</v>
      </c>
      <c r="AC956" t="s">
        <v>46</v>
      </c>
      <c r="AE956">
        <v>1</v>
      </c>
      <c r="AF956">
        <v>0</v>
      </c>
      <c r="AG956" t="s">
        <v>75</v>
      </c>
      <c r="AH956" t="s">
        <v>76</v>
      </c>
      <c r="AI956" t="s">
        <v>49</v>
      </c>
      <c r="AJ956" s="1" t="s">
        <v>533</v>
      </c>
      <c r="AK956" s="1" t="s">
        <v>127</v>
      </c>
      <c r="AL956">
        <v>0</v>
      </c>
    </row>
    <row r="957" spans="1:38" x14ac:dyDescent="0.35">
      <c r="A957" t="s">
        <v>1167</v>
      </c>
      <c r="B957" t="s">
        <v>60</v>
      </c>
      <c r="C957" t="s">
        <v>107</v>
      </c>
      <c r="D957">
        <v>7.5</v>
      </c>
      <c r="E957" t="s">
        <v>110</v>
      </c>
      <c r="F957">
        <v>27</v>
      </c>
      <c r="G957" t="s">
        <v>234</v>
      </c>
      <c r="H957" t="s">
        <v>55</v>
      </c>
      <c r="I957">
        <v>3</v>
      </c>
      <c r="J957">
        <v>15.6</v>
      </c>
      <c r="K957">
        <v>10</v>
      </c>
      <c r="L957">
        <v>5</v>
      </c>
      <c r="M957">
        <v>12</v>
      </c>
      <c r="N957">
        <v>0</v>
      </c>
      <c r="O957" t="s">
        <v>44</v>
      </c>
      <c r="P957">
        <v>62800</v>
      </c>
      <c r="Q957">
        <v>12.9</v>
      </c>
      <c r="R957">
        <v>3.9</v>
      </c>
      <c r="S957">
        <v>1</v>
      </c>
      <c r="T957">
        <v>0</v>
      </c>
      <c r="U957">
        <v>3.5</v>
      </c>
      <c r="V957">
        <v>3.2</v>
      </c>
      <c r="W957">
        <v>3.4</v>
      </c>
      <c r="X957" t="s">
        <v>45</v>
      </c>
      <c r="Y957">
        <v>0</v>
      </c>
      <c r="Z957">
        <v>0</v>
      </c>
      <c r="AB957">
        <v>1</v>
      </c>
      <c r="AC957" t="s">
        <v>46</v>
      </c>
      <c r="AE957">
        <v>1</v>
      </c>
      <c r="AF957">
        <v>0</v>
      </c>
      <c r="AG957" t="s">
        <v>75</v>
      </c>
      <c r="AH957" t="s">
        <v>83</v>
      </c>
      <c r="AI957" t="s">
        <v>49</v>
      </c>
      <c r="AJ957" s="1" t="s">
        <v>86</v>
      </c>
      <c r="AK957">
        <v>0.25</v>
      </c>
      <c r="AL957">
        <v>0</v>
      </c>
    </row>
    <row r="958" spans="1:38" x14ac:dyDescent="0.35">
      <c r="A958" t="s">
        <v>1168</v>
      </c>
      <c r="B958" t="s">
        <v>39</v>
      </c>
      <c r="C958" t="s">
        <v>88</v>
      </c>
      <c r="D958">
        <v>17.899999999999999</v>
      </c>
      <c r="E958" t="s">
        <v>81</v>
      </c>
      <c r="F958">
        <v>44</v>
      </c>
      <c r="G958" t="s">
        <v>68</v>
      </c>
      <c r="H958" t="s">
        <v>43</v>
      </c>
      <c r="I958">
        <v>3</v>
      </c>
      <c r="J958">
        <v>11.2</v>
      </c>
      <c r="K958">
        <v>6</v>
      </c>
      <c r="L958">
        <v>1</v>
      </c>
      <c r="M958">
        <v>12</v>
      </c>
      <c r="N958">
        <v>0</v>
      </c>
      <c r="O958" t="s">
        <v>82</v>
      </c>
      <c r="P958">
        <v>30800</v>
      </c>
      <c r="Q958">
        <v>6.8</v>
      </c>
      <c r="R958">
        <v>1.9</v>
      </c>
      <c r="S958">
        <v>3.9</v>
      </c>
      <c r="T958">
        <v>0</v>
      </c>
      <c r="U958">
        <v>3.1</v>
      </c>
      <c r="V958">
        <v>4</v>
      </c>
      <c r="W958">
        <v>3.6</v>
      </c>
      <c r="X958" t="s">
        <v>45</v>
      </c>
      <c r="Y958">
        <v>0</v>
      </c>
      <c r="Z958">
        <v>2</v>
      </c>
      <c r="AA958">
        <v>15</v>
      </c>
      <c r="AB958">
        <v>0</v>
      </c>
      <c r="AC958" t="s">
        <v>46</v>
      </c>
      <c r="AE958">
        <v>0</v>
      </c>
      <c r="AF958">
        <v>0</v>
      </c>
      <c r="AG958" t="s">
        <v>47</v>
      </c>
      <c r="AH958" t="s">
        <v>83</v>
      </c>
      <c r="AI958" t="s">
        <v>49</v>
      </c>
      <c r="AJ958" s="1" t="s">
        <v>126</v>
      </c>
      <c r="AK958">
        <v>0.25</v>
      </c>
      <c r="AL958">
        <v>0</v>
      </c>
    </row>
    <row r="959" spans="1:38" x14ac:dyDescent="0.35">
      <c r="A959" t="s">
        <v>1169</v>
      </c>
      <c r="B959" t="s">
        <v>117</v>
      </c>
      <c r="C959" t="s">
        <v>118</v>
      </c>
      <c r="D959">
        <v>4.9000000000000004</v>
      </c>
      <c r="E959" t="s">
        <v>110</v>
      </c>
      <c r="F959">
        <v>36</v>
      </c>
      <c r="G959" t="s">
        <v>68</v>
      </c>
      <c r="H959" t="s">
        <v>55</v>
      </c>
      <c r="I959">
        <v>2</v>
      </c>
      <c r="J959">
        <v>17.600000000000001</v>
      </c>
      <c r="K959">
        <v>10</v>
      </c>
      <c r="L959">
        <v>2</v>
      </c>
      <c r="M959">
        <v>12</v>
      </c>
      <c r="N959">
        <v>0</v>
      </c>
      <c r="O959" t="s">
        <v>44</v>
      </c>
      <c r="P959">
        <v>56000</v>
      </c>
      <c r="Q959">
        <v>7.6</v>
      </c>
      <c r="R959">
        <v>2.1</v>
      </c>
      <c r="S959">
        <v>1.6</v>
      </c>
      <c r="T959">
        <v>0</v>
      </c>
      <c r="U959">
        <v>3.4</v>
      </c>
      <c r="V959">
        <v>4.5</v>
      </c>
      <c r="W959">
        <v>3.7</v>
      </c>
      <c r="X959" t="s">
        <v>45</v>
      </c>
      <c r="Y959">
        <v>0</v>
      </c>
      <c r="Z959">
        <v>1</v>
      </c>
      <c r="AA959">
        <v>1.2</v>
      </c>
      <c r="AB959">
        <v>1</v>
      </c>
      <c r="AC959" t="s">
        <v>46</v>
      </c>
      <c r="AE959">
        <v>0</v>
      </c>
      <c r="AF959">
        <v>0</v>
      </c>
      <c r="AG959" t="s">
        <v>47</v>
      </c>
      <c r="AH959" t="s">
        <v>76</v>
      </c>
      <c r="AI959" t="s">
        <v>49</v>
      </c>
      <c r="AJ959" s="1" t="s">
        <v>475</v>
      </c>
      <c r="AK959" s="1" t="s">
        <v>84</v>
      </c>
      <c r="AL959">
        <v>0</v>
      </c>
    </row>
    <row r="960" spans="1:38" x14ac:dyDescent="0.35">
      <c r="A960" t="s">
        <v>1170</v>
      </c>
      <c r="B960" t="s">
        <v>52</v>
      </c>
      <c r="C960" t="s">
        <v>93</v>
      </c>
      <c r="D960">
        <v>11.6</v>
      </c>
      <c r="E960" t="s">
        <v>67</v>
      </c>
      <c r="F960">
        <v>38</v>
      </c>
      <c r="G960" t="s">
        <v>42</v>
      </c>
      <c r="H960" t="s">
        <v>94</v>
      </c>
      <c r="I960">
        <v>3</v>
      </c>
      <c r="J960">
        <v>5.4</v>
      </c>
      <c r="K960">
        <v>6</v>
      </c>
      <c r="L960">
        <v>4</v>
      </c>
      <c r="M960">
        <v>12</v>
      </c>
      <c r="N960">
        <v>0</v>
      </c>
      <c r="O960" t="s">
        <v>82</v>
      </c>
      <c r="P960">
        <v>33900</v>
      </c>
      <c r="Q960">
        <v>1.1000000000000001</v>
      </c>
      <c r="R960">
        <v>2.1</v>
      </c>
      <c r="S960">
        <v>0.3</v>
      </c>
      <c r="T960">
        <v>0</v>
      </c>
      <c r="U960">
        <v>2.2999999999999998</v>
      </c>
      <c r="V960">
        <v>3</v>
      </c>
      <c r="W960">
        <v>2.7</v>
      </c>
      <c r="X960" t="s">
        <v>45</v>
      </c>
      <c r="Y960">
        <v>0</v>
      </c>
      <c r="Z960">
        <v>1</v>
      </c>
      <c r="AA960">
        <v>9.4</v>
      </c>
      <c r="AB960">
        <v>1</v>
      </c>
      <c r="AC960" t="s">
        <v>46</v>
      </c>
      <c r="AE960">
        <v>0</v>
      </c>
      <c r="AF960">
        <v>0</v>
      </c>
      <c r="AG960" t="s">
        <v>47</v>
      </c>
      <c r="AH960" t="s">
        <v>83</v>
      </c>
      <c r="AI960" t="s">
        <v>64</v>
      </c>
      <c r="AJ960" s="1" t="s">
        <v>230</v>
      </c>
      <c r="AK960">
        <v>0.25</v>
      </c>
      <c r="AL960">
        <v>0</v>
      </c>
    </row>
    <row r="961" spans="1:38" x14ac:dyDescent="0.35">
      <c r="A961" t="s">
        <v>1171</v>
      </c>
      <c r="B961" t="s">
        <v>117</v>
      </c>
      <c r="C961" t="s">
        <v>118</v>
      </c>
      <c r="D961">
        <v>2.9</v>
      </c>
      <c r="E961" t="s">
        <v>110</v>
      </c>
      <c r="F961">
        <v>28</v>
      </c>
      <c r="G961" t="s">
        <v>68</v>
      </c>
      <c r="H961" t="s">
        <v>55</v>
      </c>
      <c r="I961">
        <v>4</v>
      </c>
      <c r="J961">
        <v>9.6999999999999993</v>
      </c>
      <c r="K961">
        <v>6</v>
      </c>
      <c r="L961">
        <v>1</v>
      </c>
      <c r="M961">
        <v>12</v>
      </c>
      <c r="N961">
        <v>0</v>
      </c>
      <c r="O961" t="s">
        <v>44</v>
      </c>
      <c r="P961">
        <v>61600</v>
      </c>
      <c r="Q961">
        <v>11.1</v>
      </c>
      <c r="R961">
        <v>4.2</v>
      </c>
      <c r="S961">
        <v>3.9</v>
      </c>
      <c r="T961">
        <v>0</v>
      </c>
      <c r="U961">
        <v>3.6</v>
      </c>
      <c r="V961">
        <v>3</v>
      </c>
      <c r="W961">
        <v>3.1</v>
      </c>
      <c r="X961" t="s">
        <v>45</v>
      </c>
      <c r="Y961">
        <v>0</v>
      </c>
      <c r="Z961">
        <v>0</v>
      </c>
      <c r="AB961">
        <v>0</v>
      </c>
      <c r="AC961" t="s">
        <v>46</v>
      </c>
      <c r="AE961">
        <v>1</v>
      </c>
      <c r="AF961">
        <v>0</v>
      </c>
      <c r="AG961" t="s">
        <v>75</v>
      </c>
      <c r="AH961" t="s">
        <v>48</v>
      </c>
      <c r="AI961" t="s">
        <v>64</v>
      </c>
      <c r="AJ961" s="1" t="s">
        <v>198</v>
      </c>
      <c r="AK961" s="1" t="s">
        <v>115</v>
      </c>
      <c r="AL961">
        <v>0</v>
      </c>
    </row>
    <row r="962" spans="1:38" x14ac:dyDescent="0.35">
      <c r="A962" t="s">
        <v>1172</v>
      </c>
      <c r="B962" t="s">
        <v>117</v>
      </c>
      <c r="C962" t="s">
        <v>189</v>
      </c>
      <c r="D962">
        <v>1.2</v>
      </c>
      <c r="E962" t="s">
        <v>110</v>
      </c>
      <c r="F962">
        <v>24</v>
      </c>
      <c r="G962" t="s">
        <v>42</v>
      </c>
      <c r="H962" t="s">
        <v>94</v>
      </c>
      <c r="I962">
        <v>3</v>
      </c>
      <c r="J962">
        <v>45</v>
      </c>
      <c r="K962">
        <v>13</v>
      </c>
      <c r="L962">
        <v>2</v>
      </c>
      <c r="M962">
        <v>12</v>
      </c>
      <c r="N962">
        <v>0</v>
      </c>
      <c r="O962" t="s">
        <v>70</v>
      </c>
      <c r="P962">
        <v>48100</v>
      </c>
      <c r="Q962">
        <v>13</v>
      </c>
      <c r="R962">
        <v>1.6</v>
      </c>
      <c r="S962">
        <v>0.8</v>
      </c>
      <c r="T962">
        <v>0</v>
      </c>
      <c r="U962">
        <v>3.5</v>
      </c>
      <c r="V962">
        <v>2.5</v>
      </c>
      <c r="W962">
        <v>3.7</v>
      </c>
      <c r="X962" t="s">
        <v>45</v>
      </c>
      <c r="Y962">
        <v>0</v>
      </c>
      <c r="Z962">
        <v>1</v>
      </c>
      <c r="AA962">
        <v>0.5</v>
      </c>
      <c r="AB962">
        <v>1</v>
      </c>
      <c r="AC962" t="s">
        <v>46</v>
      </c>
      <c r="AE962">
        <v>0</v>
      </c>
      <c r="AF962">
        <v>0</v>
      </c>
      <c r="AG962" t="s">
        <v>47</v>
      </c>
      <c r="AH962" t="s">
        <v>48</v>
      </c>
      <c r="AI962" t="s">
        <v>57</v>
      </c>
      <c r="AJ962" s="1" t="s">
        <v>198</v>
      </c>
      <c r="AK962">
        <v>0.25</v>
      </c>
      <c r="AL962">
        <v>0</v>
      </c>
    </row>
    <row r="963" spans="1:38" x14ac:dyDescent="0.35">
      <c r="A963" t="s">
        <v>1173</v>
      </c>
      <c r="B963" t="s">
        <v>52</v>
      </c>
      <c r="C963" t="s">
        <v>93</v>
      </c>
      <c r="D963">
        <v>2.2000000000000002</v>
      </c>
      <c r="E963" t="s">
        <v>110</v>
      </c>
      <c r="F963">
        <v>35</v>
      </c>
      <c r="G963" t="s">
        <v>42</v>
      </c>
      <c r="H963" t="s">
        <v>43</v>
      </c>
      <c r="I963">
        <v>5</v>
      </c>
      <c r="J963">
        <v>20.7</v>
      </c>
      <c r="K963">
        <v>7</v>
      </c>
      <c r="L963">
        <v>2</v>
      </c>
      <c r="M963">
        <v>12</v>
      </c>
      <c r="N963">
        <v>0</v>
      </c>
      <c r="O963" t="s">
        <v>70</v>
      </c>
      <c r="P963">
        <v>49100</v>
      </c>
      <c r="Q963">
        <v>13</v>
      </c>
      <c r="R963">
        <v>3.9</v>
      </c>
      <c r="S963">
        <v>0.3</v>
      </c>
      <c r="T963">
        <v>0</v>
      </c>
      <c r="U963">
        <v>5</v>
      </c>
      <c r="V963">
        <v>3.8</v>
      </c>
      <c r="W963">
        <v>3.1</v>
      </c>
      <c r="X963" t="s">
        <v>45</v>
      </c>
      <c r="Y963">
        <v>0</v>
      </c>
      <c r="Z963">
        <v>1</v>
      </c>
      <c r="AA963">
        <v>1.1000000000000001</v>
      </c>
      <c r="AB963">
        <v>2</v>
      </c>
      <c r="AC963" t="s">
        <v>46</v>
      </c>
      <c r="AE963">
        <v>0</v>
      </c>
      <c r="AF963">
        <v>0</v>
      </c>
      <c r="AG963" t="s">
        <v>47</v>
      </c>
      <c r="AH963" t="s">
        <v>48</v>
      </c>
      <c r="AI963" t="s">
        <v>57</v>
      </c>
      <c r="AJ963" s="1" t="s">
        <v>243</v>
      </c>
      <c r="AK963" s="1" t="s">
        <v>127</v>
      </c>
      <c r="AL963">
        <v>0</v>
      </c>
    </row>
    <row r="964" spans="1:38" x14ac:dyDescent="0.35">
      <c r="A964" t="s">
        <v>1174</v>
      </c>
      <c r="B964" t="s">
        <v>73</v>
      </c>
      <c r="C964" t="s">
        <v>74</v>
      </c>
      <c r="D964">
        <v>3</v>
      </c>
      <c r="E964" t="s">
        <v>81</v>
      </c>
      <c r="F964">
        <v>25</v>
      </c>
      <c r="G964" t="s">
        <v>42</v>
      </c>
      <c r="H964" t="s">
        <v>43</v>
      </c>
      <c r="I964">
        <v>1</v>
      </c>
      <c r="J964">
        <v>11.4</v>
      </c>
      <c r="K964">
        <v>7</v>
      </c>
      <c r="L964">
        <v>1</v>
      </c>
      <c r="M964">
        <v>12</v>
      </c>
      <c r="N964">
        <v>0</v>
      </c>
      <c r="O964" t="s">
        <v>82</v>
      </c>
      <c r="P964">
        <v>23800</v>
      </c>
      <c r="Q964">
        <v>10.8</v>
      </c>
      <c r="R964">
        <v>3.6</v>
      </c>
      <c r="S964">
        <v>1.6</v>
      </c>
      <c r="T964">
        <v>0</v>
      </c>
      <c r="U964">
        <v>3.4</v>
      </c>
      <c r="V964">
        <v>4.0999999999999996</v>
      </c>
      <c r="W964">
        <v>3.4</v>
      </c>
      <c r="X964" t="s">
        <v>45</v>
      </c>
      <c r="Y964">
        <v>1</v>
      </c>
      <c r="Z964">
        <v>1</v>
      </c>
      <c r="AA964">
        <v>2.4</v>
      </c>
      <c r="AB964">
        <v>0</v>
      </c>
      <c r="AC964" t="s">
        <v>46</v>
      </c>
      <c r="AE964">
        <v>0</v>
      </c>
      <c r="AF964">
        <v>0</v>
      </c>
      <c r="AG964" t="s">
        <v>47</v>
      </c>
      <c r="AH964" t="s">
        <v>48</v>
      </c>
      <c r="AI964" t="s">
        <v>49</v>
      </c>
      <c r="AJ964" s="1" t="s">
        <v>190</v>
      </c>
      <c r="AK964">
        <v>8.3333333333333301E-2</v>
      </c>
      <c r="AL964">
        <v>0</v>
      </c>
    </row>
    <row r="965" spans="1:38" x14ac:dyDescent="0.35">
      <c r="A965" t="s">
        <v>1175</v>
      </c>
      <c r="B965" t="s">
        <v>73</v>
      </c>
      <c r="C965" t="s">
        <v>177</v>
      </c>
      <c r="D965">
        <v>12.2</v>
      </c>
      <c r="E965" t="s">
        <v>110</v>
      </c>
      <c r="F965">
        <v>35</v>
      </c>
      <c r="G965" t="s">
        <v>54</v>
      </c>
      <c r="H965" t="s">
        <v>55</v>
      </c>
      <c r="I965">
        <v>2</v>
      </c>
      <c r="J965">
        <v>4.0999999999999996</v>
      </c>
      <c r="K965">
        <v>9</v>
      </c>
      <c r="L965">
        <v>2</v>
      </c>
      <c r="M965">
        <v>12</v>
      </c>
      <c r="N965">
        <v>0</v>
      </c>
      <c r="O965" t="s">
        <v>44</v>
      </c>
      <c r="P965">
        <v>59700</v>
      </c>
      <c r="Q965">
        <v>9.4</v>
      </c>
      <c r="R965">
        <v>3.3</v>
      </c>
      <c r="S965">
        <v>0.6</v>
      </c>
      <c r="T965">
        <v>0</v>
      </c>
      <c r="U965">
        <v>4.5</v>
      </c>
      <c r="V965">
        <v>1.5</v>
      </c>
      <c r="W965">
        <v>3.6</v>
      </c>
      <c r="X965" t="s">
        <v>45</v>
      </c>
      <c r="Y965">
        <v>0</v>
      </c>
      <c r="Z965">
        <v>1</v>
      </c>
      <c r="AA965">
        <v>11</v>
      </c>
      <c r="AB965">
        <v>0</v>
      </c>
      <c r="AC965" t="s">
        <v>46</v>
      </c>
      <c r="AE965">
        <v>0</v>
      </c>
      <c r="AF965">
        <v>0</v>
      </c>
      <c r="AG965" t="s">
        <v>47</v>
      </c>
      <c r="AH965" t="s">
        <v>83</v>
      </c>
      <c r="AI965" t="s">
        <v>64</v>
      </c>
      <c r="AJ965" s="1" t="s">
        <v>162</v>
      </c>
      <c r="AK965" s="1" t="s">
        <v>84</v>
      </c>
      <c r="AL965">
        <v>0</v>
      </c>
    </row>
    <row r="966" spans="1:38" x14ac:dyDescent="0.35">
      <c r="A966" t="s">
        <v>1176</v>
      </c>
      <c r="B966" t="s">
        <v>60</v>
      </c>
      <c r="C966" t="s">
        <v>107</v>
      </c>
      <c r="D966">
        <v>3.9</v>
      </c>
      <c r="E966" t="s">
        <v>62</v>
      </c>
      <c r="F966">
        <v>32</v>
      </c>
      <c r="G966" t="s">
        <v>234</v>
      </c>
      <c r="H966" t="s">
        <v>63</v>
      </c>
      <c r="I966">
        <v>2</v>
      </c>
      <c r="J966">
        <v>10.1</v>
      </c>
      <c r="K966">
        <v>8</v>
      </c>
      <c r="L966">
        <v>3</v>
      </c>
      <c r="M966">
        <v>12</v>
      </c>
      <c r="N966">
        <v>0</v>
      </c>
      <c r="O966" t="s">
        <v>56</v>
      </c>
      <c r="P966">
        <v>94600</v>
      </c>
      <c r="Q966">
        <v>4</v>
      </c>
      <c r="R966">
        <v>2.8</v>
      </c>
      <c r="S966">
        <v>1.1000000000000001</v>
      </c>
      <c r="T966">
        <v>0</v>
      </c>
      <c r="U966">
        <v>2</v>
      </c>
      <c r="V966">
        <v>2.8</v>
      </c>
      <c r="W966">
        <v>4.0999999999999996</v>
      </c>
      <c r="X966" t="s">
        <v>45</v>
      </c>
      <c r="Y966">
        <v>0</v>
      </c>
      <c r="Z966">
        <v>0</v>
      </c>
      <c r="AB966">
        <v>0</v>
      </c>
      <c r="AC966" t="s">
        <v>46</v>
      </c>
      <c r="AE966">
        <v>1</v>
      </c>
      <c r="AF966">
        <v>0</v>
      </c>
      <c r="AG966" t="s">
        <v>75</v>
      </c>
      <c r="AH966" t="s">
        <v>76</v>
      </c>
      <c r="AI966" t="s">
        <v>49</v>
      </c>
      <c r="AJ966" s="1" t="s">
        <v>146</v>
      </c>
      <c r="AK966" s="1" t="s">
        <v>84</v>
      </c>
      <c r="AL966">
        <v>0</v>
      </c>
    </row>
    <row r="967" spans="1:38" x14ac:dyDescent="0.35">
      <c r="A967" t="s">
        <v>1177</v>
      </c>
      <c r="B967" t="s">
        <v>52</v>
      </c>
      <c r="C967" t="s">
        <v>93</v>
      </c>
      <c r="D967">
        <v>7.6</v>
      </c>
      <c r="E967" t="s">
        <v>67</v>
      </c>
      <c r="F967">
        <v>26</v>
      </c>
      <c r="G967" t="s">
        <v>68</v>
      </c>
      <c r="H967" t="s">
        <v>69</v>
      </c>
      <c r="I967">
        <v>3</v>
      </c>
      <c r="J967">
        <v>19.7</v>
      </c>
      <c r="K967">
        <v>13</v>
      </c>
      <c r="L967">
        <v>1</v>
      </c>
      <c r="M967">
        <v>12</v>
      </c>
      <c r="N967">
        <v>0</v>
      </c>
      <c r="O967" t="s">
        <v>44</v>
      </c>
      <c r="P967">
        <v>50200</v>
      </c>
      <c r="Q967">
        <v>9.3000000000000007</v>
      </c>
      <c r="R967">
        <v>4.3</v>
      </c>
      <c r="S967">
        <v>1.8</v>
      </c>
      <c r="T967">
        <v>0</v>
      </c>
      <c r="U967">
        <v>4.2</v>
      </c>
      <c r="V967">
        <v>2.1</v>
      </c>
      <c r="W967">
        <v>4.3</v>
      </c>
      <c r="X967" t="s">
        <v>45</v>
      </c>
      <c r="Y967">
        <v>0</v>
      </c>
      <c r="Z967">
        <v>2</v>
      </c>
      <c r="AB967">
        <v>0</v>
      </c>
      <c r="AC967" t="s">
        <v>46</v>
      </c>
      <c r="AE967">
        <v>1</v>
      </c>
      <c r="AF967">
        <v>0</v>
      </c>
      <c r="AG967" t="s">
        <v>47</v>
      </c>
      <c r="AH967" t="s">
        <v>83</v>
      </c>
      <c r="AI967" t="s">
        <v>49</v>
      </c>
      <c r="AJ967" s="1" t="s">
        <v>149</v>
      </c>
      <c r="AK967">
        <v>0.25</v>
      </c>
      <c r="AL967">
        <v>0</v>
      </c>
    </row>
    <row r="968" spans="1:38" x14ac:dyDescent="0.35">
      <c r="A968" t="s">
        <v>1178</v>
      </c>
      <c r="B968" t="s">
        <v>60</v>
      </c>
      <c r="C968" t="s">
        <v>80</v>
      </c>
      <c r="D968">
        <v>2.7</v>
      </c>
      <c r="E968" t="s">
        <v>67</v>
      </c>
      <c r="F968">
        <v>34</v>
      </c>
      <c r="G968" t="s">
        <v>42</v>
      </c>
      <c r="H968" t="s">
        <v>43</v>
      </c>
      <c r="I968">
        <v>4</v>
      </c>
      <c r="J968">
        <v>16.899999999999999</v>
      </c>
      <c r="K968">
        <v>4</v>
      </c>
      <c r="L968">
        <v>3</v>
      </c>
      <c r="M968">
        <v>12</v>
      </c>
      <c r="N968">
        <v>0</v>
      </c>
      <c r="O968" t="s">
        <v>70</v>
      </c>
      <c r="P968">
        <v>42400</v>
      </c>
      <c r="Q968">
        <v>5.5</v>
      </c>
      <c r="R968">
        <v>3.3</v>
      </c>
      <c r="S968">
        <v>0</v>
      </c>
      <c r="T968">
        <v>0</v>
      </c>
      <c r="U968">
        <v>3.5</v>
      </c>
      <c r="V968">
        <v>3.3</v>
      </c>
      <c r="W968">
        <v>3.8</v>
      </c>
      <c r="X968" t="s">
        <v>45</v>
      </c>
      <c r="Y968">
        <v>0</v>
      </c>
      <c r="Z968">
        <v>1</v>
      </c>
      <c r="AA968">
        <v>2.4</v>
      </c>
      <c r="AB968">
        <v>0</v>
      </c>
      <c r="AC968" t="s">
        <v>46</v>
      </c>
      <c r="AE968">
        <v>0</v>
      </c>
      <c r="AF968">
        <v>0</v>
      </c>
      <c r="AG968" t="s">
        <v>47</v>
      </c>
      <c r="AH968" t="s">
        <v>48</v>
      </c>
      <c r="AI968" t="s">
        <v>49</v>
      </c>
      <c r="AJ968" s="1" t="s">
        <v>122</v>
      </c>
      <c r="AK968" s="1" t="s">
        <v>115</v>
      </c>
      <c r="AL968">
        <v>0</v>
      </c>
    </row>
    <row r="969" spans="1:38" x14ac:dyDescent="0.35">
      <c r="A969" t="s">
        <v>1179</v>
      </c>
      <c r="B969" t="s">
        <v>73</v>
      </c>
      <c r="C969" t="s">
        <v>177</v>
      </c>
      <c r="D969">
        <v>2.4</v>
      </c>
      <c r="E969" t="s">
        <v>41</v>
      </c>
      <c r="F969">
        <v>31</v>
      </c>
      <c r="G969" t="s">
        <v>42</v>
      </c>
      <c r="H969" t="s">
        <v>43</v>
      </c>
      <c r="I969">
        <v>2</v>
      </c>
      <c r="J969">
        <v>1.3</v>
      </c>
      <c r="K969">
        <v>6</v>
      </c>
      <c r="L969">
        <v>4</v>
      </c>
      <c r="M969">
        <v>12</v>
      </c>
      <c r="N969">
        <v>0</v>
      </c>
      <c r="O969" t="s">
        <v>44</v>
      </c>
      <c r="P969">
        <v>66100</v>
      </c>
      <c r="Q969">
        <v>10.1</v>
      </c>
      <c r="R969">
        <v>1.9</v>
      </c>
      <c r="S969">
        <v>1.4</v>
      </c>
      <c r="T969">
        <v>0</v>
      </c>
      <c r="U969">
        <v>3.5</v>
      </c>
      <c r="V969">
        <v>2.1</v>
      </c>
      <c r="W969">
        <v>4.0999999999999996</v>
      </c>
      <c r="X969" t="s">
        <v>45</v>
      </c>
      <c r="Y969">
        <v>0</v>
      </c>
      <c r="Z969">
        <v>1</v>
      </c>
      <c r="AA969">
        <v>2.2999999999999998</v>
      </c>
      <c r="AB969">
        <v>0</v>
      </c>
      <c r="AC969" t="s">
        <v>46</v>
      </c>
      <c r="AE969">
        <v>0</v>
      </c>
      <c r="AF969">
        <v>0</v>
      </c>
      <c r="AG969" t="s">
        <v>47</v>
      </c>
      <c r="AH969" t="s">
        <v>48</v>
      </c>
      <c r="AI969" t="s">
        <v>64</v>
      </c>
      <c r="AJ969" s="1" t="s">
        <v>198</v>
      </c>
      <c r="AK969" s="1" t="s">
        <v>84</v>
      </c>
      <c r="AL969">
        <v>0</v>
      </c>
    </row>
    <row r="970" spans="1:38" x14ac:dyDescent="0.35">
      <c r="A970" t="s">
        <v>1180</v>
      </c>
      <c r="B970" t="s">
        <v>117</v>
      </c>
      <c r="C970" t="s">
        <v>189</v>
      </c>
      <c r="D970">
        <v>0.9</v>
      </c>
      <c r="E970" t="s">
        <v>81</v>
      </c>
      <c r="F970">
        <v>30</v>
      </c>
      <c r="G970" t="s">
        <v>68</v>
      </c>
      <c r="H970" t="s">
        <v>63</v>
      </c>
      <c r="I970">
        <v>3</v>
      </c>
      <c r="J970">
        <v>1.9</v>
      </c>
      <c r="K970">
        <v>7</v>
      </c>
      <c r="L970">
        <v>1</v>
      </c>
      <c r="M970">
        <v>12</v>
      </c>
      <c r="N970">
        <v>0</v>
      </c>
      <c r="O970" t="s">
        <v>82</v>
      </c>
      <c r="P970">
        <v>22400</v>
      </c>
      <c r="Q970">
        <v>4.9000000000000004</v>
      </c>
      <c r="R970">
        <v>2.1</v>
      </c>
      <c r="S970">
        <v>3.3</v>
      </c>
      <c r="T970">
        <v>0</v>
      </c>
      <c r="U970">
        <v>3.6</v>
      </c>
      <c r="V970">
        <v>2</v>
      </c>
      <c r="W970">
        <v>4.2</v>
      </c>
      <c r="X970" t="s">
        <v>45</v>
      </c>
      <c r="Y970">
        <v>0</v>
      </c>
      <c r="Z970">
        <v>1</v>
      </c>
      <c r="AA970">
        <v>0.2</v>
      </c>
      <c r="AB970">
        <v>1</v>
      </c>
      <c r="AC970" t="s">
        <v>46</v>
      </c>
      <c r="AE970">
        <v>0</v>
      </c>
      <c r="AF970">
        <v>0</v>
      </c>
      <c r="AG970" t="s">
        <v>47</v>
      </c>
      <c r="AH970" t="s">
        <v>95</v>
      </c>
      <c r="AI970" t="s">
        <v>64</v>
      </c>
      <c r="AJ970" s="1" t="s">
        <v>235</v>
      </c>
      <c r="AK970">
        <v>0.25</v>
      </c>
      <c r="AL970">
        <v>0</v>
      </c>
    </row>
    <row r="971" spans="1:38" x14ac:dyDescent="0.35">
      <c r="A971" t="s">
        <v>1181</v>
      </c>
      <c r="B971" t="s">
        <v>73</v>
      </c>
      <c r="C971" t="s">
        <v>121</v>
      </c>
      <c r="D971">
        <v>11.9</v>
      </c>
      <c r="E971" t="s">
        <v>110</v>
      </c>
      <c r="F971">
        <v>40</v>
      </c>
      <c r="G971" t="s">
        <v>42</v>
      </c>
      <c r="H971" t="s">
        <v>94</v>
      </c>
      <c r="I971">
        <v>2</v>
      </c>
      <c r="J971">
        <v>14.2</v>
      </c>
      <c r="K971">
        <v>9</v>
      </c>
      <c r="L971">
        <v>3</v>
      </c>
      <c r="M971">
        <v>12</v>
      </c>
      <c r="N971">
        <v>0</v>
      </c>
      <c r="O971" t="s">
        <v>70</v>
      </c>
      <c r="P971">
        <v>43400</v>
      </c>
      <c r="Q971">
        <v>10.1</v>
      </c>
      <c r="R971">
        <v>1.7</v>
      </c>
      <c r="S971">
        <v>0.3</v>
      </c>
      <c r="T971">
        <v>0</v>
      </c>
      <c r="U971">
        <v>4.8</v>
      </c>
      <c r="V971">
        <v>4.2</v>
      </c>
      <c r="W971">
        <v>3.5</v>
      </c>
      <c r="X971" t="s">
        <v>45</v>
      </c>
      <c r="Y971">
        <v>0</v>
      </c>
      <c r="Z971">
        <v>4</v>
      </c>
      <c r="AA971">
        <v>2.1</v>
      </c>
      <c r="AB971">
        <v>0</v>
      </c>
      <c r="AC971" t="s">
        <v>46</v>
      </c>
      <c r="AE971">
        <v>0</v>
      </c>
      <c r="AF971">
        <v>0</v>
      </c>
      <c r="AG971" t="s">
        <v>47</v>
      </c>
      <c r="AH971" t="s">
        <v>83</v>
      </c>
      <c r="AI971" t="s">
        <v>49</v>
      </c>
      <c r="AJ971" s="1" t="s">
        <v>284</v>
      </c>
      <c r="AK971" s="1" t="s">
        <v>84</v>
      </c>
      <c r="AL971">
        <v>0</v>
      </c>
    </row>
    <row r="972" spans="1:38" x14ac:dyDescent="0.35">
      <c r="A972" t="s">
        <v>1182</v>
      </c>
      <c r="B972" t="s">
        <v>98</v>
      </c>
      <c r="C972" t="s">
        <v>99</v>
      </c>
      <c r="D972">
        <v>9.3000000000000007</v>
      </c>
      <c r="E972" t="s">
        <v>110</v>
      </c>
      <c r="F972">
        <v>35</v>
      </c>
      <c r="G972" t="s">
        <v>68</v>
      </c>
      <c r="H972" t="s">
        <v>94</v>
      </c>
      <c r="I972">
        <v>1</v>
      </c>
      <c r="J972">
        <v>2</v>
      </c>
      <c r="K972">
        <v>8</v>
      </c>
      <c r="L972">
        <v>0</v>
      </c>
      <c r="M972">
        <v>12</v>
      </c>
      <c r="N972">
        <v>0</v>
      </c>
      <c r="O972" t="s">
        <v>44</v>
      </c>
      <c r="P972">
        <v>50600</v>
      </c>
      <c r="Q972">
        <v>13.3</v>
      </c>
      <c r="R972">
        <v>4.3</v>
      </c>
      <c r="S972">
        <v>2.6</v>
      </c>
      <c r="T972">
        <v>0</v>
      </c>
      <c r="U972">
        <v>3.5</v>
      </c>
      <c r="V972">
        <v>3.1</v>
      </c>
      <c r="W972">
        <v>1.7</v>
      </c>
      <c r="X972" t="s">
        <v>45</v>
      </c>
      <c r="Y972">
        <v>0</v>
      </c>
      <c r="Z972">
        <v>1</v>
      </c>
      <c r="AA972">
        <v>4.5999999999999996</v>
      </c>
      <c r="AB972">
        <v>0</v>
      </c>
      <c r="AC972" t="s">
        <v>46</v>
      </c>
      <c r="AE972">
        <v>0</v>
      </c>
      <c r="AF972">
        <v>0</v>
      </c>
      <c r="AG972" t="s">
        <v>47</v>
      </c>
      <c r="AH972" t="s">
        <v>83</v>
      </c>
      <c r="AI972" t="s">
        <v>64</v>
      </c>
      <c r="AJ972" s="1" t="s">
        <v>564</v>
      </c>
      <c r="AK972">
        <v>8.3333333333333301E-2</v>
      </c>
      <c r="AL972">
        <v>0</v>
      </c>
    </row>
    <row r="973" spans="1:38" x14ac:dyDescent="0.35">
      <c r="A973" t="s">
        <v>1183</v>
      </c>
      <c r="B973" t="s">
        <v>73</v>
      </c>
      <c r="C973" t="s">
        <v>177</v>
      </c>
      <c r="D973">
        <v>4.4000000000000004</v>
      </c>
      <c r="E973" t="s">
        <v>81</v>
      </c>
      <c r="F973">
        <v>26</v>
      </c>
      <c r="G973" t="s">
        <v>234</v>
      </c>
      <c r="H973" t="s">
        <v>69</v>
      </c>
      <c r="I973">
        <v>5</v>
      </c>
      <c r="J973">
        <v>3.9</v>
      </c>
      <c r="K973">
        <v>14</v>
      </c>
      <c r="L973">
        <v>2</v>
      </c>
      <c r="M973">
        <v>12</v>
      </c>
      <c r="N973">
        <v>0</v>
      </c>
      <c r="O973" t="s">
        <v>82</v>
      </c>
      <c r="P973">
        <v>24400</v>
      </c>
      <c r="Q973">
        <v>9.5</v>
      </c>
      <c r="R973">
        <v>4.5</v>
      </c>
      <c r="S973">
        <v>1.4</v>
      </c>
      <c r="T973">
        <v>0</v>
      </c>
      <c r="U973">
        <v>2.6</v>
      </c>
      <c r="V973">
        <v>3.1</v>
      </c>
      <c r="W973">
        <v>4.3</v>
      </c>
      <c r="X973" t="s">
        <v>89</v>
      </c>
      <c r="Y973">
        <v>0</v>
      </c>
      <c r="Z973">
        <v>1</v>
      </c>
      <c r="AA973">
        <v>4</v>
      </c>
      <c r="AB973">
        <v>0</v>
      </c>
      <c r="AC973" t="s">
        <v>46</v>
      </c>
      <c r="AE973">
        <v>0</v>
      </c>
      <c r="AF973">
        <v>0</v>
      </c>
      <c r="AG973" t="s">
        <v>47</v>
      </c>
      <c r="AH973" t="s">
        <v>76</v>
      </c>
      <c r="AI973" t="s">
        <v>64</v>
      </c>
      <c r="AJ973" s="1" t="s">
        <v>90</v>
      </c>
      <c r="AK973" s="1" t="s">
        <v>127</v>
      </c>
      <c r="AL973">
        <v>0</v>
      </c>
    </row>
    <row r="974" spans="1:38" x14ac:dyDescent="0.35">
      <c r="A974" t="s">
        <v>1184</v>
      </c>
      <c r="B974" t="s">
        <v>73</v>
      </c>
      <c r="C974" t="s">
        <v>121</v>
      </c>
      <c r="D974">
        <v>3.1</v>
      </c>
      <c r="E974" t="s">
        <v>110</v>
      </c>
      <c r="F974">
        <v>29</v>
      </c>
      <c r="G974" t="s">
        <v>42</v>
      </c>
      <c r="H974" t="s">
        <v>94</v>
      </c>
      <c r="I974">
        <v>1</v>
      </c>
      <c r="J974">
        <v>8.6</v>
      </c>
      <c r="K974">
        <v>7</v>
      </c>
      <c r="L974">
        <v>3</v>
      </c>
      <c r="M974">
        <v>12</v>
      </c>
      <c r="N974">
        <v>0</v>
      </c>
      <c r="O974" t="s">
        <v>44</v>
      </c>
      <c r="P974">
        <v>55100</v>
      </c>
      <c r="Q974">
        <v>9.3000000000000007</v>
      </c>
      <c r="R974">
        <v>4.2</v>
      </c>
      <c r="S974">
        <v>2</v>
      </c>
      <c r="T974">
        <v>0</v>
      </c>
      <c r="U974">
        <v>2.7</v>
      </c>
      <c r="V974">
        <v>3.6</v>
      </c>
      <c r="W974">
        <v>2.7</v>
      </c>
      <c r="X974" t="s">
        <v>45</v>
      </c>
      <c r="Y974">
        <v>0</v>
      </c>
      <c r="Z974">
        <v>0</v>
      </c>
      <c r="AB974">
        <v>0</v>
      </c>
      <c r="AC974" t="s">
        <v>124</v>
      </c>
      <c r="AD974" s="2">
        <v>45328</v>
      </c>
      <c r="AE974">
        <v>1</v>
      </c>
      <c r="AF974">
        <v>0</v>
      </c>
      <c r="AG974" t="s">
        <v>75</v>
      </c>
      <c r="AH974" t="s">
        <v>76</v>
      </c>
      <c r="AI974" t="s">
        <v>64</v>
      </c>
      <c r="AJ974">
        <v>3</v>
      </c>
      <c r="AK974">
        <v>8.3333333333333301E-2</v>
      </c>
      <c r="AL974">
        <v>1</v>
      </c>
    </row>
    <row r="975" spans="1:38" x14ac:dyDescent="0.35">
      <c r="A975" t="s">
        <v>1185</v>
      </c>
      <c r="B975" t="s">
        <v>60</v>
      </c>
      <c r="C975" t="s">
        <v>107</v>
      </c>
      <c r="D975">
        <v>4</v>
      </c>
      <c r="E975" t="s">
        <v>110</v>
      </c>
      <c r="F975">
        <v>26</v>
      </c>
      <c r="G975" t="s">
        <v>42</v>
      </c>
      <c r="H975" t="s">
        <v>55</v>
      </c>
      <c r="I975">
        <v>2</v>
      </c>
      <c r="J975">
        <v>22.1</v>
      </c>
      <c r="K975">
        <v>10</v>
      </c>
      <c r="L975">
        <v>1</v>
      </c>
      <c r="M975">
        <v>12</v>
      </c>
      <c r="N975">
        <v>0</v>
      </c>
      <c r="O975" t="s">
        <v>44</v>
      </c>
      <c r="P975">
        <v>52600</v>
      </c>
      <c r="Q975">
        <v>11.7</v>
      </c>
      <c r="R975">
        <v>3.1</v>
      </c>
      <c r="S975">
        <v>0.8</v>
      </c>
      <c r="T975">
        <v>0</v>
      </c>
      <c r="U975">
        <v>4</v>
      </c>
      <c r="V975">
        <v>4.0999999999999996</v>
      </c>
      <c r="W975">
        <v>2.5</v>
      </c>
      <c r="X975" t="s">
        <v>45</v>
      </c>
      <c r="Y975">
        <v>0</v>
      </c>
      <c r="Z975">
        <v>1</v>
      </c>
      <c r="AA975">
        <v>2</v>
      </c>
      <c r="AB975">
        <v>0</v>
      </c>
      <c r="AC975" t="s">
        <v>46</v>
      </c>
      <c r="AE975">
        <v>0</v>
      </c>
      <c r="AF975">
        <v>0</v>
      </c>
      <c r="AG975" t="s">
        <v>47</v>
      </c>
      <c r="AH975" t="s">
        <v>76</v>
      </c>
      <c r="AI975" t="s">
        <v>57</v>
      </c>
      <c r="AJ975" s="1" t="s">
        <v>122</v>
      </c>
      <c r="AK975" s="1" t="s">
        <v>84</v>
      </c>
      <c r="AL975">
        <v>0</v>
      </c>
    </row>
    <row r="976" spans="1:38" x14ac:dyDescent="0.35">
      <c r="A976" t="s">
        <v>1186</v>
      </c>
      <c r="B976" t="s">
        <v>98</v>
      </c>
      <c r="C976" t="s">
        <v>148</v>
      </c>
      <c r="D976">
        <v>1.2</v>
      </c>
      <c r="E976" t="s">
        <v>67</v>
      </c>
      <c r="F976">
        <v>29</v>
      </c>
      <c r="G976" t="s">
        <v>42</v>
      </c>
      <c r="H976" t="s">
        <v>69</v>
      </c>
      <c r="I976">
        <v>3</v>
      </c>
      <c r="J976">
        <v>14.7</v>
      </c>
      <c r="K976">
        <v>6</v>
      </c>
      <c r="L976">
        <v>1</v>
      </c>
      <c r="M976">
        <v>12</v>
      </c>
      <c r="N976">
        <v>0</v>
      </c>
      <c r="O976" t="s">
        <v>70</v>
      </c>
      <c r="P976">
        <v>38100</v>
      </c>
      <c r="Q976">
        <v>15.1</v>
      </c>
      <c r="R976">
        <v>1.9</v>
      </c>
      <c r="S976">
        <v>1.6</v>
      </c>
      <c r="T976">
        <v>0</v>
      </c>
      <c r="U976">
        <v>3.7</v>
      </c>
      <c r="V976">
        <v>2.8</v>
      </c>
      <c r="W976">
        <v>2.5</v>
      </c>
      <c r="X976" t="s">
        <v>45</v>
      </c>
      <c r="Y976">
        <v>0</v>
      </c>
      <c r="Z976">
        <v>1</v>
      </c>
      <c r="AA976">
        <v>1.2</v>
      </c>
      <c r="AB976">
        <v>0</v>
      </c>
      <c r="AC976" t="s">
        <v>46</v>
      </c>
      <c r="AE976">
        <v>0</v>
      </c>
      <c r="AF976">
        <v>0</v>
      </c>
      <c r="AG976" t="s">
        <v>47</v>
      </c>
      <c r="AH976" t="s">
        <v>48</v>
      </c>
      <c r="AI976" t="s">
        <v>49</v>
      </c>
      <c r="AJ976">
        <v>3</v>
      </c>
      <c r="AK976">
        <v>0.25</v>
      </c>
      <c r="AL976">
        <v>0</v>
      </c>
    </row>
    <row r="977" spans="1:38" x14ac:dyDescent="0.35">
      <c r="A977" t="s">
        <v>1187</v>
      </c>
      <c r="B977" t="s">
        <v>39</v>
      </c>
      <c r="C977" t="s">
        <v>66</v>
      </c>
      <c r="D977">
        <v>5.2</v>
      </c>
      <c r="E977" t="s">
        <v>41</v>
      </c>
      <c r="F977">
        <v>34</v>
      </c>
      <c r="G977" t="s">
        <v>54</v>
      </c>
      <c r="H977" t="s">
        <v>43</v>
      </c>
      <c r="I977">
        <v>3</v>
      </c>
      <c r="J977">
        <v>7.7</v>
      </c>
      <c r="K977">
        <v>5</v>
      </c>
      <c r="L977">
        <v>5</v>
      </c>
      <c r="M977">
        <v>12</v>
      </c>
      <c r="N977">
        <v>0</v>
      </c>
      <c r="O977" t="s">
        <v>44</v>
      </c>
      <c r="P977">
        <v>65000</v>
      </c>
      <c r="Q977">
        <v>7.6</v>
      </c>
      <c r="R977">
        <v>2.2999999999999998</v>
      </c>
      <c r="S977">
        <v>3.9</v>
      </c>
      <c r="T977">
        <v>0</v>
      </c>
      <c r="U977">
        <v>1.9</v>
      </c>
      <c r="V977">
        <v>2.8</v>
      </c>
      <c r="W977">
        <v>5</v>
      </c>
      <c r="X977" t="s">
        <v>45</v>
      </c>
      <c r="Y977">
        <v>0</v>
      </c>
      <c r="Z977">
        <v>1</v>
      </c>
      <c r="AA977">
        <v>2.4</v>
      </c>
      <c r="AB977">
        <v>0</v>
      </c>
      <c r="AC977" t="s">
        <v>46</v>
      </c>
      <c r="AE977">
        <v>0</v>
      </c>
      <c r="AF977">
        <v>0</v>
      </c>
      <c r="AG977" t="s">
        <v>47</v>
      </c>
      <c r="AH977" t="s">
        <v>83</v>
      </c>
      <c r="AI977" t="s">
        <v>64</v>
      </c>
      <c r="AJ977" s="1" t="s">
        <v>198</v>
      </c>
      <c r="AK977">
        <v>0.25</v>
      </c>
      <c r="AL977">
        <v>0</v>
      </c>
    </row>
    <row r="978" spans="1:38" x14ac:dyDescent="0.35">
      <c r="A978" t="s">
        <v>1188</v>
      </c>
      <c r="B978" t="s">
        <v>52</v>
      </c>
      <c r="C978" t="s">
        <v>93</v>
      </c>
      <c r="D978">
        <v>8.8000000000000007</v>
      </c>
      <c r="E978" t="s">
        <v>81</v>
      </c>
      <c r="F978">
        <v>41</v>
      </c>
      <c r="G978" t="s">
        <v>42</v>
      </c>
      <c r="H978" t="s">
        <v>69</v>
      </c>
      <c r="I978">
        <v>7</v>
      </c>
      <c r="J978">
        <v>18</v>
      </c>
      <c r="K978">
        <v>11</v>
      </c>
      <c r="L978">
        <v>2</v>
      </c>
      <c r="M978">
        <v>12</v>
      </c>
      <c r="N978">
        <v>0</v>
      </c>
      <c r="O978" t="s">
        <v>82</v>
      </c>
      <c r="P978">
        <v>31400</v>
      </c>
      <c r="Q978">
        <v>10.1</v>
      </c>
      <c r="R978">
        <v>2.2999999999999998</v>
      </c>
      <c r="S978">
        <v>2.1</v>
      </c>
      <c r="T978">
        <v>0</v>
      </c>
      <c r="U978">
        <v>3.8</v>
      </c>
      <c r="V978">
        <v>3.3</v>
      </c>
      <c r="W978">
        <v>3.8</v>
      </c>
      <c r="X978" t="s">
        <v>45</v>
      </c>
      <c r="Y978">
        <v>1</v>
      </c>
      <c r="Z978">
        <v>0</v>
      </c>
      <c r="AB978">
        <v>0</v>
      </c>
      <c r="AC978" t="s">
        <v>46</v>
      </c>
      <c r="AE978">
        <v>1</v>
      </c>
      <c r="AF978">
        <v>0</v>
      </c>
      <c r="AG978" t="s">
        <v>75</v>
      </c>
      <c r="AH978" t="s">
        <v>83</v>
      </c>
      <c r="AI978" t="s">
        <v>49</v>
      </c>
      <c r="AJ978" s="1" t="s">
        <v>187</v>
      </c>
      <c r="AK978" s="1" t="s">
        <v>105</v>
      </c>
      <c r="AL978">
        <v>0</v>
      </c>
    </row>
    <row r="979" spans="1:38" x14ac:dyDescent="0.35">
      <c r="A979" t="s">
        <v>1189</v>
      </c>
      <c r="B979" t="s">
        <v>98</v>
      </c>
      <c r="C979" t="s">
        <v>151</v>
      </c>
      <c r="D979">
        <v>9.1</v>
      </c>
      <c r="E979" t="s">
        <v>67</v>
      </c>
      <c r="F979">
        <v>37</v>
      </c>
      <c r="G979" t="s">
        <v>54</v>
      </c>
      <c r="H979" t="s">
        <v>63</v>
      </c>
      <c r="I979">
        <v>3</v>
      </c>
      <c r="J979">
        <v>38.6</v>
      </c>
      <c r="K979">
        <v>1</v>
      </c>
      <c r="L979">
        <v>2</v>
      </c>
      <c r="M979">
        <v>12</v>
      </c>
      <c r="N979">
        <v>0</v>
      </c>
      <c r="O979" t="s">
        <v>82</v>
      </c>
      <c r="P979">
        <v>34900</v>
      </c>
      <c r="Q979">
        <v>14</v>
      </c>
      <c r="R979">
        <v>3.2</v>
      </c>
      <c r="S979">
        <v>0.3</v>
      </c>
      <c r="T979">
        <v>0</v>
      </c>
      <c r="U979">
        <v>2.2999999999999998</v>
      </c>
      <c r="V979">
        <v>4.2</v>
      </c>
      <c r="W979">
        <v>2.6</v>
      </c>
      <c r="X979" t="s">
        <v>45</v>
      </c>
      <c r="Y979">
        <v>0</v>
      </c>
      <c r="Z979">
        <v>1</v>
      </c>
      <c r="AA979">
        <v>9.1</v>
      </c>
      <c r="AB979">
        <v>1</v>
      </c>
      <c r="AC979" t="s">
        <v>46</v>
      </c>
      <c r="AE979">
        <v>0</v>
      </c>
      <c r="AF979">
        <v>0</v>
      </c>
      <c r="AG979" t="s">
        <v>47</v>
      </c>
      <c r="AH979" t="s">
        <v>83</v>
      </c>
      <c r="AI979" t="s">
        <v>57</v>
      </c>
      <c r="AJ979" s="1" t="s">
        <v>627</v>
      </c>
      <c r="AK979">
        <v>0.25</v>
      </c>
      <c r="AL979">
        <v>0</v>
      </c>
    </row>
    <row r="980" spans="1:38" x14ac:dyDescent="0.35">
      <c r="A980" t="s">
        <v>1190</v>
      </c>
      <c r="B980" t="s">
        <v>117</v>
      </c>
      <c r="C980" t="s">
        <v>197</v>
      </c>
      <c r="D980">
        <v>0.9</v>
      </c>
      <c r="E980" t="s">
        <v>41</v>
      </c>
      <c r="F980">
        <v>31</v>
      </c>
      <c r="G980" t="s">
        <v>54</v>
      </c>
      <c r="H980" t="s">
        <v>63</v>
      </c>
      <c r="I980">
        <v>6</v>
      </c>
      <c r="J980">
        <v>10.199999999999999</v>
      </c>
      <c r="K980">
        <v>8</v>
      </c>
      <c r="L980">
        <v>2</v>
      </c>
      <c r="M980">
        <v>12</v>
      </c>
      <c r="N980">
        <v>0</v>
      </c>
      <c r="O980" t="s">
        <v>44</v>
      </c>
      <c r="P980">
        <v>69300</v>
      </c>
      <c r="Q980">
        <v>10.7</v>
      </c>
      <c r="R980">
        <v>4.4000000000000004</v>
      </c>
      <c r="S980">
        <v>3</v>
      </c>
      <c r="T980">
        <v>0</v>
      </c>
      <c r="U980">
        <v>3.7</v>
      </c>
      <c r="V980">
        <v>3.1</v>
      </c>
      <c r="W980">
        <v>2.9</v>
      </c>
      <c r="X980" t="s">
        <v>45</v>
      </c>
      <c r="Y980">
        <v>0</v>
      </c>
      <c r="Z980">
        <v>0</v>
      </c>
      <c r="AB980">
        <v>0</v>
      </c>
      <c r="AC980" t="s">
        <v>46</v>
      </c>
      <c r="AE980">
        <v>1</v>
      </c>
      <c r="AF980">
        <v>0</v>
      </c>
      <c r="AG980" t="s">
        <v>75</v>
      </c>
      <c r="AH980" t="s">
        <v>95</v>
      </c>
      <c r="AI980" t="s">
        <v>49</v>
      </c>
      <c r="AJ980" s="1" t="s">
        <v>227</v>
      </c>
      <c r="AK980">
        <v>0.5</v>
      </c>
      <c r="AL980">
        <v>0</v>
      </c>
    </row>
    <row r="981" spans="1:38" x14ac:dyDescent="0.35">
      <c r="A981" t="s">
        <v>1191</v>
      </c>
      <c r="B981" t="s">
        <v>73</v>
      </c>
      <c r="C981" t="s">
        <v>113</v>
      </c>
      <c r="D981">
        <v>7.6</v>
      </c>
      <c r="E981" t="s">
        <v>81</v>
      </c>
      <c r="F981">
        <v>32</v>
      </c>
      <c r="G981" t="s">
        <v>42</v>
      </c>
      <c r="H981" t="s">
        <v>43</v>
      </c>
      <c r="I981">
        <v>3</v>
      </c>
      <c r="J981">
        <v>2.7</v>
      </c>
      <c r="K981">
        <v>11</v>
      </c>
      <c r="L981">
        <v>2</v>
      </c>
      <c r="M981">
        <v>12</v>
      </c>
      <c r="N981">
        <v>0</v>
      </c>
      <c r="O981" t="s">
        <v>82</v>
      </c>
      <c r="P981">
        <v>33400</v>
      </c>
      <c r="Q981">
        <v>0</v>
      </c>
      <c r="R981">
        <v>4.4000000000000004</v>
      </c>
      <c r="S981">
        <v>1.2</v>
      </c>
      <c r="T981">
        <v>0</v>
      </c>
      <c r="U981">
        <v>2.6</v>
      </c>
      <c r="V981">
        <v>2.9</v>
      </c>
      <c r="W981">
        <v>3.4</v>
      </c>
      <c r="X981" t="s">
        <v>45</v>
      </c>
      <c r="Y981">
        <v>0</v>
      </c>
      <c r="Z981">
        <v>2</v>
      </c>
      <c r="AA981">
        <v>2.1</v>
      </c>
      <c r="AB981">
        <v>0</v>
      </c>
      <c r="AC981" t="s">
        <v>46</v>
      </c>
      <c r="AE981">
        <v>0</v>
      </c>
      <c r="AF981">
        <v>0</v>
      </c>
      <c r="AG981" t="s">
        <v>47</v>
      </c>
      <c r="AH981" t="s">
        <v>83</v>
      </c>
      <c r="AI981" t="s">
        <v>64</v>
      </c>
      <c r="AJ981" s="1" t="s">
        <v>268</v>
      </c>
      <c r="AK981">
        <v>0.25</v>
      </c>
      <c r="AL981">
        <v>0</v>
      </c>
    </row>
    <row r="982" spans="1:38" x14ac:dyDescent="0.35">
      <c r="A982" t="s">
        <v>1192</v>
      </c>
      <c r="B982" t="s">
        <v>60</v>
      </c>
      <c r="C982" t="s">
        <v>107</v>
      </c>
      <c r="D982">
        <v>1.2</v>
      </c>
      <c r="E982" t="s">
        <v>41</v>
      </c>
      <c r="F982">
        <v>25</v>
      </c>
      <c r="G982" t="s">
        <v>42</v>
      </c>
      <c r="H982" t="s">
        <v>69</v>
      </c>
      <c r="I982">
        <v>3</v>
      </c>
      <c r="J982">
        <v>4</v>
      </c>
      <c r="K982">
        <v>14</v>
      </c>
      <c r="L982">
        <v>3</v>
      </c>
      <c r="M982">
        <v>12</v>
      </c>
      <c r="N982">
        <v>0</v>
      </c>
      <c r="O982" t="s">
        <v>44</v>
      </c>
      <c r="P982">
        <v>66900</v>
      </c>
      <c r="Q982">
        <v>5.0999999999999996</v>
      </c>
      <c r="R982">
        <v>2.8</v>
      </c>
      <c r="S982">
        <v>0.1</v>
      </c>
      <c r="T982">
        <v>0</v>
      </c>
      <c r="U982">
        <v>3</v>
      </c>
      <c r="V982">
        <v>3.6</v>
      </c>
      <c r="W982">
        <v>3.8</v>
      </c>
      <c r="X982" t="s">
        <v>45</v>
      </c>
      <c r="Y982">
        <v>0</v>
      </c>
      <c r="Z982">
        <v>0</v>
      </c>
      <c r="AB982">
        <v>0</v>
      </c>
      <c r="AC982" t="s">
        <v>46</v>
      </c>
      <c r="AE982">
        <v>1</v>
      </c>
      <c r="AF982">
        <v>0</v>
      </c>
      <c r="AG982" t="s">
        <v>75</v>
      </c>
      <c r="AH982" t="s">
        <v>48</v>
      </c>
      <c r="AI982" t="s">
        <v>64</v>
      </c>
      <c r="AJ982" s="1" t="s">
        <v>137</v>
      </c>
      <c r="AK982">
        <v>0.25</v>
      </c>
      <c r="AL982">
        <v>0</v>
      </c>
    </row>
    <row r="983" spans="1:38" x14ac:dyDescent="0.35">
      <c r="A983" t="s">
        <v>1193</v>
      </c>
      <c r="B983" t="s">
        <v>39</v>
      </c>
      <c r="C983" t="s">
        <v>88</v>
      </c>
      <c r="D983">
        <v>0.4</v>
      </c>
      <c r="E983" t="s">
        <v>81</v>
      </c>
      <c r="F983">
        <v>28</v>
      </c>
      <c r="G983" t="s">
        <v>68</v>
      </c>
      <c r="H983" t="s">
        <v>94</v>
      </c>
      <c r="I983">
        <v>2</v>
      </c>
      <c r="J983">
        <v>4</v>
      </c>
      <c r="K983">
        <v>9</v>
      </c>
      <c r="L983">
        <v>1</v>
      </c>
      <c r="M983">
        <v>12</v>
      </c>
      <c r="N983">
        <v>0</v>
      </c>
      <c r="O983" t="s">
        <v>82</v>
      </c>
      <c r="P983">
        <v>29500</v>
      </c>
      <c r="Q983">
        <v>11</v>
      </c>
      <c r="R983">
        <v>1.2</v>
      </c>
      <c r="S983">
        <v>0.5</v>
      </c>
      <c r="T983">
        <v>0</v>
      </c>
      <c r="U983">
        <v>2.8</v>
      </c>
      <c r="V983">
        <v>4.8</v>
      </c>
      <c r="W983">
        <v>3.6</v>
      </c>
      <c r="X983" t="s">
        <v>89</v>
      </c>
      <c r="Y983">
        <v>0</v>
      </c>
      <c r="Z983">
        <v>0</v>
      </c>
      <c r="AB983">
        <v>0</v>
      </c>
      <c r="AC983" t="s">
        <v>46</v>
      </c>
      <c r="AE983">
        <v>1</v>
      </c>
      <c r="AF983">
        <v>0</v>
      </c>
      <c r="AG983" t="s">
        <v>75</v>
      </c>
      <c r="AH983" t="s">
        <v>95</v>
      </c>
      <c r="AI983" t="s">
        <v>64</v>
      </c>
      <c r="AJ983" s="1" t="s">
        <v>114</v>
      </c>
      <c r="AK983" s="1" t="s">
        <v>84</v>
      </c>
      <c r="AL983">
        <v>0</v>
      </c>
    </row>
    <row r="984" spans="1:38" x14ac:dyDescent="0.35">
      <c r="A984" t="s">
        <v>1194</v>
      </c>
      <c r="B984" t="s">
        <v>39</v>
      </c>
      <c r="C984" t="s">
        <v>40</v>
      </c>
      <c r="D984">
        <v>7.8</v>
      </c>
      <c r="E984" t="s">
        <v>67</v>
      </c>
      <c r="F984">
        <v>32</v>
      </c>
      <c r="G984" t="s">
        <v>54</v>
      </c>
      <c r="H984" t="s">
        <v>63</v>
      </c>
      <c r="I984">
        <v>2</v>
      </c>
      <c r="J984">
        <v>5</v>
      </c>
      <c r="K984">
        <v>3</v>
      </c>
      <c r="L984">
        <v>5</v>
      </c>
      <c r="M984">
        <v>12</v>
      </c>
      <c r="N984">
        <v>0</v>
      </c>
      <c r="O984" t="s">
        <v>82</v>
      </c>
      <c r="P984">
        <v>31500</v>
      </c>
      <c r="Q984">
        <v>6.4</v>
      </c>
      <c r="R984">
        <v>2.1</v>
      </c>
      <c r="S984">
        <v>0.4</v>
      </c>
      <c r="T984">
        <v>0</v>
      </c>
      <c r="U984">
        <v>4.7</v>
      </c>
      <c r="V984">
        <v>3.3</v>
      </c>
      <c r="W984">
        <v>2.7</v>
      </c>
      <c r="X984" t="s">
        <v>89</v>
      </c>
      <c r="Y984">
        <v>0</v>
      </c>
      <c r="Z984">
        <v>1</v>
      </c>
      <c r="AA984">
        <v>1.3</v>
      </c>
      <c r="AB984">
        <v>0</v>
      </c>
      <c r="AC984" t="s">
        <v>46</v>
      </c>
      <c r="AE984">
        <v>0</v>
      </c>
      <c r="AF984">
        <v>0</v>
      </c>
      <c r="AG984" t="s">
        <v>47</v>
      </c>
      <c r="AH984" t="s">
        <v>83</v>
      </c>
      <c r="AI984" t="s">
        <v>64</v>
      </c>
      <c r="AJ984" s="1" t="s">
        <v>126</v>
      </c>
      <c r="AK984" s="1" t="s">
        <v>84</v>
      </c>
      <c r="AL984">
        <v>0</v>
      </c>
    </row>
    <row r="985" spans="1:38" x14ac:dyDescent="0.35">
      <c r="A985" t="s">
        <v>1195</v>
      </c>
      <c r="B985" t="s">
        <v>52</v>
      </c>
      <c r="C985" t="s">
        <v>153</v>
      </c>
      <c r="D985">
        <v>2.5</v>
      </c>
      <c r="E985" t="s">
        <v>81</v>
      </c>
      <c r="F985">
        <v>30</v>
      </c>
      <c r="G985" t="s">
        <v>68</v>
      </c>
      <c r="H985" t="s">
        <v>94</v>
      </c>
      <c r="I985">
        <v>1</v>
      </c>
      <c r="J985">
        <v>7.3</v>
      </c>
      <c r="K985">
        <v>7</v>
      </c>
      <c r="L985">
        <v>1</v>
      </c>
      <c r="M985">
        <v>12</v>
      </c>
      <c r="N985">
        <v>0</v>
      </c>
      <c r="O985" t="s">
        <v>82</v>
      </c>
      <c r="P985">
        <v>21200</v>
      </c>
      <c r="Q985">
        <v>13.8</v>
      </c>
      <c r="R985">
        <v>4.3</v>
      </c>
      <c r="S985">
        <v>1.1000000000000001</v>
      </c>
      <c r="T985">
        <v>0</v>
      </c>
      <c r="U985">
        <v>3.7</v>
      </c>
      <c r="V985">
        <v>3</v>
      </c>
      <c r="W985">
        <v>3.7</v>
      </c>
      <c r="X985" t="s">
        <v>45</v>
      </c>
      <c r="Y985">
        <v>0</v>
      </c>
      <c r="Z985">
        <v>1</v>
      </c>
      <c r="AA985">
        <v>0.4</v>
      </c>
      <c r="AB985">
        <v>0</v>
      </c>
      <c r="AC985" t="s">
        <v>46</v>
      </c>
      <c r="AE985">
        <v>0</v>
      </c>
      <c r="AF985">
        <v>0</v>
      </c>
      <c r="AG985" t="s">
        <v>47</v>
      </c>
      <c r="AH985" t="s">
        <v>48</v>
      </c>
      <c r="AI985" t="s">
        <v>64</v>
      </c>
      <c r="AJ985" s="1" t="s">
        <v>77</v>
      </c>
      <c r="AK985">
        <v>8.3333333333333301E-2</v>
      </c>
      <c r="AL985">
        <v>0</v>
      </c>
    </row>
    <row r="986" spans="1:38" x14ac:dyDescent="0.35">
      <c r="A986" t="s">
        <v>1196</v>
      </c>
      <c r="B986" t="s">
        <v>73</v>
      </c>
      <c r="C986" t="s">
        <v>121</v>
      </c>
      <c r="D986">
        <v>7.1</v>
      </c>
      <c r="E986" t="s">
        <v>110</v>
      </c>
      <c r="F986">
        <v>29</v>
      </c>
      <c r="G986" t="s">
        <v>42</v>
      </c>
      <c r="H986" t="s">
        <v>55</v>
      </c>
      <c r="I986">
        <v>5</v>
      </c>
      <c r="J986">
        <v>12.2</v>
      </c>
      <c r="K986">
        <v>5</v>
      </c>
      <c r="L986">
        <v>2</v>
      </c>
      <c r="M986">
        <v>12</v>
      </c>
      <c r="N986">
        <v>0</v>
      </c>
      <c r="O986" t="s">
        <v>44</v>
      </c>
      <c r="P986">
        <v>58200</v>
      </c>
      <c r="Q986">
        <v>15.4</v>
      </c>
      <c r="R986">
        <v>3.4</v>
      </c>
      <c r="S986">
        <v>3.1</v>
      </c>
      <c r="T986">
        <v>0</v>
      </c>
      <c r="U986">
        <v>4.4000000000000004</v>
      </c>
      <c r="V986">
        <v>4.9000000000000004</v>
      </c>
      <c r="W986">
        <v>2.9</v>
      </c>
      <c r="X986" t="s">
        <v>45</v>
      </c>
      <c r="Y986">
        <v>0</v>
      </c>
      <c r="Z986">
        <v>2</v>
      </c>
      <c r="AA986">
        <v>1.8</v>
      </c>
      <c r="AB986">
        <v>0</v>
      </c>
      <c r="AC986" t="s">
        <v>46</v>
      </c>
      <c r="AE986">
        <v>0</v>
      </c>
      <c r="AF986">
        <v>0</v>
      </c>
      <c r="AG986" t="s">
        <v>47</v>
      </c>
      <c r="AH986" t="s">
        <v>83</v>
      </c>
      <c r="AI986" t="s">
        <v>49</v>
      </c>
      <c r="AJ986" s="1" t="s">
        <v>677</v>
      </c>
      <c r="AK986" s="1" t="s">
        <v>127</v>
      </c>
      <c r="AL986">
        <v>0</v>
      </c>
    </row>
    <row r="987" spans="1:38" x14ac:dyDescent="0.35">
      <c r="A987" t="s">
        <v>1197</v>
      </c>
      <c r="B987" t="s">
        <v>60</v>
      </c>
      <c r="C987" t="s">
        <v>61</v>
      </c>
      <c r="D987">
        <v>6.7</v>
      </c>
      <c r="E987" t="s">
        <v>41</v>
      </c>
      <c r="F987">
        <v>29</v>
      </c>
      <c r="G987" t="s">
        <v>54</v>
      </c>
      <c r="H987" t="s">
        <v>55</v>
      </c>
      <c r="I987">
        <v>3</v>
      </c>
      <c r="J987">
        <v>2.2999999999999998</v>
      </c>
      <c r="K987">
        <v>3</v>
      </c>
      <c r="L987">
        <v>2</v>
      </c>
      <c r="M987">
        <v>12</v>
      </c>
      <c r="N987">
        <v>0</v>
      </c>
      <c r="O987" t="s">
        <v>56</v>
      </c>
      <c r="P987">
        <v>84400</v>
      </c>
      <c r="Q987">
        <v>5.6</v>
      </c>
      <c r="R987">
        <v>2.9</v>
      </c>
      <c r="S987">
        <v>2.5</v>
      </c>
      <c r="T987">
        <v>0</v>
      </c>
      <c r="U987">
        <v>5</v>
      </c>
      <c r="V987">
        <v>4.4000000000000004</v>
      </c>
      <c r="W987">
        <v>4.2</v>
      </c>
      <c r="X987" t="s">
        <v>89</v>
      </c>
      <c r="Y987">
        <v>0</v>
      </c>
      <c r="Z987">
        <v>1</v>
      </c>
      <c r="AA987">
        <v>3.6</v>
      </c>
      <c r="AB987">
        <v>0</v>
      </c>
      <c r="AC987" t="s">
        <v>46</v>
      </c>
      <c r="AE987">
        <v>0</v>
      </c>
      <c r="AF987">
        <v>0</v>
      </c>
      <c r="AG987" t="s">
        <v>47</v>
      </c>
      <c r="AH987" t="s">
        <v>83</v>
      </c>
      <c r="AI987" t="s">
        <v>64</v>
      </c>
      <c r="AJ987" s="1" t="s">
        <v>1198</v>
      </c>
      <c r="AK987">
        <v>0.25</v>
      </c>
      <c r="AL987">
        <v>0</v>
      </c>
    </row>
    <row r="988" spans="1:38" x14ac:dyDescent="0.35">
      <c r="A988" t="s">
        <v>1199</v>
      </c>
      <c r="B988" t="s">
        <v>98</v>
      </c>
      <c r="C988" t="s">
        <v>151</v>
      </c>
      <c r="D988">
        <v>6.1</v>
      </c>
      <c r="E988" t="s">
        <v>41</v>
      </c>
      <c r="F988">
        <v>35</v>
      </c>
      <c r="G988" t="s">
        <v>54</v>
      </c>
      <c r="H988" t="s">
        <v>94</v>
      </c>
      <c r="I988">
        <v>1</v>
      </c>
      <c r="J988">
        <v>2.8</v>
      </c>
      <c r="K988">
        <v>7</v>
      </c>
      <c r="L988">
        <v>2</v>
      </c>
      <c r="M988">
        <v>12</v>
      </c>
      <c r="N988">
        <v>0</v>
      </c>
      <c r="O988" t="s">
        <v>44</v>
      </c>
      <c r="P988">
        <v>72200</v>
      </c>
      <c r="Q988">
        <v>3.9</v>
      </c>
      <c r="R988">
        <v>2.8</v>
      </c>
      <c r="S988">
        <v>0.7</v>
      </c>
      <c r="T988">
        <v>0</v>
      </c>
      <c r="U988">
        <v>3.3</v>
      </c>
      <c r="V988">
        <v>4.3</v>
      </c>
      <c r="W988">
        <v>3.4</v>
      </c>
      <c r="X988" t="s">
        <v>45</v>
      </c>
      <c r="Y988">
        <v>0</v>
      </c>
      <c r="Z988">
        <v>1</v>
      </c>
      <c r="AA988">
        <v>5.0999999999999996</v>
      </c>
      <c r="AB988">
        <v>1</v>
      </c>
      <c r="AC988" t="s">
        <v>46</v>
      </c>
      <c r="AE988">
        <v>0</v>
      </c>
      <c r="AF988">
        <v>0</v>
      </c>
      <c r="AG988" t="s">
        <v>47</v>
      </c>
      <c r="AH988" t="s">
        <v>83</v>
      </c>
      <c r="AI988" t="s">
        <v>64</v>
      </c>
      <c r="AJ988" s="1" t="s">
        <v>266</v>
      </c>
      <c r="AK988">
        <v>8.3333333333333301E-2</v>
      </c>
      <c r="AL988">
        <v>0</v>
      </c>
    </row>
    <row r="989" spans="1:38" x14ac:dyDescent="0.35">
      <c r="A989" t="s">
        <v>1200</v>
      </c>
      <c r="B989" t="s">
        <v>73</v>
      </c>
      <c r="C989" t="s">
        <v>74</v>
      </c>
      <c r="D989">
        <v>4</v>
      </c>
      <c r="E989" t="s">
        <v>62</v>
      </c>
      <c r="F989">
        <v>34</v>
      </c>
      <c r="G989" t="s">
        <v>68</v>
      </c>
      <c r="H989" t="s">
        <v>94</v>
      </c>
      <c r="I989">
        <v>5</v>
      </c>
      <c r="J989">
        <v>15.5</v>
      </c>
      <c r="K989">
        <v>12</v>
      </c>
      <c r="L989">
        <v>0</v>
      </c>
      <c r="M989">
        <v>12</v>
      </c>
      <c r="N989">
        <v>0</v>
      </c>
      <c r="O989" t="s">
        <v>293</v>
      </c>
      <c r="P989">
        <v>123000</v>
      </c>
      <c r="Q989">
        <v>6.6</v>
      </c>
      <c r="R989">
        <v>2.5</v>
      </c>
      <c r="S989">
        <v>1.9</v>
      </c>
      <c r="T989">
        <v>0</v>
      </c>
      <c r="U989">
        <v>4.7</v>
      </c>
      <c r="V989">
        <v>2.7</v>
      </c>
      <c r="W989">
        <v>2.8</v>
      </c>
      <c r="X989" t="s">
        <v>45</v>
      </c>
      <c r="Y989">
        <v>0</v>
      </c>
      <c r="Z989">
        <v>2</v>
      </c>
      <c r="AA989">
        <v>2.1</v>
      </c>
      <c r="AB989">
        <v>0</v>
      </c>
      <c r="AC989" t="s">
        <v>46</v>
      </c>
      <c r="AE989">
        <v>0</v>
      </c>
      <c r="AF989">
        <v>0</v>
      </c>
      <c r="AG989" t="s">
        <v>47</v>
      </c>
      <c r="AH989" t="s">
        <v>76</v>
      </c>
      <c r="AI989" t="s">
        <v>49</v>
      </c>
      <c r="AJ989">
        <v>3.4</v>
      </c>
      <c r="AK989" s="1" t="s">
        <v>127</v>
      </c>
      <c r="AL989">
        <v>0</v>
      </c>
    </row>
    <row r="990" spans="1:38" x14ac:dyDescent="0.35">
      <c r="A990" t="s">
        <v>1201</v>
      </c>
      <c r="B990" t="s">
        <v>98</v>
      </c>
      <c r="C990" t="s">
        <v>151</v>
      </c>
      <c r="D990">
        <v>1.3</v>
      </c>
      <c r="E990" t="s">
        <v>110</v>
      </c>
      <c r="F990">
        <v>23</v>
      </c>
      <c r="G990" t="s">
        <v>42</v>
      </c>
      <c r="H990" t="s">
        <v>69</v>
      </c>
      <c r="I990">
        <v>5</v>
      </c>
      <c r="J990">
        <v>6.2</v>
      </c>
      <c r="K990">
        <v>15</v>
      </c>
      <c r="L990">
        <v>2</v>
      </c>
      <c r="M990">
        <v>12</v>
      </c>
      <c r="N990">
        <v>0</v>
      </c>
      <c r="O990" t="s">
        <v>70</v>
      </c>
      <c r="P990">
        <v>43000</v>
      </c>
      <c r="Q990">
        <v>6.3</v>
      </c>
      <c r="R990">
        <v>2.1</v>
      </c>
      <c r="S990">
        <v>0.8</v>
      </c>
      <c r="T990">
        <v>0</v>
      </c>
      <c r="U990">
        <v>2.7</v>
      </c>
      <c r="V990">
        <v>2.7</v>
      </c>
      <c r="W990">
        <v>4</v>
      </c>
      <c r="X990" t="s">
        <v>45</v>
      </c>
      <c r="Y990">
        <v>0</v>
      </c>
      <c r="Z990">
        <v>1</v>
      </c>
      <c r="AA990">
        <v>1</v>
      </c>
      <c r="AB990">
        <v>0</v>
      </c>
      <c r="AC990" t="s">
        <v>124</v>
      </c>
      <c r="AD990" s="2">
        <v>46283</v>
      </c>
      <c r="AE990">
        <v>0</v>
      </c>
      <c r="AF990">
        <v>0</v>
      </c>
      <c r="AG990" t="s">
        <v>47</v>
      </c>
      <c r="AH990" t="s">
        <v>48</v>
      </c>
      <c r="AI990" t="s">
        <v>64</v>
      </c>
      <c r="AJ990" s="1" t="s">
        <v>50</v>
      </c>
      <c r="AK990" s="1" t="s">
        <v>127</v>
      </c>
      <c r="AL990">
        <v>1</v>
      </c>
    </row>
    <row r="991" spans="1:38" x14ac:dyDescent="0.35">
      <c r="A991" t="s">
        <v>1202</v>
      </c>
      <c r="B991" t="s">
        <v>39</v>
      </c>
      <c r="C991" t="s">
        <v>66</v>
      </c>
      <c r="D991">
        <v>3</v>
      </c>
      <c r="E991" t="s">
        <v>110</v>
      </c>
      <c r="F991">
        <v>32</v>
      </c>
      <c r="G991" t="s">
        <v>42</v>
      </c>
      <c r="H991" t="s">
        <v>69</v>
      </c>
      <c r="I991">
        <v>4</v>
      </c>
      <c r="J991">
        <v>4.4000000000000004</v>
      </c>
      <c r="K991">
        <v>5</v>
      </c>
      <c r="L991">
        <v>1</v>
      </c>
      <c r="M991">
        <v>12</v>
      </c>
      <c r="N991">
        <v>0</v>
      </c>
      <c r="O991" t="s">
        <v>70</v>
      </c>
      <c r="P991">
        <v>48500</v>
      </c>
      <c r="Q991">
        <v>14.1</v>
      </c>
      <c r="R991">
        <v>5</v>
      </c>
      <c r="S991">
        <v>1</v>
      </c>
      <c r="T991">
        <v>0</v>
      </c>
      <c r="U991">
        <v>4.4000000000000004</v>
      </c>
      <c r="V991">
        <v>1.5</v>
      </c>
      <c r="W991">
        <v>3.7</v>
      </c>
      <c r="X991" t="s">
        <v>45</v>
      </c>
      <c r="Y991">
        <v>0</v>
      </c>
      <c r="Z991">
        <v>0</v>
      </c>
      <c r="AB991">
        <v>1</v>
      </c>
      <c r="AC991" t="s">
        <v>46</v>
      </c>
      <c r="AE991">
        <v>1</v>
      </c>
      <c r="AF991">
        <v>0</v>
      </c>
      <c r="AG991" t="s">
        <v>75</v>
      </c>
      <c r="AH991" t="s">
        <v>48</v>
      </c>
      <c r="AI991" t="s">
        <v>64</v>
      </c>
      <c r="AJ991" s="1" t="s">
        <v>249</v>
      </c>
      <c r="AK991" s="1" t="s">
        <v>115</v>
      </c>
      <c r="AL991">
        <v>0</v>
      </c>
    </row>
    <row r="992" spans="1:38" x14ac:dyDescent="0.35">
      <c r="A992" t="s">
        <v>1203</v>
      </c>
      <c r="B992" t="s">
        <v>39</v>
      </c>
      <c r="C992" t="s">
        <v>66</v>
      </c>
      <c r="D992">
        <v>9.1999999999999993</v>
      </c>
      <c r="E992" t="s">
        <v>67</v>
      </c>
      <c r="F992">
        <v>33</v>
      </c>
      <c r="G992" t="s">
        <v>54</v>
      </c>
      <c r="H992" t="s">
        <v>43</v>
      </c>
      <c r="I992">
        <v>0</v>
      </c>
      <c r="J992">
        <v>8</v>
      </c>
      <c r="K992">
        <v>10</v>
      </c>
      <c r="L992">
        <v>2</v>
      </c>
      <c r="M992">
        <v>12</v>
      </c>
      <c r="N992">
        <v>0</v>
      </c>
      <c r="O992" t="s">
        <v>70</v>
      </c>
      <c r="P992">
        <v>42800</v>
      </c>
      <c r="Q992">
        <v>3.9</v>
      </c>
      <c r="R992">
        <v>4.7</v>
      </c>
      <c r="S992">
        <v>1.7</v>
      </c>
      <c r="T992">
        <v>0</v>
      </c>
      <c r="U992">
        <v>2.6</v>
      </c>
      <c r="V992">
        <v>4.0999999999999996</v>
      </c>
      <c r="W992">
        <v>3</v>
      </c>
      <c r="X992" t="s">
        <v>45</v>
      </c>
      <c r="Y992">
        <v>0</v>
      </c>
      <c r="Z992">
        <v>1</v>
      </c>
      <c r="AA992">
        <v>6.8</v>
      </c>
      <c r="AB992">
        <v>0</v>
      </c>
      <c r="AC992" t="s">
        <v>46</v>
      </c>
      <c r="AE992">
        <v>0</v>
      </c>
      <c r="AF992">
        <v>0</v>
      </c>
      <c r="AG992" t="s">
        <v>47</v>
      </c>
      <c r="AH992" t="s">
        <v>83</v>
      </c>
      <c r="AI992" t="s">
        <v>64</v>
      </c>
      <c r="AJ992" s="1" t="s">
        <v>198</v>
      </c>
      <c r="AK992">
        <v>0</v>
      </c>
      <c r="AL992">
        <v>0</v>
      </c>
    </row>
    <row r="993" spans="1:38" x14ac:dyDescent="0.35">
      <c r="A993" t="s">
        <v>1204</v>
      </c>
      <c r="B993" t="s">
        <v>39</v>
      </c>
      <c r="C993" t="s">
        <v>66</v>
      </c>
      <c r="D993">
        <v>7.2</v>
      </c>
      <c r="E993" t="s">
        <v>41</v>
      </c>
      <c r="F993">
        <v>33</v>
      </c>
      <c r="G993" t="s">
        <v>234</v>
      </c>
      <c r="H993" t="s">
        <v>43</v>
      </c>
      <c r="I993">
        <v>2</v>
      </c>
      <c r="J993">
        <v>24.9</v>
      </c>
      <c r="K993">
        <v>6</v>
      </c>
      <c r="L993">
        <v>2</v>
      </c>
      <c r="M993">
        <v>12</v>
      </c>
      <c r="N993">
        <v>0</v>
      </c>
      <c r="O993" t="s">
        <v>56</v>
      </c>
      <c r="P993">
        <v>79700</v>
      </c>
      <c r="Q993">
        <v>11</v>
      </c>
      <c r="R993">
        <v>2.5</v>
      </c>
      <c r="S993">
        <v>0.3</v>
      </c>
      <c r="T993">
        <v>0</v>
      </c>
      <c r="U993">
        <v>3.3</v>
      </c>
      <c r="V993">
        <v>3.3</v>
      </c>
      <c r="W993">
        <v>4</v>
      </c>
      <c r="X993" t="s">
        <v>45</v>
      </c>
      <c r="Y993">
        <v>0</v>
      </c>
      <c r="Z993">
        <v>0</v>
      </c>
      <c r="AB993">
        <v>0</v>
      </c>
      <c r="AC993" t="s">
        <v>46</v>
      </c>
      <c r="AE993">
        <v>1</v>
      </c>
      <c r="AF993">
        <v>0</v>
      </c>
      <c r="AG993" t="s">
        <v>75</v>
      </c>
      <c r="AH993" t="s">
        <v>83</v>
      </c>
      <c r="AI993" t="s">
        <v>57</v>
      </c>
      <c r="AJ993" s="1" t="s">
        <v>122</v>
      </c>
      <c r="AK993" s="1" t="s">
        <v>84</v>
      </c>
      <c r="AL993">
        <v>0</v>
      </c>
    </row>
    <row r="994" spans="1:38" x14ac:dyDescent="0.35">
      <c r="A994" t="s">
        <v>1205</v>
      </c>
      <c r="B994" t="s">
        <v>39</v>
      </c>
      <c r="C994" t="s">
        <v>1206</v>
      </c>
      <c r="D994">
        <v>3.1</v>
      </c>
      <c r="E994" t="s">
        <v>110</v>
      </c>
      <c r="F994">
        <v>35</v>
      </c>
      <c r="G994" t="s">
        <v>42</v>
      </c>
      <c r="H994" t="s">
        <v>94</v>
      </c>
      <c r="I994">
        <v>2</v>
      </c>
      <c r="J994">
        <v>17.100000000000001</v>
      </c>
      <c r="K994">
        <v>4</v>
      </c>
      <c r="L994">
        <v>0</v>
      </c>
      <c r="M994">
        <v>12</v>
      </c>
      <c r="N994">
        <v>0</v>
      </c>
      <c r="O994" t="s">
        <v>70</v>
      </c>
      <c r="P994">
        <v>49200</v>
      </c>
      <c r="Q994">
        <v>13.6</v>
      </c>
      <c r="R994">
        <v>1.6</v>
      </c>
      <c r="S994">
        <v>1</v>
      </c>
      <c r="T994">
        <v>0</v>
      </c>
      <c r="U994">
        <v>3.8</v>
      </c>
      <c r="V994">
        <v>1.6</v>
      </c>
      <c r="W994">
        <v>3.9</v>
      </c>
      <c r="X994" t="s">
        <v>45</v>
      </c>
      <c r="Y994">
        <v>0</v>
      </c>
      <c r="Z994">
        <v>0</v>
      </c>
      <c r="AB994">
        <v>0</v>
      </c>
      <c r="AC994" t="s">
        <v>46</v>
      </c>
      <c r="AE994">
        <v>1</v>
      </c>
      <c r="AF994">
        <v>0</v>
      </c>
      <c r="AG994" t="s">
        <v>75</v>
      </c>
      <c r="AH994" t="s">
        <v>76</v>
      </c>
      <c r="AI994" t="s">
        <v>49</v>
      </c>
      <c r="AJ994">
        <v>3.1</v>
      </c>
      <c r="AK994" s="1" t="s">
        <v>84</v>
      </c>
      <c r="AL994">
        <v>0</v>
      </c>
    </row>
    <row r="995" spans="1:38" x14ac:dyDescent="0.35">
      <c r="A995" t="s">
        <v>1207</v>
      </c>
      <c r="B995" t="s">
        <v>73</v>
      </c>
      <c r="C995" t="s">
        <v>74</v>
      </c>
      <c r="D995">
        <v>3.1</v>
      </c>
      <c r="E995" t="s">
        <v>41</v>
      </c>
      <c r="F995">
        <v>32</v>
      </c>
      <c r="G995" t="s">
        <v>42</v>
      </c>
      <c r="H995" t="s">
        <v>55</v>
      </c>
      <c r="I995">
        <v>1</v>
      </c>
      <c r="J995">
        <v>16.2</v>
      </c>
      <c r="K995">
        <v>13</v>
      </c>
      <c r="L995">
        <v>1</v>
      </c>
      <c r="M995">
        <v>12</v>
      </c>
      <c r="N995">
        <v>0</v>
      </c>
      <c r="O995" t="s">
        <v>44</v>
      </c>
      <c r="P995">
        <v>62100</v>
      </c>
      <c r="Q995">
        <v>11.3</v>
      </c>
      <c r="R995">
        <v>3.4</v>
      </c>
      <c r="S995">
        <v>1.1000000000000001</v>
      </c>
      <c r="T995">
        <v>0</v>
      </c>
      <c r="U995">
        <v>3.9</v>
      </c>
      <c r="V995">
        <v>4.3</v>
      </c>
      <c r="W995">
        <v>4.4000000000000004</v>
      </c>
      <c r="X995" t="s">
        <v>45</v>
      </c>
      <c r="Y995">
        <v>0</v>
      </c>
      <c r="Z995">
        <v>0</v>
      </c>
      <c r="AB995">
        <v>0</v>
      </c>
      <c r="AC995" t="s">
        <v>46</v>
      </c>
      <c r="AE995">
        <v>1</v>
      </c>
      <c r="AF995">
        <v>0</v>
      </c>
      <c r="AG995" t="s">
        <v>75</v>
      </c>
      <c r="AH995" t="s">
        <v>76</v>
      </c>
      <c r="AI995" t="s">
        <v>49</v>
      </c>
      <c r="AJ995">
        <v>4.2</v>
      </c>
      <c r="AK995">
        <v>8.3333333333333301E-2</v>
      </c>
      <c r="AL995">
        <v>0</v>
      </c>
    </row>
    <row r="996" spans="1:38" x14ac:dyDescent="0.35">
      <c r="A996" t="s">
        <v>1208</v>
      </c>
      <c r="B996" t="s">
        <v>60</v>
      </c>
      <c r="C996" t="s">
        <v>107</v>
      </c>
      <c r="D996">
        <v>5.8</v>
      </c>
      <c r="E996" t="s">
        <v>67</v>
      </c>
      <c r="F996">
        <v>35</v>
      </c>
      <c r="G996" t="s">
        <v>68</v>
      </c>
      <c r="H996" t="s">
        <v>69</v>
      </c>
      <c r="I996">
        <v>3</v>
      </c>
      <c r="J996">
        <v>31.2</v>
      </c>
      <c r="K996">
        <v>12</v>
      </c>
      <c r="L996">
        <v>2</v>
      </c>
      <c r="M996">
        <v>12</v>
      </c>
      <c r="N996">
        <v>0</v>
      </c>
      <c r="O996" t="s">
        <v>70</v>
      </c>
      <c r="P996">
        <v>43200</v>
      </c>
      <c r="Q996">
        <v>9.6999999999999993</v>
      </c>
      <c r="R996">
        <v>3.1</v>
      </c>
      <c r="S996">
        <v>0.6</v>
      </c>
      <c r="T996">
        <v>0</v>
      </c>
      <c r="U996">
        <v>2.2000000000000002</v>
      </c>
      <c r="V996">
        <v>2.9</v>
      </c>
      <c r="W996">
        <v>4</v>
      </c>
      <c r="X996" t="s">
        <v>45</v>
      </c>
      <c r="Y996">
        <v>0</v>
      </c>
      <c r="Z996">
        <v>0</v>
      </c>
      <c r="AB996">
        <v>0</v>
      </c>
      <c r="AC996" t="s">
        <v>124</v>
      </c>
      <c r="AD996" s="2">
        <v>46019</v>
      </c>
      <c r="AE996">
        <v>1</v>
      </c>
      <c r="AF996">
        <v>0</v>
      </c>
      <c r="AG996" t="s">
        <v>75</v>
      </c>
      <c r="AH996" t="s">
        <v>83</v>
      </c>
      <c r="AI996" t="s">
        <v>57</v>
      </c>
      <c r="AJ996" s="1" t="s">
        <v>627</v>
      </c>
      <c r="AK996">
        <v>0.25</v>
      </c>
      <c r="AL996">
        <v>1</v>
      </c>
    </row>
    <row r="997" spans="1:38" x14ac:dyDescent="0.35">
      <c r="A997" t="s">
        <v>1209</v>
      </c>
      <c r="B997" t="s">
        <v>52</v>
      </c>
      <c r="C997" t="s">
        <v>93</v>
      </c>
      <c r="D997">
        <v>4.2</v>
      </c>
      <c r="E997" t="s">
        <v>67</v>
      </c>
      <c r="F997">
        <v>38</v>
      </c>
      <c r="G997" t="s">
        <v>42</v>
      </c>
      <c r="H997" t="s">
        <v>69</v>
      </c>
      <c r="I997">
        <v>3</v>
      </c>
      <c r="J997">
        <v>12.7</v>
      </c>
      <c r="K997">
        <v>5</v>
      </c>
      <c r="L997">
        <v>1</v>
      </c>
      <c r="M997">
        <v>12</v>
      </c>
      <c r="N997">
        <v>0</v>
      </c>
      <c r="O997" t="s">
        <v>70</v>
      </c>
      <c r="P997">
        <v>39900</v>
      </c>
      <c r="Q997">
        <v>7.4</v>
      </c>
      <c r="R997">
        <v>3.8</v>
      </c>
      <c r="S997">
        <v>1.9</v>
      </c>
      <c r="T997">
        <v>0</v>
      </c>
      <c r="U997">
        <v>2.5</v>
      </c>
      <c r="V997">
        <v>3</v>
      </c>
      <c r="W997">
        <v>3.2</v>
      </c>
      <c r="X997" t="s">
        <v>45</v>
      </c>
      <c r="Y997">
        <v>0</v>
      </c>
      <c r="Z997">
        <v>0</v>
      </c>
      <c r="AB997">
        <v>0</v>
      </c>
      <c r="AC997" t="s">
        <v>46</v>
      </c>
      <c r="AE997">
        <v>1</v>
      </c>
      <c r="AF997">
        <v>0</v>
      </c>
      <c r="AG997" t="s">
        <v>75</v>
      </c>
      <c r="AH997" t="s">
        <v>76</v>
      </c>
      <c r="AI997" t="s">
        <v>49</v>
      </c>
      <c r="AJ997">
        <v>2.9</v>
      </c>
      <c r="AK997">
        <v>0.25</v>
      </c>
      <c r="AL997">
        <v>0</v>
      </c>
    </row>
    <row r="998" spans="1:38" x14ac:dyDescent="0.35">
      <c r="A998" t="s">
        <v>1210</v>
      </c>
      <c r="B998" t="s">
        <v>39</v>
      </c>
      <c r="C998" t="s">
        <v>88</v>
      </c>
      <c r="D998">
        <v>3.3</v>
      </c>
      <c r="E998" t="s">
        <v>110</v>
      </c>
      <c r="F998">
        <v>26</v>
      </c>
      <c r="G998" t="s">
        <v>42</v>
      </c>
      <c r="H998" t="s">
        <v>94</v>
      </c>
      <c r="I998">
        <v>2</v>
      </c>
      <c r="J998">
        <v>33.200000000000003</v>
      </c>
      <c r="K998">
        <v>13</v>
      </c>
      <c r="L998">
        <v>1</v>
      </c>
      <c r="M998">
        <v>12</v>
      </c>
      <c r="N998">
        <v>0</v>
      </c>
      <c r="O998" t="s">
        <v>44</v>
      </c>
      <c r="P998">
        <v>50800</v>
      </c>
      <c r="Q998">
        <v>15.4</v>
      </c>
      <c r="R998">
        <v>4</v>
      </c>
      <c r="S998">
        <v>1.9</v>
      </c>
      <c r="T998">
        <v>0</v>
      </c>
      <c r="U998">
        <v>3.9</v>
      </c>
      <c r="V998">
        <v>1.8</v>
      </c>
      <c r="W998">
        <v>2</v>
      </c>
      <c r="X998" t="s">
        <v>45</v>
      </c>
      <c r="Y998">
        <v>0</v>
      </c>
      <c r="Z998">
        <v>0</v>
      </c>
      <c r="AB998">
        <v>0</v>
      </c>
      <c r="AC998" t="s">
        <v>46</v>
      </c>
      <c r="AE998">
        <v>1</v>
      </c>
      <c r="AF998">
        <v>0</v>
      </c>
      <c r="AG998" t="s">
        <v>75</v>
      </c>
      <c r="AH998" t="s">
        <v>76</v>
      </c>
      <c r="AI998" t="s">
        <v>57</v>
      </c>
      <c r="AJ998" s="1" t="s">
        <v>119</v>
      </c>
      <c r="AK998" s="1" t="s">
        <v>84</v>
      </c>
      <c r="AL998">
        <v>0</v>
      </c>
    </row>
    <row r="999" spans="1:38" x14ac:dyDescent="0.35">
      <c r="A999" t="s">
        <v>1211</v>
      </c>
      <c r="B999" t="s">
        <v>73</v>
      </c>
      <c r="C999" t="s">
        <v>113</v>
      </c>
      <c r="D999">
        <v>5.4</v>
      </c>
      <c r="E999" t="s">
        <v>81</v>
      </c>
      <c r="F999">
        <v>27</v>
      </c>
      <c r="G999" t="s">
        <v>68</v>
      </c>
      <c r="H999" t="s">
        <v>55</v>
      </c>
      <c r="I999">
        <v>3</v>
      </c>
      <c r="J999">
        <v>35.1</v>
      </c>
      <c r="K999">
        <v>8</v>
      </c>
      <c r="L999">
        <v>0</v>
      </c>
      <c r="M999">
        <v>12</v>
      </c>
      <c r="N999">
        <v>0</v>
      </c>
      <c r="O999" t="s">
        <v>82</v>
      </c>
      <c r="P999">
        <v>31200</v>
      </c>
      <c r="Q999">
        <v>7</v>
      </c>
      <c r="R999">
        <v>2.1</v>
      </c>
      <c r="S999">
        <v>0.4</v>
      </c>
      <c r="T999">
        <v>0</v>
      </c>
      <c r="U999">
        <v>3</v>
      </c>
      <c r="V999">
        <v>3.6</v>
      </c>
      <c r="W999">
        <v>3.5</v>
      </c>
      <c r="X999" t="s">
        <v>45</v>
      </c>
      <c r="Y999">
        <v>0</v>
      </c>
      <c r="Z999">
        <v>1</v>
      </c>
      <c r="AA999">
        <v>1.7</v>
      </c>
      <c r="AB999">
        <v>1</v>
      </c>
      <c r="AC999" t="s">
        <v>46</v>
      </c>
      <c r="AE999">
        <v>0</v>
      </c>
      <c r="AF999">
        <v>0</v>
      </c>
      <c r="AG999" t="s">
        <v>47</v>
      </c>
      <c r="AH999" t="s">
        <v>83</v>
      </c>
      <c r="AI999" t="s">
        <v>57</v>
      </c>
      <c r="AJ999" s="1" t="s">
        <v>86</v>
      </c>
      <c r="AK999">
        <v>0.25</v>
      </c>
      <c r="AL999">
        <v>0</v>
      </c>
    </row>
    <row r="1000" spans="1:38" x14ac:dyDescent="0.35">
      <c r="A1000" t="s">
        <v>1212</v>
      </c>
      <c r="B1000" t="s">
        <v>60</v>
      </c>
      <c r="C1000" t="s">
        <v>61</v>
      </c>
      <c r="D1000">
        <v>5.3</v>
      </c>
      <c r="E1000" t="s">
        <v>81</v>
      </c>
      <c r="F1000">
        <v>28</v>
      </c>
      <c r="G1000" t="s">
        <v>42</v>
      </c>
      <c r="H1000" t="s">
        <v>69</v>
      </c>
      <c r="I1000">
        <v>5</v>
      </c>
      <c r="J1000">
        <v>2.4</v>
      </c>
      <c r="K1000">
        <v>9</v>
      </c>
      <c r="L1000">
        <v>2</v>
      </c>
      <c r="M1000">
        <v>12</v>
      </c>
      <c r="N1000">
        <v>0</v>
      </c>
      <c r="O1000" t="s">
        <v>82</v>
      </c>
      <c r="P1000">
        <v>28900</v>
      </c>
      <c r="Q1000">
        <v>11.8</v>
      </c>
      <c r="R1000">
        <v>4.4000000000000004</v>
      </c>
      <c r="S1000">
        <v>0.3</v>
      </c>
      <c r="T1000">
        <v>0</v>
      </c>
      <c r="U1000">
        <v>2</v>
      </c>
      <c r="V1000">
        <v>3.7</v>
      </c>
      <c r="W1000">
        <v>3.7</v>
      </c>
      <c r="X1000" t="s">
        <v>45</v>
      </c>
      <c r="Y1000">
        <v>0</v>
      </c>
      <c r="Z1000">
        <v>1</v>
      </c>
      <c r="AA1000">
        <v>0.9</v>
      </c>
      <c r="AB1000">
        <v>0</v>
      </c>
      <c r="AC1000" t="s">
        <v>46</v>
      </c>
      <c r="AE1000">
        <v>0</v>
      </c>
      <c r="AF1000">
        <v>0</v>
      </c>
      <c r="AG1000" t="s">
        <v>47</v>
      </c>
      <c r="AH1000" t="s">
        <v>83</v>
      </c>
      <c r="AI1000" t="s">
        <v>64</v>
      </c>
      <c r="AJ1000" s="1" t="s">
        <v>50</v>
      </c>
      <c r="AK1000" s="1" t="s">
        <v>127</v>
      </c>
      <c r="AL1000">
        <v>0</v>
      </c>
    </row>
    <row r="1001" spans="1:38" x14ac:dyDescent="0.35">
      <c r="A1001" t="s">
        <v>1213</v>
      </c>
      <c r="B1001" t="s">
        <v>98</v>
      </c>
      <c r="C1001" t="s">
        <v>99</v>
      </c>
      <c r="D1001">
        <v>2.2999999999999998</v>
      </c>
      <c r="E1001" t="s">
        <v>62</v>
      </c>
      <c r="F1001">
        <v>27</v>
      </c>
      <c r="G1001" t="s">
        <v>54</v>
      </c>
      <c r="H1001" t="s">
        <v>55</v>
      </c>
      <c r="I1001">
        <v>6</v>
      </c>
      <c r="J1001">
        <v>1.7</v>
      </c>
      <c r="K1001">
        <v>10</v>
      </c>
      <c r="L1001">
        <v>4</v>
      </c>
      <c r="M1001">
        <v>12</v>
      </c>
      <c r="N1001">
        <v>0</v>
      </c>
      <c r="O1001" t="s">
        <v>56</v>
      </c>
      <c r="P1001">
        <v>93800</v>
      </c>
      <c r="Q1001">
        <v>7.4</v>
      </c>
      <c r="R1001">
        <v>2.9</v>
      </c>
      <c r="S1001">
        <v>1.2</v>
      </c>
      <c r="T1001">
        <v>0</v>
      </c>
      <c r="U1001">
        <v>3.2</v>
      </c>
      <c r="V1001">
        <v>3.2</v>
      </c>
      <c r="W1001">
        <v>3.4</v>
      </c>
      <c r="X1001" t="s">
        <v>45</v>
      </c>
      <c r="Y1001">
        <v>0</v>
      </c>
      <c r="Z1001">
        <v>0</v>
      </c>
      <c r="AB1001">
        <v>0</v>
      </c>
      <c r="AC1001" t="s">
        <v>46</v>
      </c>
      <c r="AE1001">
        <v>1</v>
      </c>
      <c r="AF1001">
        <v>0</v>
      </c>
      <c r="AG1001" t="s">
        <v>75</v>
      </c>
      <c r="AH1001" t="s">
        <v>48</v>
      </c>
      <c r="AI1001" t="s">
        <v>64</v>
      </c>
      <c r="AJ1001" s="1" t="s">
        <v>235</v>
      </c>
      <c r="AK1001">
        <v>0.5</v>
      </c>
      <c r="AL100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Dept_Attrition</vt:lpstr>
      <vt:lpstr>Tenure_Analysis</vt:lpstr>
      <vt:lpstr>OverTime_Analysis</vt:lpstr>
      <vt:lpstr>Engagement_Analysis</vt:lpstr>
      <vt:lpstr>Promotion_Analysis</vt:lpstr>
      <vt:lpstr>Role_Attrition</vt:lpstr>
      <vt:lpstr>employee_attrition_final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Jumaanah Basheeth</cp:lastModifiedBy>
  <dcterms:created xsi:type="dcterms:W3CDTF">2026-10-13T07:01:06Z</dcterms:created>
  <dcterms:modified xsi:type="dcterms:W3CDTF">2026-10-13T09:58:19Z</dcterms:modified>
</cp:coreProperties>
</file>